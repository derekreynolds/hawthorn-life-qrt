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30" yWindow="630" windowWidth="23100" windowHeight="9285" activeTab="1"/>
  </bookViews>
  <sheets>
    <sheet name="Parameters" sheetId="6" r:id="rId1"/>
    <sheet name="CIC_Codes" sheetId="12" r:id="rId2"/>
    <sheet name="EIOPA_RFR" sheetId="10" r:id="rId3"/>
    <sheet name="Interest_Rate_Stresses_Setup" sheetId="11" r:id="rId4"/>
    <sheet name="Final_Spot_Rates" sheetId="7" r:id="rId5"/>
    <sheet name="Summary" sheetId="13" r:id="rId6"/>
    <sheet name="Annex IV - Table" sheetId="8" r:id="rId7"/>
    <sheet name="Annex V - Definitions" sheetId="9" r:id="rId8"/>
  </sheets>
  <functionGroups builtInGroupCount="17"/>
  <definedNames>
    <definedName name="_xlnm._FilterDatabase" localSheetId="1" hidden="1">CIC_Codes!$B$2:$N$115</definedName>
    <definedName name="EIOPA_Spot_Rates">EIOPA_RFR!$B$3:$BC$162</definedName>
    <definedName name="FX_Down">Parameters!$I$34</definedName>
    <definedName name="FX_Up">Parameters!$I$33</definedName>
    <definedName name="Int_Rate_Down">Interest_Rate_Stresses_Setup!$B$52:$BC$91</definedName>
    <definedName name="Int_Rate_Param">Parameters!$V$7:$X$29</definedName>
    <definedName name="Int_Rate_Up">Interest_Rate_Stresses_Setup!$B$8:$BC$47</definedName>
    <definedName name="OthEqu_T1_Stress">Parameters!$M$31</definedName>
    <definedName name="OthEqu_T2_Stress">Parameters!$N$31</definedName>
    <definedName name="_xlnm.Print_Area" localSheetId="6">'Annex IV - Table'!$A$1:$R$25</definedName>
    <definedName name="_xlnm.Print_Area" localSheetId="7">'Annex V - Definitions'!$A$1:$C$132</definedName>
    <definedName name="_xlnm.Print_Titles" localSheetId="7">'Annex V - Definitions'!$1:$3</definedName>
    <definedName name="Property_Stress">Parameters!$M$34</definedName>
    <definedName name="Sym_Adj">Parameters!$C$4</definedName>
  </definedNames>
  <calcPr calcId="145621"/>
</workbook>
</file>

<file path=xl/calcChain.xml><?xml version="1.0" encoding="utf-8"?>
<calcChain xmlns="http://schemas.openxmlformats.org/spreadsheetml/2006/main">
  <c r="C3" i="6" l="1"/>
  <c r="I56" i="6" l="1"/>
  <c r="I57" i="6" s="1"/>
  <c r="I55" i="6"/>
  <c r="I54" i="6"/>
  <c r="I53" i="6"/>
  <c r="I41" i="6" l="1"/>
  <c r="I51" i="6"/>
  <c r="D112" i="12" l="1"/>
  <c r="D24" i="12"/>
  <c r="D111" i="12" l="1"/>
  <c r="D110" i="12"/>
  <c r="D109" i="12"/>
  <c r="D108" i="12"/>
  <c r="D107" i="12"/>
  <c r="D106" i="12"/>
  <c r="D105" i="12"/>
  <c r="D104" i="12"/>
  <c r="D103" i="12"/>
  <c r="D102" i="12"/>
  <c r="D101" i="12"/>
  <c r="D100" i="12"/>
  <c r="D99" i="12"/>
  <c r="D98" i="12"/>
  <c r="D97" i="12"/>
  <c r="D96" i="12"/>
  <c r="D95" i="12"/>
  <c r="D94" i="12"/>
  <c r="D93" i="12"/>
  <c r="D92" i="12"/>
  <c r="D91" i="12"/>
  <c r="D90" i="12"/>
  <c r="D89" i="12"/>
  <c r="D88" i="12"/>
  <c r="D87" i="12"/>
  <c r="D86" i="12"/>
  <c r="D85" i="12"/>
  <c r="D84" i="12"/>
  <c r="D83" i="12"/>
  <c r="D82" i="12"/>
  <c r="D81" i="12"/>
  <c r="D80" i="12"/>
  <c r="D79" i="12"/>
  <c r="D78" i="12"/>
  <c r="D77" i="12"/>
  <c r="D76" i="12"/>
  <c r="D75" i="12"/>
  <c r="D74" i="12"/>
  <c r="D73" i="12"/>
  <c r="D72" i="12"/>
  <c r="D71" i="12"/>
  <c r="D70" i="12"/>
  <c r="D69" i="12"/>
  <c r="D68" i="12"/>
  <c r="D67" i="12"/>
  <c r="D66" i="12"/>
  <c r="D65" i="12"/>
  <c r="D64" i="12"/>
  <c r="D63" i="12"/>
  <c r="D62" i="12"/>
  <c r="D61" i="12"/>
  <c r="D60" i="12"/>
  <c r="D59" i="12"/>
  <c r="D58" i="12"/>
  <c r="D57" i="12"/>
  <c r="D56" i="12"/>
  <c r="D55" i="12"/>
  <c r="D54" i="12"/>
  <c r="D53" i="12"/>
  <c r="D52" i="12"/>
  <c r="D51" i="12"/>
  <c r="D50" i="12"/>
  <c r="D49" i="12"/>
  <c r="D48" i="12"/>
  <c r="D47" i="12"/>
  <c r="D46" i="12"/>
  <c r="D45" i="12"/>
  <c r="D44" i="12"/>
  <c r="D43" i="12"/>
  <c r="D42" i="12"/>
  <c r="D41" i="12"/>
  <c r="D40" i="12"/>
  <c r="D39" i="12"/>
  <c r="D38" i="12"/>
  <c r="D37" i="12"/>
  <c r="D36" i="12"/>
  <c r="D35" i="12"/>
  <c r="D34" i="12"/>
  <c r="D33" i="12"/>
  <c r="D32" i="12"/>
  <c r="D31" i="12"/>
  <c r="D30" i="12"/>
  <c r="D29" i="12"/>
  <c r="D28" i="12"/>
  <c r="D27" i="12"/>
  <c r="D26" i="12"/>
  <c r="D25" i="12"/>
  <c r="D23" i="12"/>
  <c r="D22" i="12"/>
  <c r="D21" i="12"/>
  <c r="D20" i="12"/>
  <c r="D19" i="12"/>
  <c r="D18" i="12"/>
  <c r="D17" i="12"/>
  <c r="D16" i="12"/>
  <c r="D15" i="12"/>
  <c r="D14" i="12"/>
  <c r="D13" i="12"/>
  <c r="D12" i="12"/>
  <c r="D11" i="12"/>
  <c r="D10" i="12"/>
  <c r="D9" i="12"/>
  <c r="D8" i="12"/>
  <c r="D7" i="12"/>
  <c r="D6" i="12"/>
  <c r="D5" i="12"/>
  <c r="D4" i="12"/>
  <c r="D3" i="12"/>
  <c r="A51" i="11" l="1"/>
  <c r="A52" i="11" s="1"/>
  <c r="A7" i="11"/>
  <c r="A8" i="11" s="1"/>
  <c r="A4" i="10"/>
  <c r="A5" i="10" s="1"/>
  <c r="A6" i="10" s="1"/>
  <c r="A7" i="10" s="1"/>
  <c r="A8" i="10" s="1"/>
  <c r="A9" i="10" s="1"/>
  <c r="A10" i="10" s="1"/>
  <c r="A11" i="10" s="1"/>
  <c r="A12" i="10" s="1"/>
  <c r="A13" i="10" s="1"/>
  <c r="AF4" i="7" s="1"/>
  <c r="BC91" i="11"/>
  <c r="BB91" i="11"/>
  <c r="BA91" i="11"/>
  <c r="AZ91" i="11"/>
  <c r="AY91" i="11"/>
  <c r="AX91" i="11"/>
  <c r="AW91" i="11"/>
  <c r="AV91" i="11"/>
  <c r="AU91" i="11"/>
  <c r="AT91" i="11"/>
  <c r="AS91" i="11"/>
  <c r="AR91" i="11"/>
  <c r="AQ91" i="11"/>
  <c r="AP91" i="11"/>
  <c r="AO91" i="11"/>
  <c r="AN91" i="11"/>
  <c r="AM91" i="11"/>
  <c r="AL91" i="11"/>
  <c r="AK91" i="11"/>
  <c r="AJ91" i="11"/>
  <c r="AI91" i="11"/>
  <c r="AH91" i="11"/>
  <c r="AG91" i="11"/>
  <c r="AF91" i="11"/>
  <c r="AE91" i="11"/>
  <c r="AD91" i="11"/>
  <c r="AC91" i="11"/>
  <c r="AB91" i="11"/>
  <c r="AA91" i="11"/>
  <c r="Z91" i="11"/>
  <c r="Y91" i="11"/>
  <c r="X91" i="11"/>
  <c r="W91" i="11"/>
  <c r="V91" i="11"/>
  <c r="U91" i="11"/>
  <c r="T91" i="11"/>
  <c r="S91" i="11"/>
  <c r="R91" i="11"/>
  <c r="Q91" i="11"/>
  <c r="P91" i="11"/>
  <c r="O91" i="11"/>
  <c r="N91" i="11"/>
  <c r="M91" i="11"/>
  <c r="L91" i="11"/>
  <c r="K91" i="11"/>
  <c r="J91" i="11"/>
  <c r="I91" i="11"/>
  <c r="H91" i="11"/>
  <c r="G91" i="11"/>
  <c r="F91" i="11"/>
  <c r="E91" i="11"/>
  <c r="D91" i="11"/>
  <c r="C91" i="11"/>
  <c r="BC90" i="11"/>
  <c r="BB90" i="11"/>
  <c r="BA90" i="11"/>
  <c r="AZ90" i="11"/>
  <c r="AY90" i="11"/>
  <c r="AX90" i="11"/>
  <c r="AW90" i="11"/>
  <c r="AV90" i="11"/>
  <c r="AU90" i="11"/>
  <c r="AT90" i="11"/>
  <c r="AS90" i="11"/>
  <c r="AR90" i="11"/>
  <c r="AQ90" i="11"/>
  <c r="AP90" i="11"/>
  <c r="AO90" i="11"/>
  <c r="AN90" i="11"/>
  <c r="AM90" i="11"/>
  <c r="AL90" i="11"/>
  <c r="AK90" i="11"/>
  <c r="AJ90" i="11"/>
  <c r="AI90" i="11"/>
  <c r="AH90" i="11"/>
  <c r="AG90" i="11"/>
  <c r="AF90" i="11"/>
  <c r="AE90" i="11"/>
  <c r="AD90" i="11"/>
  <c r="AC90" i="11"/>
  <c r="AB90" i="11"/>
  <c r="AA90" i="11"/>
  <c r="Z90" i="11"/>
  <c r="Y90" i="11"/>
  <c r="X90" i="11"/>
  <c r="W90" i="11"/>
  <c r="V90" i="11"/>
  <c r="U90" i="11"/>
  <c r="T90" i="11"/>
  <c r="S90" i="11"/>
  <c r="R90" i="11"/>
  <c r="Q90" i="11"/>
  <c r="P90" i="11"/>
  <c r="O90" i="11"/>
  <c r="N90" i="11"/>
  <c r="M90" i="11"/>
  <c r="L90" i="11"/>
  <c r="K90" i="11"/>
  <c r="J90" i="11"/>
  <c r="I90" i="11"/>
  <c r="H90" i="11"/>
  <c r="G90" i="11"/>
  <c r="F90" i="11"/>
  <c r="E90" i="11"/>
  <c r="D90" i="11"/>
  <c r="C90" i="11"/>
  <c r="BC89" i="11"/>
  <c r="BB89" i="11"/>
  <c r="BA89" i="11"/>
  <c r="AZ89" i="11"/>
  <c r="AY89" i="11"/>
  <c r="AX89" i="11"/>
  <c r="AW89" i="11"/>
  <c r="AV89" i="11"/>
  <c r="AU89" i="11"/>
  <c r="AT89" i="11"/>
  <c r="AS89" i="11"/>
  <c r="AR89" i="11"/>
  <c r="AQ89" i="11"/>
  <c r="AP89" i="11"/>
  <c r="AO89" i="11"/>
  <c r="AN89" i="11"/>
  <c r="AM89" i="11"/>
  <c r="AL89" i="11"/>
  <c r="AK89" i="11"/>
  <c r="AJ89" i="11"/>
  <c r="AI89" i="11"/>
  <c r="AH89" i="11"/>
  <c r="AG89" i="11"/>
  <c r="AF89" i="11"/>
  <c r="AE89" i="11"/>
  <c r="AD89" i="11"/>
  <c r="AC89" i="11"/>
  <c r="AB89" i="11"/>
  <c r="AA89" i="11"/>
  <c r="Z89" i="11"/>
  <c r="Y89" i="11"/>
  <c r="X89" i="11"/>
  <c r="W89" i="11"/>
  <c r="V89" i="11"/>
  <c r="U89" i="11"/>
  <c r="T89" i="11"/>
  <c r="S89" i="11"/>
  <c r="R89" i="11"/>
  <c r="Q89" i="11"/>
  <c r="P89" i="11"/>
  <c r="O89" i="11"/>
  <c r="N89" i="11"/>
  <c r="M89" i="11"/>
  <c r="L89" i="11"/>
  <c r="K89" i="11"/>
  <c r="J89" i="11"/>
  <c r="I89" i="11"/>
  <c r="H89" i="11"/>
  <c r="G89" i="11"/>
  <c r="F89" i="11"/>
  <c r="E89" i="11"/>
  <c r="D89" i="11"/>
  <c r="C89" i="11"/>
  <c r="BC88" i="11"/>
  <c r="BB88" i="11"/>
  <c r="BA88" i="11"/>
  <c r="AZ88" i="11"/>
  <c r="AY88" i="11"/>
  <c r="AX88" i="11"/>
  <c r="AW88" i="11"/>
  <c r="AV88" i="11"/>
  <c r="AU88" i="11"/>
  <c r="AT88" i="11"/>
  <c r="AS88" i="11"/>
  <c r="AR88" i="11"/>
  <c r="AQ88" i="11"/>
  <c r="AP88" i="11"/>
  <c r="AO88" i="11"/>
  <c r="AN88" i="11"/>
  <c r="AM88" i="11"/>
  <c r="AL88" i="11"/>
  <c r="AK88" i="11"/>
  <c r="AJ88" i="11"/>
  <c r="AI88" i="11"/>
  <c r="AH88" i="11"/>
  <c r="AG88" i="11"/>
  <c r="AF88" i="11"/>
  <c r="AE88" i="11"/>
  <c r="AD88" i="11"/>
  <c r="AC88" i="11"/>
  <c r="AB88" i="11"/>
  <c r="AA88" i="11"/>
  <c r="Z88" i="11"/>
  <c r="Y88" i="11"/>
  <c r="X88" i="11"/>
  <c r="W88" i="11"/>
  <c r="V88" i="11"/>
  <c r="U88" i="11"/>
  <c r="T88" i="11"/>
  <c r="S88" i="11"/>
  <c r="R88" i="11"/>
  <c r="Q88" i="11"/>
  <c r="P88" i="11"/>
  <c r="O88" i="11"/>
  <c r="N88" i="11"/>
  <c r="M88" i="11"/>
  <c r="L88" i="11"/>
  <c r="K88" i="11"/>
  <c r="J88" i="11"/>
  <c r="I88" i="11"/>
  <c r="H88" i="11"/>
  <c r="G88" i="11"/>
  <c r="F88" i="11"/>
  <c r="E88" i="11"/>
  <c r="D88" i="11"/>
  <c r="C88" i="11"/>
  <c r="BC87" i="11"/>
  <c r="BB87" i="11"/>
  <c r="BA87" i="11"/>
  <c r="AZ87" i="11"/>
  <c r="AY87" i="11"/>
  <c r="AX87" i="11"/>
  <c r="AW87" i="11"/>
  <c r="AV87" i="11"/>
  <c r="AU87" i="11"/>
  <c r="AT87" i="11"/>
  <c r="AS87" i="11"/>
  <c r="AR87" i="11"/>
  <c r="AQ87" i="11"/>
  <c r="AP87" i="11"/>
  <c r="AO87" i="11"/>
  <c r="AN87" i="11"/>
  <c r="AM87" i="11"/>
  <c r="AL87" i="11"/>
  <c r="AK87" i="11"/>
  <c r="AJ87" i="11"/>
  <c r="AI87" i="11"/>
  <c r="AH87" i="11"/>
  <c r="AG87" i="11"/>
  <c r="AF87" i="11"/>
  <c r="AE87" i="11"/>
  <c r="AD87" i="11"/>
  <c r="AC87" i="11"/>
  <c r="AB87" i="11"/>
  <c r="AA87" i="11"/>
  <c r="Z87" i="11"/>
  <c r="Y87" i="11"/>
  <c r="X87" i="11"/>
  <c r="W87" i="11"/>
  <c r="V87" i="11"/>
  <c r="U87" i="11"/>
  <c r="T87" i="11"/>
  <c r="S87" i="11"/>
  <c r="R87" i="11"/>
  <c r="Q87" i="11"/>
  <c r="P87" i="11"/>
  <c r="O87" i="11"/>
  <c r="N87" i="11"/>
  <c r="M87" i="11"/>
  <c r="L87" i="11"/>
  <c r="K87" i="11"/>
  <c r="J87" i="11"/>
  <c r="I87" i="11"/>
  <c r="H87" i="11"/>
  <c r="G87" i="11"/>
  <c r="F87" i="11"/>
  <c r="E87" i="11"/>
  <c r="D87" i="11"/>
  <c r="C87" i="11"/>
  <c r="BC86" i="11"/>
  <c r="BB86" i="11"/>
  <c r="BA86" i="11"/>
  <c r="AZ86" i="11"/>
  <c r="AY86" i="11"/>
  <c r="AX86" i="11"/>
  <c r="AW86" i="11"/>
  <c r="AV86" i="11"/>
  <c r="AU86" i="11"/>
  <c r="AT86" i="11"/>
  <c r="AS86" i="11"/>
  <c r="AR86" i="11"/>
  <c r="AQ86" i="11"/>
  <c r="AP86" i="11"/>
  <c r="AO86" i="11"/>
  <c r="AN86" i="11"/>
  <c r="AM86" i="11"/>
  <c r="AL86" i="11"/>
  <c r="AK86" i="11"/>
  <c r="AJ86" i="11"/>
  <c r="AI86" i="11"/>
  <c r="AH86" i="11"/>
  <c r="AG86" i="11"/>
  <c r="AF86" i="11"/>
  <c r="AE86" i="11"/>
  <c r="AD86" i="11"/>
  <c r="AC86" i="11"/>
  <c r="AB86" i="11"/>
  <c r="AA86" i="11"/>
  <c r="Z86" i="11"/>
  <c r="Y86" i="11"/>
  <c r="X86" i="11"/>
  <c r="W86" i="11"/>
  <c r="V86" i="11"/>
  <c r="U86" i="11"/>
  <c r="T86" i="11"/>
  <c r="S86" i="11"/>
  <c r="R86" i="11"/>
  <c r="Q86" i="11"/>
  <c r="P86" i="11"/>
  <c r="O86" i="11"/>
  <c r="N86" i="11"/>
  <c r="M86" i="11"/>
  <c r="L86" i="11"/>
  <c r="K86" i="11"/>
  <c r="J86" i="11"/>
  <c r="I86" i="11"/>
  <c r="H86" i="11"/>
  <c r="G86" i="11"/>
  <c r="F86" i="11"/>
  <c r="E86" i="11"/>
  <c r="D86" i="11"/>
  <c r="C86" i="11"/>
  <c r="BC85" i="11"/>
  <c r="BB85" i="11"/>
  <c r="BA85" i="11"/>
  <c r="AZ85" i="11"/>
  <c r="AY85" i="11"/>
  <c r="AX85" i="11"/>
  <c r="AW85" i="11"/>
  <c r="AV85" i="11"/>
  <c r="AU85" i="11"/>
  <c r="AT85" i="11"/>
  <c r="AS85" i="11"/>
  <c r="AR85" i="11"/>
  <c r="AQ85" i="11"/>
  <c r="AP85" i="11"/>
  <c r="AO85" i="11"/>
  <c r="AN85" i="11"/>
  <c r="AM85" i="11"/>
  <c r="AL85" i="11"/>
  <c r="AK85" i="11"/>
  <c r="AJ85" i="11"/>
  <c r="AI85" i="11"/>
  <c r="AH85" i="11"/>
  <c r="AG85" i="11"/>
  <c r="AF85" i="11"/>
  <c r="AE85" i="11"/>
  <c r="AD85" i="11"/>
  <c r="AC85" i="11"/>
  <c r="AB85" i="11"/>
  <c r="AA85" i="11"/>
  <c r="Z85" i="11"/>
  <c r="Y85" i="11"/>
  <c r="X85" i="11"/>
  <c r="W85" i="11"/>
  <c r="V85" i="11"/>
  <c r="U85" i="11"/>
  <c r="T85" i="11"/>
  <c r="S85" i="11"/>
  <c r="R85" i="11"/>
  <c r="Q85" i="11"/>
  <c r="P85" i="11"/>
  <c r="O85" i="11"/>
  <c r="N85" i="11"/>
  <c r="M85" i="11"/>
  <c r="L85" i="11"/>
  <c r="K85" i="11"/>
  <c r="J85" i="11"/>
  <c r="I85" i="11"/>
  <c r="H85" i="11"/>
  <c r="G85" i="11"/>
  <c r="F85" i="11"/>
  <c r="E85" i="11"/>
  <c r="D85" i="11"/>
  <c r="C85" i="11"/>
  <c r="BC84" i="11"/>
  <c r="BB84" i="11"/>
  <c r="BA84" i="11"/>
  <c r="AZ84" i="11"/>
  <c r="AY84" i="11"/>
  <c r="AX84" i="11"/>
  <c r="AW84" i="11"/>
  <c r="AV84" i="11"/>
  <c r="AU84" i="11"/>
  <c r="AT84" i="11"/>
  <c r="AS84" i="11"/>
  <c r="AR84" i="11"/>
  <c r="AQ84" i="11"/>
  <c r="AP84" i="11"/>
  <c r="AO84" i="11"/>
  <c r="AN84" i="11"/>
  <c r="AM84" i="11"/>
  <c r="AL84" i="11"/>
  <c r="AK84" i="11"/>
  <c r="AJ84" i="11"/>
  <c r="AI84" i="11"/>
  <c r="AH84" i="11"/>
  <c r="AG84" i="11"/>
  <c r="AF84" i="11"/>
  <c r="AE84" i="11"/>
  <c r="AD84" i="11"/>
  <c r="AC84" i="11"/>
  <c r="AB84" i="11"/>
  <c r="AA84" i="11"/>
  <c r="Z84" i="11"/>
  <c r="Y84" i="11"/>
  <c r="X84" i="11"/>
  <c r="W84" i="11"/>
  <c r="V84" i="11"/>
  <c r="U84" i="11"/>
  <c r="T84" i="11"/>
  <c r="S84" i="11"/>
  <c r="R84" i="11"/>
  <c r="Q84" i="11"/>
  <c r="P84" i="11"/>
  <c r="O84" i="11"/>
  <c r="N84" i="11"/>
  <c r="M84" i="11"/>
  <c r="L84" i="11"/>
  <c r="K84" i="11"/>
  <c r="J84" i="11"/>
  <c r="I84" i="11"/>
  <c r="H84" i="11"/>
  <c r="G84" i="11"/>
  <c r="F84" i="11"/>
  <c r="E84" i="11"/>
  <c r="D84" i="11"/>
  <c r="C84" i="11"/>
  <c r="BC83" i="11"/>
  <c r="BB83" i="11"/>
  <c r="BA83" i="11"/>
  <c r="AZ83" i="11"/>
  <c r="AY83" i="11"/>
  <c r="AX83" i="11"/>
  <c r="AW83" i="11"/>
  <c r="AV83" i="11"/>
  <c r="AU83" i="11"/>
  <c r="AT83" i="11"/>
  <c r="AS83" i="11"/>
  <c r="AR83" i="11"/>
  <c r="AQ83" i="11"/>
  <c r="AP83" i="11"/>
  <c r="AO83" i="11"/>
  <c r="AN83" i="11"/>
  <c r="AM83" i="11"/>
  <c r="AL83" i="11"/>
  <c r="AK83" i="11"/>
  <c r="AJ83" i="11"/>
  <c r="AI83" i="11"/>
  <c r="AH83" i="11"/>
  <c r="AG83" i="11"/>
  <c r="AF83" i="11"/>
  <c r="AE83" i="11"/>
  <c r="AD83" i="11"/>
  <c r="AC83" i="11"/>
  <c r="AB83" i="11"/>
  <c r="AA83" i="11"/>
  <c r="Z83" i="11"/>
  <c r="Y83" i="11"/>
  <c r="X83" i="11"/>
  <c r="W83" i="11"/>
  <c r="V83" i="11"/>
  <c r="U83" i="11"/>
  <c r="T83" i="11"/>
  <c r="S83" i="11"/>
  <c r="R83" i="11"/>
  <c r="Q83" i="11"/>
  <c r="P83" i="11"/>
  <c r="O83" i="11"/>
  <c r="N83" i="11"/>
  <c r="M83" i="11"/>
  <c r="L83" i="11"/>
  <c r="K83" i="11"/>
  <c r="J83" i="11"/>
  <c r="I83" i="11"/>
  <c r="H83" i="11"/>
  <c r="G83" i="11"/>
  <c r="F83" i="11"/>
  <c r="E83" i="11"/>
  <c r="D83" i="11"/>
  <c r="C83" i="11"/>
  <c r="BC82" i="11"/>
  <c r="BB82" i="11"/>
  <c r="BA82" i="11"/>
  <c r="AZ82" i="11"/>
  <c r="AY82" i="11"/>
  <c r="AX82" i="11"/>
  <c r="AW82" i="11"/>
  <c r="AV82" i="11"/>
  <c r="AU82" i="11"/>
  <c r="AT82" i="11"/>
  <c r="AS82" i="11"/>
  <c r="AR82" i="11"/>
  <c r="AQ82" i="11"/>
  <c r="AP82" i="11"/>
  <c r="AO82" i="11"/>
  <c r="AN82" i="11"/>
  <c r="AM82" i="11"/>
  <c r="AL82" i="11"/>
  <c r="AK82" i="11"/>
  <c r="AJ82" i="11"/>
  <c r="AI82" i="11"/>
  <c r="AH82" i="11"/>
  <c r="AG82" i="11"/>
  <c r="AF82" i="11"/>
  <c r="AE82" i="11"/>
  <c r="AD82" i="11"/>
  <c r="AC82" i="11"/>
  <c r="AB82" i="11"/>
  <c r="AA82" i="11"/>
  <c r="Z82" i="11"/>
  <c r="Y82" i="11"/>
  <c r="X82" i="11"/>
  <c r="W82" i="11"/>
  <c r="V82" i="11"/>
  <c r="U82" i="11"/>
  <c r="T82" i="11"/>
  <c r="S82" i="11"/>
  <c r="R82" i="11"/>
  <c r="Q82" i="11"/>
  <c r="P82" i="11"/>
  <c r="O82" i="11"/>
  <c r="N82" i="11"/>
  <c r="M82" i="11"/>
  <c r="L82" i="11"/>
  <c r="K82" i="11"/>
  <c r="J82" i="11"/>
  <c r="I82" i="11"/>
  <c r="H82" i="11"/>
  <c r="G82" i="11"/>
  <c r="F82" i="11"/>
  <c r="E82" i="11"/>
  <c r="D82" i="11"/>
  <c r="C82" i="11"/>
  <c r="BC81" i="11"/>
  <c r="BB81" i="11"/>
  <c r="BA81" i="11"/>
  <c r="AZ81" i="11"/>
  <c r="AY81" i="11"/>
  <c r="AX81" i="11"/>
  <c r="AW81" i="11"/>
  <c r="AV81" i="11"/>
  <c r="AU81" i="11"/>
  <c r="AT81" i="11"/>
  <c r="AS81" i="11"/>
  <c r="AR81" i="11"/>
  <c r="AQ81" i="11"/>
  <c r="AP81" i="11"/>
  <c r="AO81" i="11"/>
  <c r="AN81" i="11"/>
  <c r="AM81" i="11"/>
  <c r="AL81" i="11"/>
  <c r="AK81" i="11"/>
  <c r="AJ81" i="11"/>
  <c r="AI81" i="11"/>
  <c r="AH81" i="11"/>
  <c r="AG81" i="11"/>
  <c r="AF81" i="11"/>
  <c r="AE81" i="11"/>
  <c r="AD81" i="11"/>
  <c r="AC81" i="11"/>
  <c r="AB81" i="11"/>
  <c r="AA81" i="11"/>
  <c r="Z81" i="11"/>
  <c r="Y81" i="11"/>
  <c r="X81" i="11"/>
  <c r="W81" i="11"/>
  <c r="V81" i="11"/>
  <c r="U81" i="11"/>
  <c r="T81" i="11"/>
  <c r="S81" i="11"/>
  <c r="R81" i="11"/>
  <c r="Q81" i="11"/>
  <c r="P81" i="11"/>
  <c r="O81" i="11"/>
  <c r="N81" i="11"/>
  <c r="M81" i="11"/>
  <c r="L81" i="11"/>
  <c r="K81" i="11"/>
  <c r="J81" i="11"/>
  <c r="I81" i="11"/>
  <c r="H81" i="11"/>
  <c r="G81" i="11"/>
  <c r="F81" i="11"/>
  <c r="E81" i="11"/>
  <c r="D81" i="11"/>
  <c r="C81" i="11"/>
  <c r="BC80" i="11"/>
  <c r="BB80" i="11"/>
  <c r="BA80" i="11"/>
  <c r="AZ80" i="11"/>
  <c r="AY80" i="11"/>
  <c r="AX80" i="11"/>
  <c r="AW80" i="11"/>
  <c r="AV80" i="11"/>
  <c r="AU80" i="11"/>
  <c r="AT80" i="11"/>
  <c r="AS80" i="11"/>
  <c r="AR80" i="11"/>
  <c r="AQ80" i="11"/>
  <c r="AP80" i="11"/>
  <c r="AO80" i="11"/>
  <c r="AN80" i="11"/>
  <c r="AM80" i="11"/>
  <c r="AL80" i="11"/>
  <c r="AK80" i="11"/>
  <c r="AJ80" i="11"/>
  <c r="AI80" i="11"/>
  <c r="AH80" i="11"/>
  <c r="AG80" i="11"/>
  <c r="AF80" i="11"/>
  <c r="AE80" i="11"/>
  <c r="AD80" i="11"/>
  <c r="AC80" i="11"/>
  <c r="AB80" i="11"/>
  <c r="AA80" i="11"/>
  <c r="Z80" i="11"/>
  <c r="Y80" i="11"/>
  <c r="X80" i="11"/>
  <c r="W80" i="11"/>
  <c r="V80" i="11"/>
  <c r="U80" i="11"/>
  <c r="T80" i="11"/>
  <c r="S80" i="11"/>
  <c r="R80" i="11"/>
  <c r="Q80" i="11"/>
  <c r="P80" i="11"/>
  <c r="O80" i="11"/>
  <c r="N80" i="11"/>
  <c r="M80" i="11"/>
  <c r="L80" i="11"/>
  <c r="K80" i="11"/>
  <c r="J80" i="11"/>
  <c r="I80" i="11"/>
  <c r="H80" i="11"/>
  <c r="G80" i="11"/>
  <c r="F80" i="11"/>
  <c r="E80" i="11"/>
  <c r="D80" i="11"/>
  <c r="C80" i="11"/>
  <c r="BC79" i="11"/>
  <c r="BB79" i="11"/>
  <c r="BA79" i="11"/>
  <c r="AZ79" i="11"/>
  <c r="AY79" i="11"/>
  <c r="AX79" i="11"/>
  <c r="AW79" i="11"/>
  <c r="AV79" i="11"/>
  <c r="AU79" i="11"/>
  <c r="AT79" i="11"/>
  <c r="AS79" i="11"/>
  <c r="AR79" i="11"/>
  <c r="AQ79" i="11"/>
  <c r="AP79" i="11"/>
  <c r="AO79" i="11"/>
  <c r="AN79" i="11"/>
  <c r="AM79" i="11"/>
  <c r="AL79" i="11"/>
  <c r="AK79" i="11"/>
  <c r="AJ79" i="11"/>
  <c r="AI79" i="11"/>
  <c r="AH79" i="11"/>
  <c r="AG79" i="11"/>
  <c r="AF79" i="11"/>
  <c r="AE79" i="11"/>
  <c r="AD79" i="11"/>
  <c r="AC79" i="11"/>
  <c r="AB79" i="11"/>
  <c r="AA79" i="11"/>
  <c r="Z79" i="11"/>
  <c r="Y79" i="11"/>
  <c r="X79" i="11"/>
  <c r="W79" i="11"/>
  <c r="V79" i="11"/>
  <c r="U79" i="11"/>
  <c r="T79" i="11"/>
  <c r="S79" i="11"/>
  <c r="R79" i="11"/>
  <c r="Q79" i="11"/>
  <c r="P79" i="11"/>
  <c r="O79" i="11"/>
  <c r="N79" i="11"/>
  <c r="M79" i="11"/>
  <c r="L79" i="11"/>
  <c r="K79" i="11"/>
  <c r="J79" i="11"/>
  <c r="I79" i="11"/>
  <c r="H79" i="11"/>
  <c r="G79" i="11"/>
  <c r="F79" i="11"/>
  <c r="E79" i="11"/>
  <c r="D79" i="11"/>
  <c r="C79" i="11"/>
  <c r="BC78" i="11"/>
  <c r="BB78" i="11"/>
  <c r="BA78" i="11"/>
  <c r="AZ78" i="11"/>
  <c r="AY78" i="11"/>
  <c r="AX78" i="11"/>
  <c r="AW78" i="11"/>
  <c r="AV78" i="11"/>
  <c r="AU78" i="11"/>
  <c r="AT78" i="11"/>
  <c r="AS78" i="11"/>
  <c r="AR78" i="11"/>
  <c r="AQ78" i="11"/>
  <c r="AP78" i="11"/>
  <c r="AO78" i="11"/>
  <c r="AN78" i="11"/>
  <c r="AM78" i="11"/>
  <c r="AL78" i="11"/>
  <c r="AK78" i="11"/>
  <c r="AJ78" i="11"/>
  <c r="AI78" i="11"/>
  <c r="AH78" i="11"/>
  <c r="AG78" i="11"/>
  <c r="AF78" i="11"/>
  <c r="AE78" i="11"/>
  <c r="AD78" i="11"/>
  <c r="AC78" i="11"/>
  <c r="AB78" i="11"/>
  <c r="AA78" i="11"/>
  <c r="Z78" i="11"/>
  <c r="Y78" i="11"/>
  <c r="X78" i="11"/>
  <c r="W78" i="11"/>
  <c r="V78" i="11"/>
  <c r="U78" i="11"/>
  <c r="T78" i="11"/>
  <c r="S78" i="11"/>
  <c r="R78" i="11"/>
  <c r="Q78" i="11"/>
  <c r="P78" i="11"/>
  <c r="O78" i="11"/>
  <c r="N78" i="11"/>
  <c r="M78" i="11"/>
  <c r="L78" i="11"/>
  <c r="K78" i="11"/>
  <c r="J78" i="11"/>
  <c r="I78" i="11"/>
  <c r="H78" i="11"/>
  <c r="G78" i="11"/>
  <c r="F78" i="11"/>
  <c r="E78" i="11"/>
  <c r="D78" i="11"/>
  <c r="C78" i="11"/>
  <c r="BC77" i="11"/>
  <c r="BB77" i="11"/>
  <c r="BA77" i="11"/>
  <c r="AZ77" i="11"/>
  <c r="AY77" i="11"/>
  <c r="AX77" i="11"/>
  <c r="AW77" i="11"/>
  <c r="AV77" i="11"/>
  <c r="AU77" i="11"/>
  <c r="AT77" i="11"/>
  <c r="AS77" i="11"/>
  <c r="AR77" i="11"/>
  <c r="AQ77" i="11"/>
  <c r="AP77" i="11"/>
  <c r="AO77" i="11"/>
  <c r="AN77" i="11"/>
  <c r="AM77" i="11"/>
  <c r="AL77" i="11"/>
  <c r="AK77" i="11"/>
  <c r="AJ77" i="11"/>
  <c r="AI77" i="11"/>
  <c r="AH77" i="11"/>
  <c r="AG77" i="11"/>
  <c r="AF77" i="11"/>
  <c r="AE77" i="11"/>
  <c r="AD77" i="11"/>
  <c r="AC77" i="11"/>
  <c r="AB77" i="11"/>
  <c r="AA77" i="11"/>
  <c r="Z77" i="11"/>
  <c r="Y77" i="11"/>
  <c r="X77" i="11"/>
  <c r="W77" i="11"/>
  <c r="V77" i="11"/>
  <c r="U77" i="11"/>
  <c r="T77" i="11"/>
  <c r="S77" i="11"/>
  <c r="R77" i="11"/>
  <c r="Q77" i="11"/>
  <c r="P77" i="11"/>
  <c r="O77" i="11"/>
  <c r="N77" i="11"/>
  <c r="M77" i="11"/>
  <c r="L77" i="11"/>
  <c r="K77" i="11"/>
  <c r="J77" i="11"/>
  <c r="I77" i="11"/>
  <c r="H77" i="11"/>
  <c r="G77" i="11"/>
  <c r="F77" i="11"/>
  <c r="E77" i="11"/>
  <c r="D77" i="11"/>
  <c r="C77" i="11"/>
  <c r="BC76" i="11"/>
  <c r="BB76" i="11"/>
  <c r="BA76" i="11"/>
  <c r="AZ76" i="11"/>
  <c r="AY76" i="11"/>
  <c r="AX76" i="11"/>
  <c r="AW76" i="11"/>
  <c r="AV76" i="11"/>
  <c r="AU76" i="11"/>
  <c r="AT76" i="11"/>
  <c r="AS76" i="11"/>
  <c r="AR76" i="11"/>
  <c r="AQ76" i="11"/>
  <c r="AP76" i="11"/>
  <c r="AO76" i="11"/>
  <c r="AN76" i="11"/>
  <c r="AM76" i="11"/>
  <c r="AL76" i="11"/>
  <c r="AK76" i="11"/>
  <c r="AJ76" i="11"/>
  <c r="AI76" i="11"/>
  <c r="AH76" i="11"/>
  <c r="AG76" i="11"/>
  <c r="AF76" i="11"/>
  <c r="AE76" i="11"/>
  <c r="AD76" i="11"/>
  <c r="AC76" i="11"/>
  <c r="AB76" i="11"/>
  <c r="AA76" i="11"/>
  <c r="Z76" i="11"/>
  <c r="Y76" i="11"/>
  <c r="X76" i="11"/>
  <c r="W76" i="11"/>
  <c r="V76" i="11"/>
  <c r="U76" i="11"/>
  <c r="T76" i="11"/>
  <c r="S76" i="11"/>
  <c r="R76" i="11"/>
  <c r="Q76" i="11"/>
  <c r="P76" i="11"/>
  <c r="O76" i="11"/>
  <c r="N76" i="11"/>
  <c r="M76" i="11"/>
  <c r="L76" i="11"/>
  <c r="K76" i="11"/>
  <c r="J76" i="11"/>
  <c r="I76" i="11"/>
  <c r="H76" i="11"/>
  <c r="G76" i="11"/>
  <c r="F76" i="11"/>
  <c r="E76" i="11"/>
  <c r="D76" i="11"/>
  <c r="C76" i="11"/>
  <c r="BC75" i="11"/>
  <c r="BB75" i="11"/>
  <c r="BA75" i="11"/>
  <c r="AZ75" i="11"/>
  <c r="AY75" i="11"/>
  <c r="AX75" i="11"/>
  <c r="AW75" i="11"/>
  <c r="AV75" i="11"/>
  <c r="AU75" i="11"/>
  <c r="AT75" i="11"/>
  <c r="AS75" i="11"/>
  <c r="AR75" i="11"/>
  <c r="AQ75" i="11"/>
  <c r="AP75" i="11"/>
  <c r="AO75" i="11"/>
  <c r="AN75" i="11"/>
  <c r="AM75" i="11"/>
  <c r="AL75" i="11"/>
  <c r="AK75" i="11"/>
  <c r="AJ75" i="11"/>
  <c r="AI75" i="11"/>
  <c r="AH75" i="11"/>
  <c r="AG75" i="11"/>
  <c r="AF75" i="11"/>
  <c r="AE75" i="11"/>
  <c r="AD75" i="11"/>
  <c r="AC75" i="11"/>
  <c r="AB75" i="11"/>
  <c r="AA75" i="11"/>
  <c r="Z75" i="11"/>
  <c r="Y75" i="11"/>
  <c r="X75" i="11"/>
  <c r="W75" i="11"/>
  <c r="V75" i="11"/>
  <c r="U75" i="11"/>
  <c r="T75" i="11"/>
  <c r="S75" i="11"/>
  <c r="R75" i="11"/>
  <c r="Q75" i="11"/>
  <c r="P75" i="11"/>
  <c r="O75" i="11"/>
  <c r="N75" i="11"/>
  <c r="M75" i="11"/>
  <c r="L75" i="11"/>
  <c r="K75" i="11"/>
  <c r="J75" i="11"/>
  <c r="I75" i="11"/>
  <c r="H75" i="11"/>
  <c r="G75" i="11"/>
  <c r="F75" i="11"/>
  <c r="E75" i="11"/>
  <c r="D75" i="11"/>
  <c r="C75" i="11"/>
  <c r="BC74" i="11"/>
  <c r="BB74" i="11"/>
  <c r="BA74" i="11"/>
  <c r="AZ74" i="11"/>
  <c r="AY74" i="11"/>
  <c r="AX74" i="11"/>
  <c r="AW74" i="11"/>
  <c r="AV74" i="11"/>
  <c r="AU74" i="11"/>
  <c r="AT74" i="11"/>
  <c r="AS74" i="11"/>
  <c r="AR74" i="11"/>
  <c r="AQ74" i="11"/>
  <c r="AP74" i="11"/>
  <c r="AO74" i="11"/>
  <c r="AN74" i="11"/>
  <c r="AM74" i="11"/>
  <c r="AL74" i="11"/>
  <c r="AK74" i="11"/>
  <c r="AJ74" i="11"/>
  <c r="AI74" i="11"/>
  <c r="AH74" i="11"/>
  <c r="AG74" i="11"/>
  <c r="AF74" i="11"/>
  <c r="AE74" i="11"/>
  <c r="AD74" i="11"/>
  <c r="AC74" i="11"/>
  <c r="AB74" i="11"/>
  <c r="AA74" i="11"/>
  <c r="Z74" i="11"/>
  <c r="Y74" i="11"/>
  <c r="X74" i="11"/>
  <c r="W74" i="11"/>
  <c r="V74" i="11"/>
  <c r="U74" i="11"/>
  <c r="T74" i="11"/>
  <c r="S74" i="11"/>
  <c r="R74" i="11"/>
  <c r="Q74" i="11"/>
  <c r="P74" i="11"/>
  <c r="O74" i="11"/>
  <c r="N74" i="11"/>
  <c r="M74" i="11"/>
  <c r="L74" i="11"/>
  <c r="K74" i="11"/>
  <c r="J74" i="11"/>
  <c r="I74" i="11"/>
  <c r="H74" i="11"/>
  <c r="G74" i="11"/>
  <c r="F74" i="11"/>
  <c r="E74" i="11"/>
  <c r="D74" i="11"/>
  <c r="C74" i="11"/>
  <c r="BC73" i="11"/>
  <c r="BB73" i="11"/>
  <c r="BA73" i="11"/>
  <c r="AZ73" i="11"/>
  <c r="AY73" i="11"/>
  <c r="AX73" i="11"/>
  <c r="AW73" i="11"/>
  <c r="AV73" i="11"/>
  <c r="AU73" i="11"/>
  <c r="AT73" i="11"/>
  <c r="AS73" i="11"/>
  <c r="AR73" i="11"/>
  <c r="AQ73" i="11"/>
  <c r="AP73" i="11"/>
  <c r="AO73" i="11"/>
  <c r="AN73" i="11"/>
  <c r="AM73" i="11"/>
  <c r="AL73" i="11"/>
  <c r="AK73" i="11"/>
  <c r="AJ73" i="11"/>
  <c r="AI73" i="11"/>
  <c r="AH73" i="11"/>
  <c r="AG73" i="11"/>
  <c r="AF73" i="11"/>
  <c r="AE73" i="11"/>
  <c r="AD73" i="11"/>
  <c r="AC73" i="11"/>
  <c r="AB73" i="11"/>
  <c r="AA73" i="11"/>
  <c r="Z73" i="11"/>
  <c r="Y73" i="11"/>
  <c r="X73" i="11"/>
  <c r="W73" i="11"/>
  <c r="V73" i="11"/>
  <c r="U73" i="11"/>
  <c r="T73" i="11"/>
  <c r="S73" i="11"/>
  <c r="R73" i="11"/>
  <c r="Q73" i="11"/>
  <c r="P73" i="11"/>
  <c r="O73" i="11"/>
  <c r="N73" i="11"/>
  <c r="M73" i="11"/>
  <c r="L73" i="11"/>
  <c r="K73" i="11"/>
  <c r="J73" i="11"/>
  <c r="I73" i="11"/>
  <c r="H73" i="11"/>
  <c r="G73" i="11"/>
  <c r="F73" i="11"/>
  <c r="E73" i="11"/>
  <c r="D73" i="11"/>
  <c r="C73" i="11"/>
  <c r="BC72" i="11"/>
  <c r="BB72" i="11"/>
  <c r="BA72" i="11"/>
  <c r="AZ72" i="11"/>
  <c r="AY72" i="11"/>
  <c r="AX72" i="11"/>
  <c r="AW72" i="11"/>
  <c r="AV72" i="11"/>
  <c r="AU72" i="11"/>
  <c r="AT72" i="11"/>
  <c r="AS72" i="11"/>
  <c r="AR72" i="11"/>
  <c r="AQ72" i="11"/>
  <c r="AP72" i="11"/>
  <c r="AO72" i="11"/>
  <c r="AN72" i="11"/>
  <c r="AM72" i="11"/>
  <c r="AL72" i="11"/>
  <c r="AK72" i="11"/>
  <c r="AJ72" i="11"/>
  <c r="AI72" i="11"/>
  <c r="AH72" i="11"/>
  <c r="AG72" i="11"/>
  <c r="AF72" i="11"/>
  <c r="AE72" i="11"/>
  <c r="AD72" i="11"/>
  <c r="AC72" i="11"/>
  <c r="AB72" i="11"/>
  <c r="AA72" i="11"/>
  <c r="Z72" i="11"/>
  <c r="Y72" i="11"/>
  <c r="X72" i="11"/>
  <c r="W72" i="11"/>
  <c r="V72" i="11"/>
  <c r="U72" i="11"/>
  <c r="T72" i="11"/>
  <c r="S72" i="11"/>
  <c r="R72" i="11"/>
  <c r="Q72" i="11"/>
  <c r="P72" i="11"/>
  <c r="O72" i="11"/>
  <c r="N72" i="11"/>
  <c r="M72" i="11"/>
  <c r="L72" i="11"/>
  <c r="K72" i="11"/>
  <c r="J72" i="11"/>
  <c r="I72" i="11"/>
  <c r="H72" i="11"/>
  <c r="G72" i="11"/>
  <c r="F72" i="11"/>
  <c r="E72" i="11"/>
  <c r="D72" i="11"/>
  <c r="C72"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D71" i="11"/>
  <c r="C71" i="11"/>
  <c r="BC70" i="11"/>
  <c r="BB70" i="11"/>
  <c r="BA70" i="11"/>
  <c r="AZ70" i="11"/>
  <c r="AY70" i="11"/>
  <c r="AX70" i="11"/>
  <c r="AW70" i="11"/>
  <c r="AV70" i="11"/>
  <c r="AU70" i="11"/>
  <c r="AT70" i="11"/>
  <c r="AS70" i="11"/>
  <c r="AR70" i="11"/>
  <c r="AQ70" i="11"/>
  <c r="AP70" i="11"/>
  <c r="AO70" i="11"/>
  <c r="AN70" i="11"/>
  <c r="AM70" i="11"/>
  <c r="AL70" i="11"/>
  <c r="AK70" i="11"/>
  <c r="AJ70" i="11"/>
  <c r="AI70" i="11"/>
  <c r="AH70" i="11"/>
  <c r="AG70" i="11"/>
  <c r="AF70" i="11"/>
  <c r="AE70" i="11"/>
  <c r="AD70" i="11"/>
  <c r="AC70" i="11"/>
  <c r="AB70" i="11"/>
  <c r="AA70" i="11"/>
  <c r="Z70" i="11"/>
  <c r="Y70" i="11"/>
  <c r="X70" i="11"/>
  <c r="W70" i="11"/>
  <c r="V70" i="11"/>
  <c r="U70" i="11"/>
  <c r="T70" i="11"/>
  <c r="S70" i="11"/>
  <c r="R70" i="11"/>
  <c r="Q70" i="11"/>
  <c r="P70" i="11"/>
  <c r="O70" i="11"/>
  <c r="N70" i="11"/>
  <c r="M70" i="11"/>
  <c r="L70" i="11"/>
  <c r="K70" i="11"/>
  <c r="J70" i="11"/>
  <c r="I70" i="11"/>
  <c r="H70" i="11"/>
  <c r="G70" i="11"/>
  <c r="F70" i="11"/>
  <c r="E70" i="11"/>
  <c r="D70" i="11"/>
  <c r="C70" i="11"/>
  <c r="BC69" i="11"/>
  <c r="BB69" i="11"/>
  <c r="BA69" i="11"/>
  <c r="AZ69" i="11"/>
  <c r="AY69" i="11"/>
  <c r="AX69" i="11"/>
  <c r="AW69" i="11"/>
  <c r="AV69" i="11"/>
  <c r="AU69" i="11"/>
  <c r="AT69" i="11"/>
  <c r="AS69" i="11"/>
  <c r="AR69" i="11"/>
  <c r="AQ69" i="11"/>
  <c r="AP69" i="11"/>
  <c r="AO69" i="11"/>
  <c r="AN69" i="11"/>
  <c r="AM69" i="11"/>
  <c r="AL69" i="11"/>
  <c r="AK69" i="11"/>
  <c r="AJ69" i="11"/>
  <c r="AI69" i="11"/>
  <c r="AH69" i="11"/>
  <c r="AG69" i="11"/>
  <c r="AF69" i="11"/>
  <c r="AE69" i="11"/>
  <c r="AD69" i="11"/>
  <c r="AC69" i="11"/>
  <c r="AB69" i="11"/>
  <c r="AA69" i="11"/>
  <c r="Z69" i="11"/>
  <c r="Y69" i="11"/>
  <c r="X69" i="11"/>
  <c r="W69" i="11"/>
  <c r="V69" i="11"/>
  <c r="U69" i="11"/>
  <c r="T69" i="11"/>
  <c r="S69" i="11"/>
  <c r="R69" i="11"/>
  <c r="Q69" i="11"/>
  <c r="P69" i="11"/>
  <c r="O69" i="11"/>
  <c r="N69" i="11"/>
  <c r="M69" i="11"/>
  <c r="L69" i="11"/>
  <c r="K69" i="11"/>
  <c r="J69" i="11"/>
  <c r="I69" i="11"/>
  <c r="H69" i="11"/>
  <c r="G69" i="11"/>
  <c r="F69" i="11"/>
  <c r="E69" i="11"/>
  <c r="D69" i="11"/>
  <c r="C69"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D68" i="11"/>
  <c r="C68"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D67" i="11"/>
  <c r="C67" i="11"/>
  <c r="BC66" i="11"/>
  <c r="BB66" i="11"/>
  <c r="BA66" i="11"/>
  <c r="AZ66" i="11"/>
  <c r="AY66" i="11"/>
  <c r="AX66" i="11"/>
  <c r="AW66" i="11"/>
  <c r="AV66" i="11"/>
  <c r="AU66" i="11"/>
  <c r="AT66" i="11"/>
  <c r="AS66" i="11"/>
  <c r="AR66" i="11"/>
  <c r="AQ66" i="11"/>
  <c r="AP66" i="11"/>
  <c r="AO66" i="11"/>
  <c r="AN66" i="11"/>
  <c r="AM66" i="11"/>
  <c r="AL66" i="11"/>
  <c r="AK66" i="11"/>
  <c r="AJ66" i="11"/>
  <c r="AI66" i="11"/>
  <c r="AH66" i="11"/>
  <c r="AG66" i="11"/>
  <c r="AF66" i="11"/>
  <c r="AE66" i="11"/>
  <c r="AD66" i="11"/>
  <c r="AC66" i="11"/>
  <c r="AB66" i="11"/>
  <c r="AA66" i="11"/>
  <c r="Z66" i="11"/>
  <c r="Y66" i="11"/>
  <c r="X66" i="11"/>
  <c r="W66" i="11"/>
  <c r="V66" i="11"/>
  <c r="U66" i="11"/>
  <c r="T66" i="11"/>
  <c r="S66" i="11"/>
  <c r="R66" i="11"/>
  <c r="Q66" i="11"/>
  <c r="P66" i="11"/>
  <c r="O66" i="11"/>
  <c r="N66" i="11"/>
  <c r="M66" i="11"/>
  <c r="L66" i="11"/>
  <c r="K66" i="11"/>
  <c r="J66" i="11"/>
  <c r="I66" i="11"/>
  <c r="H66" i="11"/>
  <c r="G66" i="11"/>
  <c r="F66" i="11"/>
  <c r="E66" i="11"/>
  <c r="D66" i="11"/>
  <c r="C66" i="11"/>
  <c r="BC65" i="11"/>
  <c r="BB65" i="11"/>
  <c r="BA65" i="11"/>
  <c r="AZ65" i="11"/>
  <c r="AY65" i="11"/>
  <c r="AX65" i="11"/>
  <c r="AW65" i="11"/>
  <c r="AV65" i="11"/>
  <c r="AU65" i="11"/>
  <c r="AT65" i="11"/>
  <c r="AS65" i="11"/>
  <c r="AR65" i="11"/>
  <c r="AQ65" i="11"/>
  <c r="AP65" i="11"/>
  <c r="AO65" i="11"/>
  <c r="AN65" i="11"/>
  <c r="AM65" i="11"/>
  <c r="AL65" i="11"/>
  <c r="AK65" i="11"/>
  <c r="AJ65" i="11"/>
  <c r="AI65" i="11"/>
  <c r="AH65" i="11"/>
  <c r="AG65" i="11"/>
  <c r="AF65" i="11"/>
  <c r="AE65" i="11"/>
  <c r="AD65" i="11"/>
  <c r="AC65" i="11"/>
  <c r="AB65" i="11"/>
  <c r="AA65" i="11"/>
  <c r="Z65" i="11"/>
  <c r="Y65" i="11"/>
  <c r="X65" i="11"/>
  <c r="W65" i="11"/>
  <c r="V65" i="11"/>
  <c r="U65" i="11"/>
  <c r="T65" i="11"/>
  <c r="S65" i="11"/>
  <c r="R65" i="11"/>
  <c r="Q65" i="11"/>
  <c r="P65" i="11"/>
  <c r="O65" i="11"/>
  <c r="N65" i="11"/>
  <c r="M65" i="11"/>
  <c r="L65" i="11"/>
  <c r="K65" i="11"/>
  <c r="J65" i="11"/>
  <c r="I65" i="11"/>
  <c r="H65" i="11"/>
  <c r="G65" i="11"/>
  <c r="F65" i="11"/>
  <c r="E65" i="11"/>
  <c r="D65" i="11"/>
  <c r="C65"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D64" i="11"/>
  <c r="C64" i="11"/>
  <c r="BC63" i="11"/>
  <c r="BB63" i="11"/>
  <c r="BA63" i="11"/>
  <c r="AZ63" i="11"/>
  <c r="AY63" i="11"/>
  <c r="AX63" i="11"/>
  <c r="AW63" i="11"/>
  <c r="AV63" i="11"/>
  <c r="AU63" i="11"/>
  <c r="AT63" i="11"/>
  <c r="AS63" i="11"/>
  <c r="AR63" i="11"/>
  <c r="AQ63" i="11"/>
  <c r="AP63" i="11"/>
  <c r="AO63" i="11"/>
  <c r="AN63" i="11"/>
  <c r="AM63" i="11"/>
  <c r="AL63" i="11"/>
  <c r="AK63" i="11"/>
  <c r="AJ63" i="11"/>
  <c r="AI63" i="11"/>
  <c r="AH63" i="11"/>
  <c r="AG63" i="11"/>
  <c r="AF63" i="11"/>
  <c r="AE63" i="11"/>
  <c r="AD63" i="11"/>
  <c r="AC63" i="11"/>
  <c r="AB63" i="11"/>
  <c r="AA63" i="11"/>
  <c r="Z63" i="11"/>
  <c r="Y63" i="11"/>
  <c r="X63" i="11"/>
  <c r="W63" i="11"/>
  <c r="V63" i="11"/>
  <c r="U63" i="11"/>
  <c r="T63" i="11"/>
  <c r="S63" i="11"/>
  <c r="R63" i="11"/>
  <c r="Q63" i="11"/>
  <c r="P63" i="11"/>
  <c r="O63" i="11"/>
  <c r="N63" i="11"/>
  <c r="M63" i="11"/>
  <c r="L63" i="11"/>
  <c r="K63" i="11"/>
  <c r="J63" i="11"/>
  <c r="I63" i="11"/>
  <c r="H63" i="11"/>
  <c r="G63" i="11"/>
  <c r="F63" i="11"/>
  <c r="E63" i="11"/>
  <c r="D63" i="11"/>
  <c r="C63" i="11"/>
  <c r="BC62" i="11"/>
  <c r="BB62" i="11"/>
  <c r="BA62" i="11"/>
  <c r="AZ62" i="11"/>
  <c r="AY62" i="11"/>
  <c r="AX62" i="11"/>
  <c r="AW62" i="11"/>
  <c r="AV62" i="11"/>
  <c r="AU62" i="11"/>
  <c r="AT62" i="11"/>
  <c r="AS62" i="11"/>
  <c r="AR62" i="11"/>
  <c r="AQ62" i="11"/>
  <c r="AP62" i="11"/>
  <c r="AO62" i="11"/>
  <c r="AN62" i="11"/>
  <c r="AM62" i="11"/>
  <c r="AL62" i="11"/>
  <c r="AK62" i="11"/>
  <c r="AJ62" i="11"/>
  <c r="AI62" i="11"/>
  <c r="AH62" i="11"/>
  <c r="AG62" i="11"/>
  <c r="AF62" i="11"/>
  <c r="AE62" i="11"/>
  <c r="AD62" i="11"/>
  <c r="AC62" i="11"/>
  <c r="AB62" i="11"/>
  <c r="AA62" i="11"/>
  <c r="Z62" i="11"/>
  <c r="Y62" i="11"/>
  <c r="X62" i="11"/>
  <c r="W62" i="11"/>
  <c r="V62" i="11"/>
  <c r="U62" i="11"/>
  <c r="T62" i="11"/>
  <c r="S62" i="11"/>
  <c r="R62" i="11"/>
  <c r="Q62" i="11"/>
  <c r="P62" i="11"/>
  <c r="O62" i="11"/>
  <c r="N62" i="11"/>
  <c r="M62" i="11"/>
  <c r="L62" i="11"/>
  <c r="K62" i="11"/>
  <c r="J62" i="11"/>
  <c r="I62" i="11"/>
  <c r="H62" i="11"/>
  <c r="G62" i="11"/>
  <c r="F62" i="11"/>
  <c r="E62" i="11"/>
  <c r="D62" i="11"/>
  <c r="C62" i="11"/>
  <c r="BC61" i="11"/>
  <c r="BB61" i="11"/>
  <c r="BA61" i="11"/>
  <c r="AZ61" i="11"/>
  <c r="AY61" i="11"/>
  <c r="AX61" i="11"/>
  <c r="AW61" i="11"/>
  <c r="AV61" i="11"/>
  <c r="AU61" i="11"/>
  <c r="AT61" i="11"/>
  <c r="AS61" i="11"/>
  <c r="AR61" i="11"/>
  <c r="AQ61" i="11"/>
  <c r="AP61" i="11"/>
  <c r="AO61" i="11"/>
  <c r="AN61" i="11"/>
  <c r="AM61" i="11"/>
  <c r="AL61" i="11"/>
  <c r="AK61" i="11"/>
  <c r="AJ61" i="11"/>
  <c r="AI61" i="11"/>
  <c r="AH61" i="11"/>
  <c r="AG61" i="11"/>
  <c r="AF61" i="11"/>
  <c r="AE61" i="11"/>
  <c r="AD61" i="11"/>
  <c r="AC61" i="11"/>
  <c r="AB61" i="11"/>
  <c r="AA61" i="11"/>
  <c r="Z61" i="11"/>
  <c r="Y61" i="11"/>
  <c r="X61" i="11"/>
  <c r="W61" i="11"/>
  <c r="V61" i="11"/>
  <c r="U61" i="11"/>
  <c r="T61" i="11"/>
  <c r="S61" i="11"/>
  <c r="R61" i="11"/>
  <c r="Q61" i="11"/>
  <c r="P61" i="11"/>
  <c r="O61" i="11"/>
  <c r="N61" i="11"/>
  <c r="M61" i="11"/>
  <c r="L61" i="11"/>
  <c r="K61" i="11"/>
  <c r="J61" i="11"/>
  <c r="I61" i="11"/>
  <c r="H61" i="11"/>
  <c r="G61" i="11"/>
  <c r="F61" i="11"/>
  <c r="E61" i="11"/>
  <c r="D61" i="11"/>
  <c r="C61" i="11"/>
  <c r="BC60" i="11"/>
  <c r="BB60" i="11"/>
  <c r="BA60" i="11"/>
  <c r="AZ60" i="11"/>
  <c r="AY60" i="11"/>
  <c r="AX60" i="11"/>
  <c r="AW60" i="11"/>
  <c r="AV60" i="11"/>
  <c r="AU60" i="11"/>
  <c r="AT60" i="11"/>
  <c r="AS60" i="11"/>
  <c r="AR60" i="11"/>
  <c r="AQ60" i="11"/>
  <c r="AP60" i="11"/>
  <c r="AO60" i="11"/>
  <c r="AN60" i="11"/>
  <c r="AM60" i="11"/>
  <c r="AL60" i="11"/>
  <c r="AK60" i="11"/>
  <c r="AJ60" i="11"/>
  <c r="AI60" i="11"/>
  <c r="AH60" i="11"/>
  <c r="AG60" i="11"/>
  <c r="AF60" i="11"/>
  <c r="AE60" i="11"/>
  <c r="AD60" i="11"/>
  <c r="AC60" i="11"/>
  <c r="AB60" i="11"/>
  <c r="AA60" i="11"/>
  <c r="Z60" i="11"/>
  <c r="Y60" i="11"/>
  <c r="X60" i="11"/>
  <c r="W60" i="11"/>
  <c r="V60" i="11"/>
  <c r="U60" i="11"/>
  <c r="T60" i="11"/>
  <c r="S60" i="11"/>
  <c r="R60" i="11"/>
  <c r="Q60" i="11"/>
  <c r="P60" i="11"/>
  <c r="O60" i="11"/>
  <c r="N60" i="11"/>
  <c r="M60" i="11"/>
  <c r="L60" i="11"/>
  <c r="K60" i="11"/>
  <c r="J60" i="11"/>
  <c r="I60" i="11"/>
  <c r="H60" i="11"/>
  <c r="G60" i="11"/>
  <c r="F60" i="11"/>
  <c r="E60" i="11"/>
  <c r="D60" i="11"/>
  <c r="C60" i="11"/>
  <c r="BC59" i="11"/>
  <c r="BB59" i="11"/>
  <c r="BA59" i="11"/>
  <c r="AZ59" i="11"/>
  <c r="AY59" i="11"/>
  <c r="AX59" i="11"/>
  <c r="AW59" i="11"/>
  <c r="AV59" i="11"/>
  <c r="AU59" i="11"/>
  <c r="AT59" i="11"/>
  <c r="AS59" i="11"/>
  <c r="AR59" i="11"/>
  <c r="AQ59" i="11"/>
  <c r="AP59" i="11"/>
  <c r="AO59" i="11"/>
  <c r="AN59" i="11"/>
  <c r="AM59" i="11"/>
  <c r="AL59" i="11"/>
  <c r="AK59" i="11"/>
  <c r="AJ59" i="11"/>
  <c r="AI59" i="11"/>
  <c r="AH59" i="11"/>
  <c r="AG59" i="11"/>
  <c r="AF59" i="11"/>
  <c r="AE59" i="11"/>
  <c r="AD59" i="11"/>
  <c r="AC59" i="11"/>
  <c r="AB59" i="11"/>
  <c r="AA59" i="11"/>
  <c r="Z59" i="11"/>
  <c r="Y59" i="11"/>
  <c r="X59" i="11"/>
  <c r="W59" i="11"/>
  <c r="V59" i="11"/>
  <c r="U59" i="11"/>
  <c r="T59" i="11"/>
  <c r="S59" i="11"/>
  <c r="R59" i="11"/>
  <c r="Q59" i="11"/>
  <c r="P59" i="11"/>
  <c r="O59" i="11"/>
  <c r="N59" i="11"/>
  <c r="M59" i="11"/>
  <c r="L59" i="11"/>
  <c r="K59" i="11"/>
  <c r="J59" i="11"/>
  <c r="I59" i="11"/>
  <c r="H59" i="11"/>
  <c r="G59" i="11"/>
  <c r="F59" i="11"/>
  <c r="E59" i="11"/>
  <c r="D59" i="11"/>
  <c r="C59" i="11"/>
  <c r="BC58" i="11"/>
  <c r="BB58" i="11"/>
  <c r="BA58" i="11"/>
  <c r="AZ58" i="11"/>
  <c r="AY58" i="11"/>
  <c r="AX58" i="11"/>
  <c r="AW58" i="11"/>
  <c r="AV58" i="11"/>
  <c r="AU58" i="11"/>
  <c r="AT58" i="11"/>
  <c r="AS58" i="11"/>
  <c r="AR58" i="11"/>
  <c r="AQ58" i="11"/>
  <c r="AP58" i="11"/>
  <c r="AO58" i="11"/>
  <c r="AN58" i="11"/>
  <c r="AM58" i="11"/>
  <c r="AL58" i="11"/>
  <c r="AK58" i="11"/>
  <c r="AJ58" i="11"/>
  <c r="AI58" i="11"/>
  <c r="AH58" i="11"/>
  <c r="AG58" i="11"/>
  <c r="AF58" i="11"/>
  <c r="AE58" i="11"/>
  <c r="AD58" i="11"/>
  <c r="AC58" i="11"/>
  <c r="AB58" i="11"/>
  <c r="AA58" i="11"/>
  <c r="Z58" i="11"/>
  <c r="Y58" i="11"/>
  <c r="X58" i="11"/>
  <c r="W58" i="11"/>
  <c r="V58" i="11"/>
  <c r="U58" i="11"/>
  <c r="T58" i="11"/>
  <c r="S58" i="11"/>
  <c r="R58" i="11"/>
  <c r="Q58" i="11"/>
  <c r="P58" i="11"/>
  <c r="O58" i="11"/>
  <c r="N58" i="11"/>
  <c r="M58" i="11"/>
  <c r="L58" i="11"/>
  <c r="K58" i="11"/>
  <c r="J58" i="11"/>
  <c r="I58" i="11"/>
  <c r="H58" i="11"/>
  <c r="G58" i="11"/>
  <c r="F58" i="11"/>
  <c r="E58" i="11"/>
  <c r="D58" i="11"/>
  <c r="C58" i="11"/>
  <c r="BC57" i="11"/>
  <c r="BB57" i="11"/>
  <c r="BA57" i="11"/>
  <c r="AZ57" i="11"/>
  <c r="AY57" i="11"/>
  <c r="AX57" i="11"/>
  <c r="AW57" i="11"/>
  <c r="AV57" i="11"/>
  <c r="AU57" i="11"/>
  <c r="AT57" i="11"/>
  <c r="AS57" i="11"/>
  <c r="AR57" i="11"/>
  <c r="AQ57" i="11"/>
  <c r="AP57" i="11"/>
  <c r="AO57" i="11"/>
  <c r="AN57" i="11"/>
  <c r="AM57" i="11"/>
  <c r="AL57" i="11"/>
  <c r="AK57" i="11"/>
  <c r="AJ57" i="11"/>
  <c r="AI57" i="11"/>
  <c r="AH57" i="11"/>
  <c r="AG57" i="11"/>
  <c r="AF57" i="11"/>
  <c r="AE57" i="11"/>
  <c r="AD57" i="11"/>
  <c r="AC57" i="11"/>
  <c r="AB57" i="11"/>
  <c r="AA57" i="11"/>
  <c r="Z57" i="11"/>
  <c r="Y57" i="11"/>
  <c r="X57" i="11"/>
  <c r="W57" i="11"/>
  <c r="V57" i="11"/>
  <c r="U57" i="11"/>
  <c r="T57" i="11"/>
  <c r="S57" i="11"/>
  <c r="R57" i="11"/>
  <c r="Q57" i="11"/>
  <c r="P57" i="11"/>
  <c r="O57" i="11"/>
  <c r="N57" i="11"/>
  <c r="M57" i="11"/>
  <c r="L57" i="11"/>
  <c r="K57" i="11"/>
  <c r="J57" i="11"/>
  <c r="I57" i="11"/>
  <c r="H57" i="11"/>
  <c r="G57" i="11"/>
  <c r="F57" i="11"/>
  <c r="E57" i="11"/>
  <c r="D57" i="11"/>
  <c r="C57"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D56" i="11"/>
  <c r="C56" i="11"/>
  <c r="BC55" i="11"/>
  <c r="BB55" i="11"/>
  <c r="BA55" i="11"/>
  <c r="AZ55" i="11"/>
  <c r="AY55" i="11"/>
  <c r="AX55" i="11"/>
  <c r="AW55" i="11"/>
  <c r="AV55" i="11"/>
  <c r="AU55" i="11"/>
  <c r="AT55" i="11"/>
  <c r="AS55" i="11"/>
  <c r="AR55" i="11"/>
  <c r="AQ55" i="11"/>
  <c r="AP55" i="11"/>
  <c r="AO55" i="11"/>
  <c r="AN55" i="11"/>
  <c r="AM55" i="11"/>
  <c r="AL55" i="11"/>
  <c r="AK55" i="11"/>
  <c r="AJ55" i="11"/>
  <c r="AI55" i="11"/>
  <c r="AH55" i="11"/>
  <c r="AG55" i="11"/>
  <c r="AF55" i="11"/>
  <c r="AE55" i="11"/>
  <c r="AD55" i="11"/>
  <c r="AC55" i="11"/>
  <c r="AB55" i="11"/>
  <c r="AA55" i="11"/>
  <c r="Z55" i="11"/>
  <c r="Y55" i="11"/>
  <c r="X55" i="11"/>
  <c r="W55" i="11"/>
  <c r="V55" i="11"/>
  <c r="U55" i="11"/>
  <c r="T55" i="11"/>
  <c r="S55" i="11"/>
  <c r="R55" i="11"/>
  <c r="Q55" i="11"/>
  <c r="P55" i="11"/>
  <c r="O55" i="11"/>
  <c r="N55" i="11"/>
  <c r="M55" i="11"/>
  <c r="L55" i="11"/>
  <c r="K55" i="11"/>
  <c r="J55" i="11"/>
  <c r="I55" i="11"/>
  <c r="H55" i="11"/>
  <c r="G55" i="11"/>
  <c r="F55" i="11"/>
  <c r="E55" i="11"/>
  <c r="D55" i="11"/>
  <c r="C55" i="11"/>
  <c r="BC54" i="11"/>
  <c r="BB54" i="11"/>
  <c r="BA54" i="11"/>
  <c r="AZ54" i="11"/>
  <c r="AY54" i="11"/>
  <c r="AX54" i="11"/>
  <c r="AW54" i="11"/>
  <c r="AV54" i="11"/>
  <c r="AU54" i="11"/>
  <c r="AT54" i="11"/>
  <c r="AS54" i="11"/>
  <c r="AR54" i="11"/>
  <c r="AQ54" i="11"/>
  <c r="AP54" i="11"/>
  <c r="AO54" i="11"/>
  <c r="AN54" i="11"/>
  <c r="AM54" i="11"/>
  <c r="AL54" i="11"/>
  <c r="AK54" i="11"/>
  <c r="AJ54" i="11"/>
  <c r="AI54" i="11"/>
  <c r="AH54" i="11"/>
  <c r="AG54" i="11"/>
  <c r="AF54" i="11"/>
  <c r="AE54" i="11"/>
  <c r="AD54" i="11"/>
  <c r="AC54" i="11"/>
  <c r="AB54" i="11"/>
  <c r="AA54" i="11"/>
  <c r="Z54" i="11"/>
  <c r="Y54" i="11"/>
  <c r="X54" i="11"/>
  <c r="W54" i="11"/>
  <c r="V54" i="11"/>
  <c r="U54" i="11"/>
  <c r="T54" i="11"/>
  <c r="S54" i="11"/>
  <c r="R54" i="11"/>
  <c r="Q54" i="11"/>
  <c r="P54" i="11"/>
  <c r="O54" i="11"/>
  <c r="N54" i="11"/>
  <c r="M54" i="11"/>
  <c r="L54" i="11"/>
  <c r="K54" i="11"/>
  <c r="J54" i="11"/>
  <c r="I54" i="11"/>
  <c r="H54" i="11"/>
  <c r="G54" i="11"/>
  <c r="F54" i="11"/>
  <c r="E54" i="11"/>
  <c r="D54" i="11"/>
  <c r="C54" i="11"/>
  <c r="BC53" i="11"/>
  <c r="BB53" i="11"/>
  <c r="BA53" i="11"/>
  <c r="AZ53" i="11"/>
  <c r="AY53" i="11"/>
  <c r="AX53" i="11"/>
  <c r="AW53" i="11"/>
  <c r="AV53" i="11"/>
  <c r="AU53" i="11"/>
  <c r="AT53" i="11"/>
  <c r="AS53" i="11"/>
  <c r="AR53" i="11"/>
  <c r="AQ53" i="11"/>
  <c r="AP53" i="11"/>
  <c r="AO53" i="11"/>
  <c r="AN53" i="11"/>
  <c r="AM53" i="11"/>
  <c r="AL53" i="11"/>
  <c r="AK53" i="11"/>
  <c r="AJ53" i="11"/>
  <c r="AI53" i="11"/>
  <c r="AH53" i="11"/>
  <c r="AG53" i="11"/>
  <c r="AF53" i="11"/>
  <c r="AE53" i="11"/>
  <c r="AD53" i="11"/>
  <c r="AC53" i="11"/>
  <c r="AB53" i="11"/>
  <c r="AA53" i="11"/>
  <c r="Z53" i="11"/>
  <c r="Y53" i="11"/>
  <c r="X53" i="11"/>
  <c r="W53" i="11"/>
  <c r="V53" i="11"/>
  <c r="U53" i="11"/>
  <c r="T53" i="11"/>
  <c r="S53" i="11"/>
  <c r="R53" i="11"/>
  <c r="Q53" i="11"/>
  <c r="P53" i="11"/>
  <c r="O53" i="11"/>
  <c r="N53" i="11"/>
  <c r="M53" i="11"/>
  <c r="L53" i="11"/>
  <c r="K53" i="11"/>
  <c r="J53" i="11"/>
  <c r="I53" i="11"/>
  <c r="H53" i="11"/>
  <c r="G53" i="11"/>
  <c r="F53" i="11"/>
  <c r="E53" i="11"/>
  <c r="D53" i="11"/>
  <c r="C53" i="11"/>
  <c r="BC52" i="11"/>
  <c r="BB52" i="11"/>
  <c r="BA52" i="11"/>
  <c r="AZ52" i="11"/>
  <c r="AY52" i="11"/>
  <c r="AX52" i="11"/>
  <c r="AW52" i="11"/>
  <c r="AV52" i="11"/>
  <c r="AU52" i="11"/>
  <c r="AT52" i="11"/>
  <c r="AS52" i="11"/>
  <c r="AR52" i="11"/>
  <c r="AQ52" i="11"/>
  <c r="AP52" i="11"/>
  <c r="AO52" i="11"/>
  <c r="AN52" i="11"/>
  <c r="AM52" i="11"/>
  <c r="AL52" i="11"/>
  <c r="AK52" i="11"/>
  <c r="AJ52" i="11"/>
  <c r="AI52" i="11"/>
  <c r="AH52" i="11"/>
  <c r="AG52" i="11"/>
  <c r="AF52" i="11"/>
  <c r="AE52" i="11"/>
  <c r="AD52" i="11"/>
  <c r="AC52" i="11"/>
  <c r="AB52" i="11"/>
  <c r="AA52" i="11"/>
  <c r="Z52" i="11"/>
  <c r="Y52" i="11"/>
  <c r="X52" i="11"/>
  <c r="W52" i="11"/>
  <c r="V52" i="11"/>
  <c r="U52" i="11"/>
  <c r="T52" i="11"/>
  <c r="S52" i="11"/>
  <c r="R52" i="11"/>
  <c r="Q52" i="11"/>
  <c r="P52" i="11"/>
  <c r="O52" i="11"/>
  <c r="N52" i="11"/>
  <c r="M52" i="11"/>
  <c r="L52" i="11"/>
  <c r="K52" i="11"/>
  <c r="J52" i="11"/>
  <c r="I52" i="11"/>
  <c r="H52" i="11"/>
  <c r="G52" i="11"/>
  <c r="F52" i="11"/>
  <c r="E52" i="11"/>
  <c r="D52" i="11"/>
  <c r="C52" i="11"/>
  <c r="BC47" i="11"/>
  <c r="BB47" i="11"/>
  <c r="BA47" i="11"/>
  <c r="AZ47" i="11"/>
  <c r="AY47" i="11"/>
  <c r="AX47" i="11"/>
  <c r="AW47" i="11"/>
  <c r="AV47" i="11"/>
  <c r="AU47" i="11"/>
  <c r="AT47" i="11"/>
  <c r="AS47" i="11"/>
  <c r="AR47" i="11"/>
  <c r="AQ47" i="11"/>
  <c r="AP47" i="11"/>
  <c r="AO47" i="11"/>
  <c r="AN47" i="11"/>
  <c r="AM47" i="11"/>
  <c r="AL47" i="11"/>
  <c r="AK47" i="11"/>
  <c r="AJ47" i="11"/>
  <c r="AI47" i="11"/>
  <c r="AH47" i="11"/>
  <c r="AG47" i="11"/>
  <c r="AF47" i="11"/>
  <c r="AE47" i="11"/>
  <c r="AD47" i="11"/>
  <c r="AC47" i="11"/>
  <c r="AB47" i="11"/>
  <c r="AA47" i="11"/>
  <c r="Z47" i="11"/>
  <c r="Y47" i="11"/>
  <c r="X47" i="11"/>
  <c r="W47" i="11"/>
  <c r="V47" i="11"/>
  <c r="U47" i="11"/>
  <c r="T47" i="11"/>
  <c r="S47" i="11"/>
  <c r="R47" i="11"/>
  <c r="Q47" i="11"/>
  <c r="P47" i="11"/>
  <c r="O47" i="11"/>
  <c r="N47" i="11"/>
  <c r="M47" i="11"/>
  <c r="L47" i="11"/>
  <c r="K47" i="11"/>
  <c r="J47" i="11"/>
  <c r="I47" i="11"/>
  <c r="H47" i="11"/>
  <c r="G47" i="11"/>
  <c r="F47" i="11"/>
  <c r="E47" i="11"/>
  <c r="D47" i="11"/>
  <c r="C47" i="11"/>
  <c r="BC46" i="11"/>
  <c r="BB46" i="11"/>
  <c r="BA46" i="11"/>
  <c r="AZ46" i="11"/>
  <c r="AY46" i="11"/>
  <c r="AX46" i="11"/>
  <c r="AW46" i="11"/>
  <c r="AV46" i="11"/>
  <c r="AU46" i="11"/>
  <c r="AT46" i="11"/>
  <c r="AS46" i="11"/>
  <c r="AR46" i="11"/>
  <c r="AQ46" i="11"/>
  <c r="AP46" i="11"/>
  <c r="AO46" i="11"/>
  <c r="AN46" i="11"/>
  <c r="AM46" i="11"/>
  <c r="AL46" i="11"/>
  <c r="AK46" i="11"/>
  <c r="AJ46" i="11"/>
  <c r="AI46" i="11"/>
  <c r="AH46" i="11"/>
  <c r="AG46" i="11"/>
  <c r="AF46" i="11"/>
  <c r="AE46" i="11"/>
  <c r="AD46" i="11"/>
  <c r="AC46" i="11"/>
  <c r="AB46" i="11"/>
  <c r="AA46" i="11"/>
  <c r="Z46" i="11"/>
  <c r="Y46" i="11"/>
  <c r="X46" i="11"/>
  <c r="W46" i="11"/>
  <c r="V46" i="11"/>
  <c r="U46" i="11"/>
  <c r="T46" i="11"/>
  <c r="S46" i="11"/>
  <c r="R46" i="11"/>
  <c r="Q46" i="11"/>
  <c r="P46" i="11"/>
  <c r="O46" i="11"/>
  <c r="N46" i="11"/>
  <c r="M46" i="11"/>
  <c r="L46" i="11"/>
  <c r="K46" i="11"/>
  <c r="J46" i="11"/>
  <c r="I46" i="11"/>
  <c r="H46" i="11"/>
  <c r="G46" i="11"/>
  <c r="F46" i="11"/>
  <c r="E46" i="11"/>
  <c r="D46" i="11"/>
  <c r="C46" i="11"/>
  <c r="BC45" i="11"/>
  <c r="BB45" i="11"/>
  <c r="BA45" i="11"/>
  <c r="AZ45" i="11"/>
  <c r="AY45" i="11"/>
  <c r="AX45" i="11"/>
  <c r="AW45" i="11"/>
  <c r="AV45" i="11"/>
  <c r="AU45" i="11"/>
  <c r="AT45" i="11"/>
  <c r="AS45" i="11"/>
  <c r="AR45" i="11"/>
  <c r="AQ45" i="11"/>
  <c r="AP45" i="11"/>
  <c r="AO45" i="11"/>
  <c r="AN45" i="11"/>
  <c r="AM45" i="11"/>
  <c r="AL45" i="11"/>
  <c r="AK45" i="11"/>
  <c r="AJ45" i="11"/>
  <c r="AI45" i="11"/>
  <c r="AH45" i="11"/>
  <c r="AG45" i="11"/>
  <c r="AF45" i="11"/>
  <c r="AE45" i="11"/>
  <c r="AD45" i="11"/>
  <c r="AC45" i="11"/>
  <c r="AB45" i="11"/>
  <c r="AA45" i="11"/>
  <c r="Z45" i="11"/>
  <c r="Y45" i="11"/>
  <c r="X45" i="11"/>
  <c r="W45" i="11"/>
  <c r="V45" i="11"/>
  <c r="U45" i="11"/>
  <c r="T45" i="11"/>
  <c r="S45" i="11"/>
  <c r="R45" i="11"/>
  <c r="Q45" i="11"/>
  <c r="P45" i="11"/>
  <c r="O45" i="11"/>
  <c r="N45" i="11"/>
  <c r="M45" i="11"/>
  <c r="L45" i="11"/>
  <c r="K45" i="11"/>
  <c r="J45" i="11"/>
  <c r="I45" i="11"/>
  <c r="H45" i="11"/>
  <c r="G45" i="11"/>
  <c r="F45" i="11"/>
  <c r="E45" i="11"/>
  <c r="D45" i="11"/>
  <c r="C45" i="11"/>
  <c r="BC44" i="11"/>
  <c r="BB44" i="11"/>
  <c r="BA44" i="11"/>
  <c r="AZ44" i="11"/>
  <c r="AY44" i="11"/>
  <c r="AX44" i="11"/>
  <c r="AW44" i="11"/>
  <c r="AV44" i="11"/>
  <c r="AU44" i="11"/>
  <c r="AT44" i="11"/>
  <c r="AS44" i="11"/>
  <c r="AR44" i="11"/>
  <c r="AQ44" i="11"/>
  <c r="AP44" i="11"/>
  <c r="AO44" i="11"/>
  <c r="AN44" i="11"/>
  <c r="AM44" i="11"/>
  <c r="AL44" i="11"/>
  <c r="AK44" i="11"/>
  <c r="AJ44" i="11"/>
  <c r="AI44" i="11"/>
  <c r="AH44" i="11"/>
  <c r="AG44" i="11"/>
  <c r="AF44" i="11"/>
  <c r="AE44" i="11"/>
  <c r="AD44" i="11"/>
  <c r="AC44" i="11"/>
  <c r="AB44" i="11"/>
  <c r="AA44" i="11"/>
  <c r="Z44" i="11"/>
  <c r="Y44" i="11"/>
  <c r="X44" i="11"/>
  <c r="W44" i="11"/>
  <c r="V44" i="11"/>
  <c r="U44" i="11"/>
  <c r="T44" i="11"/>
  <c r="S44" i="11"/>
  <c r="R44" i="11"/>
  <c r="Q44" i="11"/>
  <c r="P44" i="11"/>
  <c r="O44" i="11"/>
  <c r="N44" i="11"/>
  <c r="M44" i="11"/>
  <c r="L44" i="11"/>
  <c r="K44" i="11"/>
  <c r="J44" i="11"/>
  <c r="I44" i="11"/>
  <c r="H44" i="11"/>
  <c r="G44" i="11"/>
  <c r="F44" i="11"/>
  <c r="E44" i="11"/>
  <c r="D44" i="11"/>
  <c r="C44" i="11"/>
  <c r="BC43" i="11"/>
  <c r="BB43" i="11"/>
  <c r="BA43" i="11"/>
  <c r="AZ43" i="11"/>
  <c r="AY43" i="11"/>
  <c r="AX43" i="11"/>
  <c r="AW43" i="11"/>
  <c r="AV43" i="11"/>
  <c r="AU43" i="11"/>
  <c r="AT43" i="11"/>
  <c r="AS43" i="11"/>
  <c r="AR43" i="11"/>
  <c r="AQ43" i="11"/>
  <c r="AP43" i="11"/>
  <c r="AO43" i="11"/>
  <c r="AN43" i="11"/>
  <c r="AM43" i="11"/>
  <c r="AL43" i="11"/>
  <c r="AK43" i="11"/>
  <c r="AJ43" i="11"/>
  <c r="AI43" i="11"/>
  <c r="AH43" i="11"/>
  <c r="AG43" i="11"/>
  <c r="AF43" i="11"/>
  <c r="AE43" i="11"/>
  <c r="AD43" i="11"/>
  <c r="AC43" i="11"/>
  <c r="AB43" i="11"/>
  <c r="AA43" i="11"/>
  <c r="Z43" i="11"/>
  <c r="Y43" i="11"/>
  <c r="X43" i="11"/>
  <c r="W43" i="11"/>
  <c r="V43" i="11"/>
  <c r="U43" i="11"/>
  <c r="T43" i="11"/>
  <c r="S43" i="11"/>
  <c r="R43" i="11"/>
  <c r="Q43" i="11"/>
  <c r="P43" i="11"/>
  <c r="O43" i="11"/>
  <c r="N43" i="11"/>
  <c r="M43" i="11"/>
  <c r="L43" i="11"/>
  <c r="K43" i="11"/>
  <c r="J43" i="11"/>
  <c r="I43" i="11"/>
  <c r="H43" i="11"/>
  <c r="G43" i="11"/>
  <c r="F43" i="11"/>
  <c r="E43" i="11"/>
  <c r="D43" i="11"/>
  <c r="C43"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D42" i="11"/>
  <c r="C42"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D41" i="11"/>
  <c r="C41"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D40" i="11"/>
  <c r="C40"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D39" i="11"/>
  <c r="C39"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D38" i="11"/>
  <c r="C38"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D37" i="11"/>
  <c r="C37"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D36" i="11"/>
  <c r="C36"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D35" i="11"/>
  <c r="C35"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D34" i="11"/>
  <c r="C34" i="11"/>
  <c r="BC33" i="11"/>
  <c r="BB33" i="11"/>
  <c r="BA33" i="11"/>
  <c r="AZ33" i="11"/>
  <c r="AY33" i="11"/>
  <c r="AX33" i="11"/>
  <c r="AW33" i="11"/>
  <c r="AV33" i="11"/>
  <c r="AU33" i="11"/>
  <c r="AT33" i="11"/>
  <c r="AS33" i="11"/>
  <c r="AR33" i="11"/>
  <c r="AQ33" i="11"/>
  <c r="AP33" i="11"/>
  <c r="AO33" i="11"/>
  <c r="AN33" i="11"/>
  <c r="AM33" i="11"/>
  <c r="AL33" i="11"/>
  <c r="AK33" i="11"/>
  <c r="AJ33" i="11"/>
  <c r="AI33" i="11"/>
  <c r="AH33" i="11"/>
  <c r="AG33" i="11"/>
  <c r="AF33" i="11"/>
  <c r="AE33" i="11"/>
  <c r="AD33" i="11"/>
  <c r="AC33" i="11"/>
  <c r="AB33" i="11"/>
  <c r="AA33" i="11"/>
  <c r="Z33" i="11"/>
  <c r="Y33" i="11"/>
  <c r="X33" i="11"/>
  <c r="W33" i="11"/>
  <c r="V33" i="11"/>
  <c r="U33" i="11"/>
  <c r="T33" i="11"/>
  <c r="S33" i="11"/>
  <c r="R33" i="11"/>
  <c r="Q33" i="11"/>
  <c r="P33" i="11"/>
  <c r="O33" i="11"/>
  <c r="N33" i="11"/>
  <c r="M33" i="11"/>
  <c r="L33" i="11"/>
  <c r="K33" i="11"/>
  <c r="J33" i="11"/>
  <c r="I33" i="11"/>
  <c r="H33" i="11"/>
  <c r="G33" i="11"/>
  <c r="F33" i="11"/>
  <c r="E33" i="11"/>
  <c r="D33" i="11"/>
  <c r="C33" i="11"/>
  <c r="BC32" i="11"/>
  <c r="BB32" i="11"/>
  <c r="BA32" i="11"/>
  <c r="AZ32" i="11"/>
  <c r="AY32" i="11"/>
  <c r="AX32" i="11"/>
  <c r="AW32" i="11"/>
  <c r="AV32" i="11"/>
  <c r="AU32" i="11"/>
  <c r="AT32" i="11"/>
  <c r="AS32" i="11"/>
  <c r="AR32" i="11"/>
  <c r="AQ32" i="11"/>
  <c r="AP32" i="11"/>
  <c r="AO32" i="11"/>
  <c r="AN32" i="11"/>
  <c r="AM32" i="11"/>
  <c r="AL32" i="11"/>
  <c r="AK32" i="11"/>
  <c r="AJ32" i="11"/>
  <c r="AI32" i="11"/>
  <c r="AH32" i="11"/>
  <c r="AG32" i="11"/>
  <c r="AF32" i="11"/>
  <c r="AE32" i="11"/>
  <c r="AD32" i="11"/>
  <c r="AC32" i="11"/>
  <c r="AB32" i="11"/>
  <c r="AA32" i="11"/>
  <c r="Z32" i="11"/>
  <c r="Y32" i="11"/>
  <c r="X32" i="11"/>
  <c r="W32" i="11"/>
  <c r="V32" i="11"/>
  <c r="U32" i="11"/>
  <c r="T32" i="11"/>
  <c r="S32" i="11"/>
  <c r="R32" i="11"/>
  <c r="Q32" i="11"/>
  <c r="P32" i="11"/>
  <c r="O32" i="11"/>
  <c r="N32" i="11"/>
  <c r="M32" i="11"/>
  <c r="L32" i="11"/>
  <c r="K32" i="11"/>
  <c r="J32" i="11"/>
  <c r="I32" i="11"/>
  <c r="H32" i="11"/>
  <c r="G32" i="11"/>
  <c r="F32" i="11"/>
  <c r="E32" i="11"/>
  <c r="D32" i="11"/>
  <c r="C32" i="11"/>
  <c r="BC31" i="11"/>
  <c r="BB31" i="11"/>
  <c r="BA31" i="11"/>
  <c r="AZ31" i="11"/>
  <c r="AY31" i="11"/>
  <c r="AX31" i="11"/>
  <c r="AW31" i="11"/>
  <c r="AV31" i="11"/>
  <c r="AU31" i="11"/>
  <c r="AT31" i="11"/>
  <c r="AS31" i="11"/>
  <c r="AR31" i="11"/>
  <c r="AQ31" i="11"/>
  <c r="AP31" i="11"/>
  <c r="AO31" i="11"/>
  <c r="AN31" i="11"/>
  <c r="AM31" i="11"/>
  <c r="AL31" i="11"/>
  <c r="AK31" i="11"/>
  <c r="AJ31" i="11"/>
  <c r="AI31" i="11"/>
  <c r="AH31" i="11"/>
  <c r="AG31" i="11"/>
  <c r="AF31" i="11"/>
  <c r="AE31" i="11"/>
  <c r="AD31" i="11"/>
  <c r="AC31" i="11"/>
  <c r="AB31" i="11"/>
  <c r="AA31" i="11"/>
  <c r="Z31" i="11"/>
  <c r="Y31" i="11"/>
  <c r="X31" i="11"/>
  <c r="W31" i="11"/>
  <c r="V31" i="11"/>
  <c r="U31" i="11"/>
  <c r="T31" i="11"/>
  <c r="S31" i="11"/>
  <c r="R31" i="11"/>
  <c r="Q31" i="11"/>
  <c r="P31" i="11"/>
  <c r="O31" i="11"/>
  <c r="N31" i="11"/>
  <c r="M31" i="11"/>
  <c r="L31" i="11"/>
  <c r="K31" i="11"/>
  <c r="J31" i="11"/>
  <c r="I31" i="11"/>
  <c r="H31" i="11"/>
  <c r="G31" i="11"/>
  <c r="F31" i="11"/>
  <c r="E31" i="11"/>
  <c r="D31" i="11"/>
  <c r="C31" i="11"/>
  <c r="BC30" i="11"/>
  <c r="BB30" i="11"/>
  <c r="BA30" i="11"/>
  <c r="AZ30" i="11"/>
  <c r="AY30" i="11"/>
  <c r="AX30" i="11"/>
  <c r="AW30" i="11"/>
  <c r="AV30" i="11"/>
  <c r="AU30" i="11"/>
  <c r="AT30" i="11"/>
  <c r="AS30" i="11"/>
  <c r="AR30" i="11"/>
  <c r="AQ30" i="11"/>
  <c r="AP30" i="11"/>
  <c r="AO30" i="11"/>
  <c r="AN30" i="11"/>
  <c r="AM30" i="11"/>
  <c r="AL30" i="11"/>
  <c r="AK30" i="11"/>
  <c r="AJ30" i="11"/>
  <c r="AI30" i="11"/>
  <c r="AH30" i="11"/>
  <c r="AG30" i="11"/>
  <c r="AF30" i="11"/>
  <c r="AE30" i="11"/>
  <c r="AD30" i="11"/>
  <c r="AC30" i="11"/>
  <c r="AB30" i="11"/>
  <c r="AA30" i="11"/>
  <c r="Z30" i="11"/>
  <c r="Y30" i="11"/>
  <c r="X30" i="11"/>
  <c r="W30" i="11"/>
  <c r="V30" i="11"/>
  <c r="U30" i="11"/>
  <c r="T30" i="11"/>
  <c r="S30" i="11"/>
  <c r="R30" i="11"/>
  <c r="Q30" i="11"/>
  <c r="P30" i="11"/>
  <c r="O30" i="11"/>
  <c r="N30" i="11"/>
  <c r="M30" i="11"/>
  <c r="L30" i="11"/>
  <c r="K30" i="11"/>
  <c r="J30" i="11"/>
  <c r="I30" i="11"/>
  <c r="H30" i="11"/>
  <c r="G30" i="11"/>
  <c r="F30" i="11"/>
  <c r="E30" i="11"/>
  <c r="D30" i="11"/>
  <c r="C30" i="11"/>
  <c r="BC29" i="11"/>
  <c r="BB29" i="11"/>
  <c r="BA29" i="11"/>
  <c r="AZ29" i="11"/>
  <c r="AY29" i="11"/>
  <c r="AX29" i="11"/>
  <c r="AW29" i="11"/>
  <c r="AV29" i="11"/>
  <c r="AU29" i="11"/>
  <c r="AT29" i="11"/>
  <c r="AS29" i="11"/>
  <c r="AR29" i="11"/>
  <c r="AQ29" i="11"/>
  <c r="AP29" i="11"/>
  <c r="AO29" i="11"/>
  <c r="AN29" i="11"/>
  <c r="AM29" i="11"/>
  <c r="AL29" i="11"/>
  <c r="AK29" i="11"/>
  <c r="AJ29" i="11"/>
  <c r="AI29" i="11"/>
  <c r="AH29" i="11"/>
  <c r="AG29" i="11"/>
  <c r="AF29" i="11"/>
  <c r="AE29" i="11"/>
  <c r="AD29" i="11"/>
  <c r="AC29" i="11"/>
  <c r="AB29" i="11"/>
  <c r="AA29" i="11"/>
  <c r="Z29" i="11"/>
  <c r="Y29" i="11"/>
  <c r="X29" i="11"/>
  <c r="W29" i="11"/>
  <c r="V29" i="11"/>
  <c r="U29" i="11"/>
  <c r="T29" i="11"/>
  <c r="S29" i="11"/>
  <c r="R29" i="11"/>
  <c r="Q29" i="11"/>
  <c r="P29" i="11"/>
  <c r="O29" i="11"/>
  <c r="N29" i="11"/>
  <c r="M29" i="11"/>
  <c r="L29" i="11"/>
  <c r="K29" i="11"/>
  <c r="J29" i="11"/>
  <c r="I29" i="11"/>
  <c r="H29" i="11"/>
  <c r="G29" i="11"/>
  <c r="F29" i="11"/>
  <c r="E29" i="11"/>
  <c r="D29" i="11"/>
  <c r="C29" i="11"/>
  <c r="BC28" i="11"/>
  <c r="BB28" i="11"/>
  <c r="BA28" i="11"/>
  <c r="AZ28" i="11"/>
  <c r="AY28" i="11"/>
  <c r="AX28" i="11"/>
  <c r="AW28" i="11"/>
  <c r="AV28" i="11"/>
  <c r="AU28" i="11"/>
  <c r="AT28" i="11"/>
  <c r="AS28" i="11"/>
  <c r="AR28" i="11"/>
  <c r="AQ28" i="11"/>
  <c r="AP28" i="11"/>
  <c r="AO28" i="11"/>
  <c r="AN28" i="11"/>
  <c r="AM28" i="11"/>
  <c r="AL28" i="11"/>
  <c r="AK28" i="11"/>
  <c r="AJ28" i="11"/>
  <c r="AI28" i="11"/>
  <c r="AH28" i="11"/>
  <c r="AG28" i="11"/>
  <c r="AF28" i="11"/>
  <c r="AE28" i="11"/>
  <c r="AD28" i="11"/>
  <c r="AC28" i="11"/>
  <c r="AB28" i="11"/>
  <c r="AA28" i="11"/>
  <c r="Z28" i="11"/>
  <c r="Y28" i="11"/>
  <c r="X28" i="11"/>
  <c r="W28" i="11"/>
  <c r="V28" i="11"/>
  <c r="U28" i="11"/>
  <c r="T28" i="11"/>
  <c r="S28" i="11"/>
  <c r="R28" i="11"/>
  <c r="Q28" i="11"/>
  <c r="P28" i="11"/>
  <c r="O28" i="11"/>
  <c r="N28" i="11"/>
  <c r="M28" i="11"/>
  <c r="L28" i="11"/>
  <c r="K28" i="11"/>
  <c r="J28" i="11"/>
  <c r="I28" i="11"/>
  <c r="H28" i="11"/>
  <c r="G28" i="11"/>
  <c r="F28" i="11"/>
  <c r="E28" i="11"/>
  <c r="D28" i="11"/>
  <c r="C28"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D27" i="11"/>
  <c r="C27"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D26" i="11"/>
  <c r="C26" i="11"/>
  <c r="BC25" i="11"/>
  <c r="BB25" i="11"/>
  <c r="BA25" i="11"/>
  <c r="AZ25" i="11"/>
  <c r="AY25" i="11"/>
  <c r="AX25" i="11"/>
  <c r="AW25" i="11"/>
  <c r="AV25" i="11"/>
  <c r="AU25" i="11"/>
  <c r="AT25" i="11"/>
  <c r="AS25" i="11"/>
  <c r="AR25" i="11"/>
  <c r="AQ25" i="11"/>
  <c r="AP25" i="11"/>
  <c r="AO25" i="11"/>
  <c r="AN25" i="11"/>
  <c r="AM25" i="11"/>
  <c r="AL25" i="11"/>
  <c r="AK25" i="11"/>
  <c r="AJ25" i="11"/>
  <c r="AI25" i="11"/>
  <c r="AH25" i="11"/>
  <c r="AG25" i="11"/>
  <c r="AF25" i="11"/>
  <c r="AE25" i="11"/>
  <c r="AD25" i="11"/>
  <c r="AC25" i="11"/>
  <c r="AB25" i="11"/>
  <c r="AA25" i="11"/>
  <c r="Z25" i="11"/>
  <c r="Y25" i="11"/>
  <c r="X25" i="11"/>
  <c r="W25" i="11"/>
  <c r="V25" i="11"/>
  <c r="U25" i="11"/>
  <c r="T25" i="11"/>
  <c r="S25" i="11"/>
  <c r="R25" i="11"/>
  <c r="Q25" i="11"/>
  <c r="P25" i="11"/>
  <c r="O25" i="11"/>
  <c r="N25" i="11"/>
  <c r="M25" i="11"/>
  <c r="L25" i="11"/>
  <c r="K25" i="11"/>
  <c r="J25" i="11"/>
  <c r="I25" i="11"/>
  <c r="H25" i="11"/>
  <c r="G25" i="11"/>
  <c r="F25" i="11"/>
  <c r="E25" i="11"/>
  <c r="D25" i="11"/>
  <c r="C25" i="11"/>
  <c r="BC24" i="11"/>
  <c r="BB24" i="11"/>
  <c r="BA24" i="11"/>
  <c r="AZ24" i="11"/>
  <c r="AY24" i="11"/>
  <c r="AX24" i="11"/>
  <c r="AW24" i="11"/>
  <c r="AV24" i="11"/>
  <c r="AU24" i="11"/>
  <c r="AT24" i="11"/>
  <c r="AS24" i="11"/>
  <c r="AR24" i="11"/>
  <c r="AQ24" i="11"/>
  <c r="AP24" i="11"/>
  <c r="AO24" i="11"/>
  <c r="AN24" i="11"/>
  <c r="AM24" i="11"/>
  <c r="AL24" i="11"/>
  <c r="AK24" i="11"/>
  <c r="AJ24" i="11"/>
  <c r="AI24" i="11"/>
  <c r="AH24" i="11"/>
  <c r="AG24" i="11"/>
  <c r="AF24" i="11"/>
  <c r="AE24" i="11"/>
  <c r="AD24" i="11"/>
  <c r="AC24" i="11"/>
  <c r="AB24" i="11"/>
  <c r="AA24" i="11"/>
  <c r="Z24" i="11"/>
  <c r="Y24" i="11"/>
  <c r="X24" i="11"/>
  <c r="W24" i="11"/>
  <c r="V24" i="11"/>
  <c r="U24" i="11"/>
  <c r="T24" i="11"/>
  <c r="S24" i="11"/>
  <c r="R24" i="11"/>
  <c r="Q24" i="11"/>
  <c r="P24" i="11"/>
  <c r="O24" i="11"/>
  <c r="N24" i="11"/>
  <c r="M24" i="11"/>
  <c r="L24" i="11"/>
  <c r="K24" i="11"/>
  <c r="J24" i="11"/>
  <c r="I24" i="11"/>
  <c r="H24" i="11"/>
  <c r="G24" i="11"/>
  <c r="F24" i="11"/>
  <c r="E24" i="11"/>
  <c r="D24" i="11"/>
  <c r="C24" i="11"/>
  <c r="BC23" i="11"/>
  <c r="BB23" i="11"/>
  <c r="BA23" i="11"/>
  <c r="AZ23" i="11"/>
  <c r="AY23" i="11"/>
  <c r="AX23" i="11"/>
  <c r="AW23" i="11"/>
  <c r="AV23" i="11"/>
  <c r="AU23" i="11"/>
  <c r="AT23" i="11"/>
  <c r="AS23" i="11"/>
  <c r="AR23" i="11"/>
  <c r="AQ23" i="11"/>
  <c r="AP23" i="11"/>
  <c r="AO23" i="11"/>
  <c r="AN23" i="11"/>
  <c r="AM23" i="11"/>
  <c r="AL23" i="11"/>
  <c r="AK23" i="11"/>
  <c r="AJ23" i="11"/>
  <c r="AI23" i="11"/>
  <c r="AH23" i="11"/>
  <c r="AG23" i="11"/>
  <c r="AF23" i="11"/>
  <c r="AE23" i="11"/>
  <c r="AD23" i="11"/>
  <c r="AC23" i="11"/>
  <c r="AB23" i="11"/>
  <c r="AA23" i="11"/>
  <c r="Z23" i="11"/>
  <c r="Y23" i="11"/>
  <c r="X23" i="11"/>
  <c r="W23" i="11"/>
  <c r="V23" i="11"/>
  <c r="U23" i="11"/>
  <c r="T23" i="11"/>
  <c r="S23" i="11"/>
  <c r="R23" i="11"/>
  <c r="Q23" i="11"/>
  <c r="P23" i="11"/>
  <c r="O23" i="11"/>
  <c r="N23" i="11"/>
  <c r="M23" i="11"/>
  <c r="L23" i="11"/>
  <c r="K23" i="11"/>
  <c r="J23" i="11"/>
  <c r="I23" i="11"/>
  <c r="H23" i="11"/>
  <c r="G23" i="11"/>
  <c r="F23" i="11"/>
  <c r="E23" i="11"/>
  <c r="D23" i="11"/>
  <c r="C23" i="11"/>
  <c r="BC22" i="11"/>
  <c r="BB22" i="11"/>
  <c r="BA22" i="11"/>
  <c r="AZ22" i="11"/>
  <c r="AY22" i="11"/>
  <c r="AX22" i="11"/>
  <c r="AW22" i="11"/>
  <c r="AV22" i="11"/>
  <c r="AU22" i="11"/>
  <c r="AT22" i="11"/>
  <c r="AS22" i="11"/>
  <c r="AR22" i="11"/>
  <c r="AQ22" i="11"/>
  <c r="AP22" i="11"/>
  <c r="AO22" i="11"/>
  <c r="AN22" i="11"/>
  <c r="AM22" i="11"/>
  <c r="AL22" i="11"/>
  <c r="AK22" i="11"/>
  <c r="AJ22" i="11"/>
  <c r="AI22" i="11"/>
  <c r="AH22" i="11"/>
  <c r="AG22" i="11"/>
  <c r="AF22" i="11"/>
  <c r="AE22" i="11"/>
  <c r="AD22" i="11"/>
  <c r="AC22" i="11"/>
  <c r="AB22" i="11"/>
  <c r="AA22" i="11"/>
  <c r="Z22" i="11"/>
  <c r="Y22" i="11"/>
  <c r="X22" i="11"/>
  <c r="W22" i="11"/>
  <c r="V22" i="11"/>
  <c r="U22" i="11"/>
  <c r="T22" i="11"/>
  <c r="S22" i="11"/>
  <c r="R22" i="11"/>
  <c r="Q22" i="11"/>
  <c r="P22" i="11"/>
  <c r="O22" i="11"/>
  <c r="N22" i="11"/>
  <c r="M22" i="11"/>
  <c r="L22" i="11"/>
  <c r="K22" i="11"/>
  <c r="J22" i="11"/>
  <c r="I22" i="11"/>
  <c r="H22" i="11"/>
  <c r="G22" i="11"/>
  <c r="F22" i="11"/>
  <c r="E22" i="11"/>
  <c r="D22" i="11"/>
  <c r="C22" i="11"/>
  <c r="BC21" i="11"/>
  <c r="BB21" i="11"/>
  <c r="BA21" i="11"/>
  <c r="AZ21" i="11"/>
  <c r="AY21" i="11"/>
  <c r="AX21" i="11"/>
  <c r="AW21" i="11"/>
  <c r="AV21" i="11"/>
  <c r="AU21" i="11"/>
  <c r="AT21" i="11"/>
  <c r="AS21" i="11"/>
  <c r="AR21" i="11"/>
  <c r="AQ21" i="11"/>
  <c r="AP21" i="11"/>
  <c r="AO21" i="11"/>
  <c r="AN21" i="11"/>
  <c r="AM21" i="11"/>
  <c r="AL21" i="11"/>
  <c r="AK21" i="11"/>
  <c r="AJ21" i="11"/>
  <c r="AI21" i="11"/>
  <c r="AH21" i="11"/>
  <c r="AG21" i="11"/>
  <c r="AF21" i="11"/>
  <c r="AE21" i="11"/>
  <c r="AD21" i="11"/>
  <c r="AC21" i="11"/>
  <c r="AB21" i="11"/>
  <c r="AA21" i="11"/>
  <c r="Z21" i="11"/>
  <c r="Y21" i="11"/>
  <c r="X21" i="11"/>
  <c r="W21" i="11"/>
  <c r="V21" i="11"/>
  <c r="U21" i="11"/>
  <c r="T21" i="11"/>
  <c r="S21" i="11"/>
  <c r="R21" i="11"/>
  <c r="Q21" i="11"/>
  <c r="P21" i="11"/>
  <c r="O21" i="11"/>
  <c r="N21" i="11"/>
  <c r="M21" i="11"/>
  <c r="L21" i="11"/>
  <c r="K21" i="11"/>
  <c r="J21" i="11"/>
  <c r="I21" i="11"/>
  <c r="H21" i="11"/>
  <c r="G21" i="11"/>
  <c r="F21" i="11"/>
  <c r="E21" i="11"/>
  <c r="D21" i="11"/>
  <c r="C21" i="11"/>
  <c r="BC20" i="11"/>
  <c r="BB20" i="11"/>
  <c r="BA20" i="11"/>
  <c r="AZ20" i="11"/>
  <c r="AY20" i="11"/>
  <c r="AX20" i="11"/>
  <c r="AW20" i="11"/>
  <c r="AV20" i="11"/>
  <c r="AU20" i="11"/>
  <c r="AT20" i="11"/>
  <c r="AS20" i="11"/>
  <c r="AR20" i="11"/>
  <c r="AQ20" i="11"/>
  <c r="AP20" i="11"/>
  <c r="AO20" i="11"/>
  <c r="AN20" i="11"/>
  <c r="AM20" i="11"/>
  <c r="AL20" i="11"/>
  <c r="AK20" i="11"/>
  <c r="AJ20" i="11"/>
  <c r="AI20" i="11"/>
  <c r="AH20" i="11"/>
  <c r="AG20" i="11"/>
  <c r="AF20" i="11"/>
  <c r="AE20" i="11"/>
  <c r="AD20" i="11"/>
  <c r="AC20" i="11"/>
  <c r="AB20" i="11"/>
  <c r="AA20" i="11"/>
  <c r="Z20" i="11"/>
  <c r="Y20" i="11"/>
  <c r="X20" i="11"/>
  <c r="W20" i="11"/>
  <c r="V20" i="11"/>
  <c r="U20" i="11"/>
  <c r="T20" i="11"/>
  <c r="S20" i="11"/>
  <c r="R20" i="11"/>
  <c r="Q20" i="11"/>
  <c r="P20" i="11"/>
  <c r="O20" i="11"/>
  <c r="N20" i="11"/>
  <c r="M20" i="11"/>
  <c r="L20" i="11"/>
  <c r="K20" i="11"/>
  <c r="J20" i="11"/>
  <c r="I20" i="11"/>
  <c r="H20" i="11"/>
  <c r="G20" i="11"/>
  <c r="F20" i="11"/>
  <c r="E20" i="11"/>
  <c r="D20" i="11"/>
  <c r="C20" i="11"/>
  <c r="BC19" i="11"/>
  <c r="BB19" i="11"/>
  <c r="BA19" i="11"/>
  <c r="AZ19" i="11"/>
  <c r="AY19" i="11"/>
  <c r="AX19" i="11"/>
  <c r="AW19" i="11"/>
  <c r="AV19" i="11"/>
  <c r="AU19" i="11"/>
  <c r="AT19" i="11"/>
  <c r="AS19" i="11"/>
  <c r="AR19" i="11"/>
  <c r="AQ19" i="11"/>
  <c r="AP19" i="11"/>
  <c r="AO19" i="11"/>
  <c r="AN19" i="11"/>
  <c r="AM19" i="11"/>
  <c r="AL19" i="11"/>
  <c r="AK19" i="11"/>
  <c r="AJ19" i="11"/>
  <c r="AI19" i="11"/>
  <c r="AH19" i="11"/>
  <c r="AG19" i="11"/>
  <c r="AF19" i="11"/>
  <c r="AE19" i="11"/>
  <c r="AD19" i="11"/>
  <c r="AC19" i="11"/>
  <c r="AB19" i="11"/>
  <c r="AA19" i="11"/>
  <c r="Z19" i="11"/>
  <c r="Y19" i="11"/>
  <c r="X19" i="11"/>
  <c r="W19" i="11"/>
  <c r="V19" i="11"/>
  <c r="U19" i="11"/>
  <c r="T19" i="11"/>
  <c r="S19" i="11"/>
  <c r="R19" i="11"/>
  <c r="Q19" i="11"/>
  <c r="P19" i="11"/>
  <c r="O19" i="11"/>
  <c r="N19" i="11"/>
  <c r="M19" i="11"/>
  <c r="L19" i="11"/>
  <c r="K19" i="11"/>
  <c r="J19" i="11"/>
  <c r="I19" i="11"/>
  <c r="H19" i="11"/>
  <c r="G19" i="11"/>
  <c r="F19" i="11"/>
  <c r="E19" i="11"/>
  <c r="D19" i="11"/>
  <c r="C19" i="11"/>
  <c r="BC18" i="11"/>
  <c r="BB18" i="11"/>
  <c r="BA18" i="11"/>
  <c r="AZ18" i="11"/>
  <c r="AY18" i="11"/>
  <c r="AX18" i="11"/>
  <c r="AW18" i="11"/>
  <c r="AV18" i="11"/>
  <c r="AU18" i="11"/>
  <c r="AT18" i="11"/>
  <c r="AS18" i="11"/>
  <c r="AR18" i="11"/>
  <c r="AQ18" i="11"/>
  <c r="AP18" i="11"/>
  <c r="AO18" i="11"/>
  <c r="AN18" i="11"/>
  <c r="AM18" i="11"/>
  <c r="AL18" i="11"/>
  <c r="AK18" i="11"/>
  <c r="AJ18" i="11"/>
  <c r="AI18" i="11"/>
  <c r="AH18" i="11"/>
  <c r="AG18" i="11"/>
  <c r="AF18" i="11"/>
  <c r="AE18" i="11"/>
  <c r="AD18" i="11"/>
  <c r="AC18" i="11"/>
  <c r="AB18" i="11"/>
  <c r="AA18" i="11"/>
  <c r="Z18" i="11"/>
  <c r="Y18" i="11"/>
  <c r="X18" i="11"/>
  <c r="W18" i="11"/>
  <c r="V18" i="11"/>
  <c r="U18" i="11"/>
  <c r="T18" i="11"/>
  <c r="S18" i="11"/>
  <c r="R18" i="11"/>
  <c r="Q18" i="11"/>
  <c r="P18" i="11"/>
  <c r="O18" i="11"/>
  <c r="N18" i="11"/>
  <c r="M18" i="11"/>
  <c r="L18" i="11"/>
  <c r="K18" i="11"/>
  <c r="J18" i="11"/>
  <c r="I18" i="11"/>
  <c r="H18" i="11"/>
  <c r="G18" i="11"/>
  <c r="F18" i="11"/>
  <c r="E18" i="11"/>
  <c r="D18" i="11"/>
  <c r="C18" i="11"/>
  <c r="BC17" i="11"/>
  <c r="BB17" i="11"/>
  <c r="BA17" i="11"/>
  <c r="AZ17" i="11"/>
  <c r="AY17" i="11"/>
  <c r="AX17" i="11"/>
  <c r="AW17" i="11"/>
  <c r="AV17" i="11"/>
  <c r="AU17" i="11"/>
  <c r="AT17" i="11"/>
  <c r="AS17" i="11"/>
  <c r="AR17" i="11"/>
  <c r="AQ17" i="11"/>
  <c r="AP17" i="11"/>
  <c r="AO17" i="11"/>
  <c r="AN17" i="11"/>
  <c r="AM17" i="11"/>
  <c r="AL17" i="11"/>
  <c r="AK17" i="11"/>
  <c r="AJ17" i="11"/>
  <c r="AI17" i="11"/>
  <c r="AH17" i="11"/>
  <c r="AG17" i="11"/>
  <c r="AF17" i="11"/>
  <c r="AE17" i="11"/>
  <c r="AD17" i="11"/>
  <c r="AC17" i="11"/>
  <c r="AB17" i="11"/>
  <c r="AA17" i="11"/>
  <c r="Z17" i="11"/>
  <c r="Y17" i="11"/>
  <c r="X17" i="11"/>
  <c r="W17" i="11"/>
  <c r="V17" i="11"/>
  <c r="U17" i="11"/>
  <c r="T17" i="11"/>
  <c r="S17" i="11"/>
  <c r="R17" i="11"/>
  <c r="Q17" i="11"/>
  <c r="P17" i="11"/>
  <c r="O17" i="11"/>
  <c r="N17" i="11"/>
  <c r="M17" i="11"/>
  <c r="L17" i="11"/>
  <c r="K17" i="11"/>
  <c r="J17" i="11"/>
  <c r="I17" i="11"/>
  <c r="H17" i="11"/>
  <c r="G17" i="11"/>
  <c r="F17" i="11"/>
  <c r="E17" i="11"/>
  <c r="D17" i="11"/>
  <c r="C17" i="11"/>
  <c r="BC16" i="11"/>
  <c r="BB16" i="11"/>
  <c r="BA16" i="11"/>
  <c r="AZ16" i="11"/>
  <c r="AY16" i="11"/>
  <c r="AX16" i="11"/>
  <c r="AW16" i="11"/>
  <c r="AV16" i="11"/>
  <c r="AU16" i="11"/>
  <c r="AT16" i="11"/>
  <c r="AS16" i="11"/>
  <c r="AR16" i="11"/>
  <c r="AQ16" i="11"/>
  <c r="AP16" i="11"/>
  <c r="AO16" i="11"/>
  <c r="AN16" i="11"/>
  <c r="AM16" i="11"/>
  <c r="AL16" i="11"/>
  <c r="AK16" i="11"/>
  <c r="AJ16" i="11"/>
  <c r="AI16" i="11"/>
  <c r="AH16" i="11"/>
  <c r="AG16" i="11"/>
  <c r="AF16" i="11"/>
  <c r="AE16" i="11"/>
  <c r="AD16" i="11"/>
  <c r="AC16" i="11"/>
  <c r="AB16" i="11"/>
  <c r="AA16" i="11"/>
  <c r="Z16" i="11"/>
  <c r="Y16" i="11"/>
  <c r="X16" i="11"/>
  <c r="W16" i="11"/>
  <c r="V16" i="11"/>
  <c r="U16" i="11"/>
  <c r="T16" i="11"/>
  <c r="S16" i="11"/>
  <c r="R16" i="11"/>
  <c r="Q16" i="11"/>
  <c r="P16" i="11"/>
  <c r="O16" i="11"/>
  <c r="N16" i="11"/>
  <c r="M16" i="11"/>
  <c r="L16" i="11"/>
  <c r="K16" i="11"/>
  <c r="J16" i="11"/>
  <c r="I16" i="11"/>
  <c r="H16" i="11"/>
  <c r="G16" i="11"/>
  <c r="F16" i="11"/>
  <c r="E16" i="11"/>
  <c r="D16" i="11"/>
  <c r="C16" i="11"/>
  <c r="BC15" i="11"/>
  <c r="BB15" i="11"/>
  <c r="BA15" i="11"/>
  <c r="AZ15" i="11"/>
  <c r="AY15" i="11"/>
  <c r="AX15" i="11"/>
  <c r="AW15" i="11"/>
  <c r="AV15" i="11"/>
  <c r="AU15" i="11"/>
  <c r="AT15" i="11"/>
  <c r="AS15" i="11"/>
  <c r="AR15" i="11"/>
  <c r="AQ15" i="11"/>
  <c r="AP15" i="11"/>
  <c r="AO15" i="11"/>
  <c r="AN15" i="11"/>
  <c r="AM15" i="11"/>
  <c r="AL15" i="11"/>
  <c r="AK15" i="11"/>
  <c r="AJ15" i="11"/>
  <c r="AI15" i="11"/>
  <c r="AH15" i="11"/>
  <c r="AG15" i="11"/>
  <c r="AF15" i="11"/>
  <c r="AE15" i="11"/>
  <c r="AD15" i="11"/>
  <c r="AC15" i="11"/>
  <c r="AB15" i="11"/>
  <c r="AA15" i="11"/>
  <c r="Z15" i="11"/>
  <c r="Y15" i="11"/>
  <c r="X15" i="11"/>
  <c r="W15" i="11"/>
  <c r="V15" i="11"/>
  <c r="U15" i="11"/>
  <c r="T15" i="11"/>
  <c r="S15" i="11"/>
  <c r="R15" i="11"/>
  <c r="Q15" i="11"/>
  <c r="P15" i="11"/>
  <c r="O15" i="11"/>
  <c r="N15" i="11"/>
  <c r="M15" i="11"/>
  <c r="L15" i="11"/>
  <c r="K15" i="11"/>
  <c r="J15" i="11"/>
  <c r="I15" i="11"/>
  <c r="H15" i="11"/>
  <c r="G15" i="11"/>
  <c r="F15" i="11"/>
  <c r="E15" i="11"/>
  <c r="D15" i="11"/>
  <c r="C15" i="11"/>
  <c r="BC14" i="11"/>
  <c r="BB14" i="11"/>
  <c r="BA14" i="11"/>
  <c r="AZ14" i="11"/>
  <c r="AY14" i="11"/>
  <c r="AX14" i="11"/>
  <c r="AW14" i="11"/>
  <c r="AV14" i="11"/>
  <c r="AU14" i="11"/>
  <c r="AT14" i="11"/>
  <c r="AS14" i="11"/>
  <c r="AR14" i="11"/>
  <c r="AQ14" i="11"/>
  <c r="AP14" i="11"/>
  <c r="AO14" i="11"/>
  <c r="AN14" i="11"/>
  <c r="AM14" i="11"/>
  <c r="AL14" i="11"/>
  <c r="AK14" i="11"/>
  <c r="AJ14" i="11"/>
  <c r="AI14" i="11"/>
  <c r="AH14" i="11"/>
  <c r="AG14" i="11"/>
  <c r="AF14" i="11"/>
  <c r="AE14" i="11"/>
  <c r="AD14" i="11"/>
  <c r="AC14" i="11"/>
  <c r="AB14" i="11"/>
  <c r="AA14" i="11"/>
  <c r="Z14" i="11"/>
  <c r="Y14" i="11"/>
  <c r="X14" i="11"/>
  <c r="W14" i="11"/>
  <c r="V14" i="11"/>
  <c r="U14" i="11"/>
  <c r="T14" i="11"/>
  <c r="S14" i="11"/>
  <c r="R14" i="11"/>
  <c r="Q14" i="11"/>
  <c r="P14" i="11"/>
  <c r="O14" i="11"/>
  <c r="N14" i="11"/>
  <c r="M14" i="11"/>
  <c r="L14" i="11"/>
  <c r="K14" i="11"/>
  <c r="J14" i="11"/>
  <c r="I14" i="11"/>
  <c r="H14" i="11"/>
  <c r="G14" i="11"/>
  <c r="F14" i="11"/>
  <c r="E14" i="11"/>
  <c r="D14" i="11"/>
  <c r="C14" i="11"/>
  <c r="BC13" i="11"/>
  <c r="BB13" i="11"/>
  <c r="BA13" i="11"/>
  <c r="AZ13" i="11"/>
  <c r="AY13" i="11"/>
  <c r="AX13" i="11"/>
  <c r="AW13" i="11"/>
  <c r="AV13" i="11"/>
  <c r="AU13" i="11"/>
  <c r="AT13" i="11"/>
  <c r="AS13" i="11"/>
  <c r="AR13" i="11"/>
  <c r="AQ13" i="11"/>
  <c r="AP13" i="11"/>
  <c r="AO13" i="11"/>
  <c r="AN13" i="11"/>
  <c r="AM13" i="11"/>
  <c r="AL13" i="11"/>
  <c r="AK13" i="11"/>
  <c r="AJ13" i="11"/>
  <c r="AI13" i="11"/>
  <c r="AH13" i="11"/>
  <c r="AG13" i="11"/>
  <c r="AF13" i="11"/>
  <c r="AE13" i="11"/>
  <c r="AD13" i="11"/>
  <c r="AC13" i="11"/>
  <c r="AB13" i="11"/>
  <c r="AA13" i="11"/>
  <c r="Z13" i="11"/>
  <c r="Y13" i="11"/>
  <c r="X13" i="11"/>
  <c r="W13" i="11"/>
  <c r="V13" i="11"/>
  <c r="U13" i="11"/>
  <c r="T13" i="11"/>
  <c r="S13" i="11"/>
  <c r="R13" i="11"/>
  <c r="Q13" i="11"/>
  <c r="P13" i="11"/>
  <c r="O13" i="11"/>
  <c r="N13" i="11"/>
  <c r="M13" i="11"/>
  <c r="L13" i="11"/>
  <c r="K13" i="11"/>
  <c r="J13" i="11"/>
  <c r="I13" i="11"/>
  <c r="H13" i="11"/>
  <c r="G13" i="11"/>
  <c r="F13" i="11"/>
  <c r="E13" i="11"/>
  <c r="D13" i="11"/>
  <c r="C13" i="11"/>
  <c r="BC12" i="11"/>
  <c r="BB12" i="11"/>
  <c r="BA12" i="11"/>
  <c r="AZ12" i="11"/>
  <c r="AY12" i="11"/>
  <c r="AX12" i="11"/>
  <c r="AW12" i="11"/>
  <c r="AV12" i="11"/>
  <c r="AU12" i="11"/>
  <c r="AT12" i="11"/>
  <c r="AS12" i="11"/>
  <c r="AR12" i="11"/>
  <c r="AQ12" i="11"/>
  <c r="AP12" i="11"/>
  <c r="AO12" i="11"/>
  <c r="AN12" i="11"/>
  <c r="AM12" i="11"/>
  <c r="AL12" i="11"/>
  <c r="AK12" i="11"/>
  <c r="AJ12" i="11"/>
  <c r="AI12" i="11"/>
  <c r="AH12" i="11"/>
  <c r="AG12" i="11"/>
  <c r="AF12" i="11"/>
  <c r="AE12" i="11"/>
  <c r="AD12" i="11"/>
  <c r="AC12" i="11"/>
  <c r="AB12" i="11"/>
  <c r="AA12" i="11"/>
  <c r="Z12" i="11"/>
  <c r="Y12" i="11"/>
  <c r="X12" i="11"/>
  <c r="W12" i="11"/>
  <c r="V12" i="11"/>
  <c r="U12" i="11"/>
  <c r="T12" i="11"/>
  <c r="S12" i="11"/>
  <c r="R12" i="11"/>
  <c r="Q12" i="11"/>
  <c r="P12" i="11"/>
  <c r="O12" i="11"/>
  <c r="N12" i="11"/>
  <c r="M12" i="11"/>
  <c r="L12" i="11"/>
  <c r="K12" i="11"/>
  <c r="J12" i="11"/>
  <c r="I12" i="11"/>
  <c r="H12" i="11"/>
  <c r="G12" i="11"/>
  <c r="F12" i="11"/>
  <c r="E12" i="11"/>
  <c r="D12" i="11"/>
  <c r="C12" i="11"/>
  <c r="BC11" i="11"/>
  <c r="BB11" i="11"/>
  <c r="BA11" i="11"/>
  <c r="AZ11" i="11"/>
  <c r="AY11" i="11"/>
  <c r="AX11" i="11"/>
  <c r="AW11" i="11"/>
  <c r="AV11" i="11"/>
  <c r="AU11" i="11"/>
  <c r="AT11" i="11"/>
  <c r="AS11" i="11"/>
  <c r="AR11" i="11"/>
  <c r="AQ11" i="11"/>
  <c r="AP11" i="11"/>
  <c r="AO11" i="11"/>
  <c r="AN11" i="11"/>
  <c r="AM11" i="11"/>
  <c r="AL11" i="11"/>
  <c r="AK11" i="11"/>
  <c r="AJ11" i="11"/>
  <c r="AI11" i="11"/>
  <c r="AH11" i="11"/>
  <c r="AG11" i="11"/>
  <c r="AF11" i="11"/>
  <c r="AE11" i="11"/>
  <c r="AD11" i="11"/>
  <c r="AC11" i="11"/>
  <c r="AB11" i="11"/>
  <c r="AA11" i="11"/>
  <c r="Z11" i="11"/>
  <c r="Y11" i="11"/>
  <c r="X11" i="11"/>
  <c r="W11" i="11"/>
  <c r="V11" i="11"/>
  <c r="U11" i="11"/>
  <c r="T11" i="11"/>
  <c r="S11" i="11"/>
  <c r="R11" i="11"/>
  <c r="Q11" i="11"/>
  <c r="P11" i="11"/>
  <c r="O11" i="11"/>
  <c r="N11" i="11"/>
  <c r="M11" i="11"/>
  <c r="L11" i="11"/>
  <c r="K11" i="11"/>
  <c r="J11" i="11"/>
  <c r="I11" i="11"/>
  <c r="H11" i="11"/>
  <c r="G11" i="11"/>
  <c r="F11" i="11"/>
  <c r="E11" i="11"/>
  <c r="D11" i="11"/>
  <c r="C11" i="11"/>
  <c r="BC10" i="11"/>
  <c r="BB10" i="11"/>
  <c r="BA10" i="11"/>
  <c r="AZ10" i="11"/>
  <c r="AY10" i="11"/>
  <c r="AX10" i="11"/>
  <c r="AW10" i="11"/>
  <c r="AV10" i="11"/>
  <c r="AU10" i="11"/>
  <c r="AT10" i="11"/>
  <c r="AS10" i="11"/>
  <c r="AR10" i="11"/>
  <c r="AQ10" i="11"/>
  <c r="AP10" i="11"/>
  <c r="AO10" i="11"/>
  <c r="AN10" i="11"/>
  <c r="AM10" i="11"/>
  <c r="AL10" i="11"/>
  <c r="AK10" i="11"/>
  <c r="AJ10" i="11"/>
  <c r="AI10" i="11"/>
  <c r="AH10" i="11"/>
  <c r="AG10" i="11"/>
  <c r="AF10" i="11"/>
  <c r="AE10" i="11"/>
  <c r="AD10" i="11"/>
  <c r="AC10" i="11"/>
  <c r="AB10" i="11"/>
  <c r="AA10" i="11"/>
  <c r="Z10" i="11"/>
  <c r="Y10" i="11"/>
  <c r="X10" i="11"/>
  <c r="W10" i="11"/>
  <c r="V10" i="11"/>
  <c r="U10" i="11"/>
  <c r="T10" i="11"/>
  <c r="S10" i="11"/>
  <c r="R10" i="11"/>
  <c r="Q10" i="11"/>
  <c r="P10" i="11"/>
  <c r="O10" i="11"/>
  <c r="N10" i="11"/>
  <c r="M10" i="11"/>
  <c r="L10" i="11"/>
  <c r="K10" i="11"/>
  <c r="J10" i="11"/>
  <c r="I10" i="11"/>
  <c r="H10" i="11"/>
  <c r="G10" i="11"/>
  <c r="F10" i="11"/>
  <c r="E10" i="11"/>
  <c r="D10" i="11"/>
  <c r="C10" i="11"/>
  <c r="BC9" i="11"/>
  <c r="BB9" i="11"/>
  <c r="BA9" i="11"/>
  <c r="AZ9" i="11"/>
  <c r="AY9" i="11"/>
  <c r="AX9" i="11"/>
  <c r="AW9" i="11"/>
  <c r="AV9" i="11"/>
  <c r="AU9" i="11"/>
  <c r="AT9" i="11"/>
  <c r="AS9" i="11"/>
  <c r="AR9" i="11"/>
  <c r="AQ9" i="11"/>
  <c r="AP9" i="11"/>
  <c r="AO9" i="11"/>
  <c r="AN9" i="11"/>
  <c r="AM9" i="11"/>
  <c r="AL9" i="11"/>
  <c r="AK9" i="11"/>
  <c r="AJ9" i="11"/>
  <c r="AI9" i="11"/>
  <c r="AH9" i="11"/>
  <c r="AG9" i="11"/>
  <c r="AF9" i="11"/>
  <c r="AE9" i="11"/>
  <c r="AD9" i="11"/>
  <c r="AC9" i="11"/>
  <c r="AB9" i="11"/>
  <c r="AA9" i="11"/>
  <c r="Z9" i="11"/>
  <c r="Y9" i="11"/>
  <c r="X9" i="11"/>
  <c r="W9" i="11"/>
  <c r="V9" i="11"/>
  <c r="U9" i="11"/>
  <c r="T9" i="11"/>
  <c r="S9" i="11"/>
  <c r="R9" i="11"/>
  <c r="Q9" i="11"/>
  <c r="P9" i="11"/>
  <c r="O9" i="11"/>
  <c r="N9" i="11"/>
  <c r="M9" i="11"/>
  <c r="L9" i="11"/>
  <c r="K9" i="11"/>
  <c r="J9" i="11"/>
  <c r="I9" i="11"/>
  <c r="H9" i="11"/>
  <c r="G9" i="11"/>
  <c r="F9" i="11"/>
  <c r="E9" i="11"/>
  <c r="D9" i="11"/>
  <c r="C9" i="11"/>
  <c r="BC8" i="11"/>
  <c r="BB8" i="11"/>
  <c r="BA8" i="11"/>
  <c r="AZ8" i="11"/>
  <c r="AY8" i="11"/>
  <c r="AX8" i="11"/>
  <c r="AW8" i="11"/>
  <c r="AV8" i="11"/>
  <c r="AU8" i="11"/>
  <c r="AT8" i="11"/>
  <c r="AS8" i="11"/>
  <c r="AR8" i="11"/>
  <c r="AQ8" i="11"/>
  <c r="AP8" i="11"/>
  <c r="AO8" i="11"/>
  <c r="AN8" i="11"/>
  <c r="AM8" i="11"/>
  <c r="AL8" i="11"/>
  <c r="AK8" i="11"/>
  <c r="AJ8" i="11"/>
  <c r="AI8" i="11"/>
  <c r="AH8" i="11"/>
  <c r="AG8" i="11"/>
  <c r="AF8" i="11"/>
  <c r="AE8" i="11"/>
  <c r="AD8" i="11"/>
  <c r="AC8" i="11"/>
  <c r="AB8" i="11"/>
  <c r="AA8" i="11"/>
  <c r="Z8" i="11"/>
  <c r="Y8" i="11"/>
  <c r="X8" i="11"/>
  <c r="W8" i="11"/>
  <c r="V8" i="11"/>
  <c r="U8" i="11"/>
  <c r="T8" i="11"/>
  <c r="S8" i="11"/>
  <c r="R8" i="11"/>
  <c r="Q8" i="11"/>
  <c r="P8" i="11"/>
  <c r="O8" i="11"/>
  <c r="N8" i="11"/>
  <c r="M8" i="11"/>
  <c r="L8" i="11"/>
  <c r="K8" i="11"/>
  <c r="J8" i="11"/>
  <c r="I8" i="11"/>
  <c r="H8" i="11"/>
  <c r="G8" i="11"/>
  <c r="F8" i="11"/>
  <c r="E8" i="11"/>
  <c r="D8" i="11"/>
  <c r="C8" i="11"/>
  <c r="BY4" i="7" l="1"/>
  <c r="CG4" i="7"/>
  <c r="CK4" i="7"/>
  <c r="CO4" i="7"/>
  <c r="CS4" i="7"/>
  <c r="CW4" i="7"/>
  <c r="N4" i="7"/>
  <c r="AD4" i="7"/>
  <c r="BW4" i="7"/>
  <c r="BZ4" i="7"/>
  <c r="CA4" i="7"/>
  <c r="CD4" i="7"/>
  <c r="CH4" i="7"/>
  <c r="CL4" i="7"/>
  <c r="CP4" i="7"/>
  <c r="CT4" i="7"/>
  <c r="CX4" i="7"/>
  <c r="B4" i="7"/>
  <c r="R4" i="7"/>
  <c r="BU4" i="7"/>
  <c r="BX4" i="7"/>
  <c r="CB4" i="7"/>
  <c r="CE4" i="7"/>
  <c r="CF4" i="7"/>
  <c r="CI4" i="7"/>
  <c r="CM4" i="7"/>
  <c r="CQ4" i="7"/>
  <c r="CU4" i="7"/>
  <c r="CY4" i="7"/>
  <c r="F4" i="7"/>
  <c r="V4" i="7"/>
  <c r="BT4" i="7"/>
  <c r="BV4" i="7"/>
  <c r="CC4" i="7"/>
  <c r="CJ4" i="7"/>
  <c r="CN4" i="7"/>
  <c r="CR4" i="7"/>
  <c r="CV4" i="7"/>
  <c r="J4" i="7"/>
  <c r="Z4" i="7"/>
  <c r="BQ4" i="7"/>
  <c r="A9" i="11"/>
  <c r="AY5" i="7" s="1"/>
  <c r="AL4" i="7"/>
  <c r="AW4" i="7"/>
  <c r="BL4" i="7"/>
  <c r="AQ5" i="7"/>
  <c r="AK4" i="7"/>
  <c r="BA4" i="7"/>
  <c r="BI4" i="7"/>
  <c r="C4" i="7"/>
  <c r="G4" i="7"/>
  <c r="K4" i="7"/>
  <c r="O4" i="7"/>
  <c r="S4" i="7"/>
  <c r="W4" i="7"/>
  <c r="AA4" i="7"/>
  <c r="AE4" i="7"/>
  <c r="AO4" i="7"/>
  <c r="AS4" i="7"/>
  <c r="AZ4" i="7"/>
  <c r="BD4" i="7"/>
  <c r="BP4" i="7"/>
  <c r="BC5" i="7"/>
  <c r="AM4" i="7"/>
  <c r="AT4" i="7"/>
  <c r="BE4" i="7"/>
  <c r="BM4" i="7"/>
  <c r="BH5" i="7"/>
  <c r="AP4" i="7"/>
  <c r="AX4" i="7"/>
  <c r="BB4" i="7"/>
  <c r="BF4" i="7"/>
  <c r="BJ4" i="7"/>
  <c r="BN4" i="7"/>
  <c r="AT5" i="7"/>
  <c r="DA4" i="7"/>
  <c r="D4" i="7"/>
  <c r="H4" i="7"/>
  <c r="L4" i="7"/>
  <c r="P4" i="7"/>
  <c r="T4" i="7"/>
  <c r="X4" i="7"/>
  <c r="AB4" i="7"/>
  <c r="A53" i="11"/>
  <c r="BW5" i="7" s="1"/>
  <c r="CZ4" i="7"/>
  <c r="AV4" i="7"/>
  <c r="BH4" i="7"/>
  <c r="AN5" i="7"/>
  <c r="AN4" i="7"/>
  <c r="AQ4" i="7"/>
  <c r="AR4" i="7"/>
  <c r="AU4" i="7"/>
  <c r="AY4" i="7"/>
  <c r="BC4" i="7"/>
  <c r="BG4" i="7"/>
  <c r="BK4" i="7"/>
  <c r="BO4" i="7"/>
  <c r="AP5" i="7"/>
  <c r="BN5" i="7"/>
  <c r="A14" i="10"/>
  <c r="AH4" i="7"/>
  <c r="E4" i="7"/>
  <c r="I4" i="7"/>
  <c r="M4" i="7"/>
  <c r="Q4" i="7"/>
  <c r="U4" i="7"/>
  <c r="Y4" i="7"/>
  <c r="AC4" i="7"/>
  <c r="AG4" i="7"/>
  <c r="BD5" i="7" l="1"/>
  <c r="CO5" i="7"/>
  <c r="AX5" i="7"/>
  <c r="BG5" i="7"/>
  <c r="BA5" i="7"/>
  <c r="AO5" i="7"/>
  <c r="BO5" i="7"/>
  <c r="BL5" i="7"/>
  <c r="BK5" i="7"/>
  <c r="BJ5" i="7"/>
  <c r="BM5" i="7"/>
  <c r="AK5" i="7"/>
  <c r="AZ5" i="7"/>
  <c r="AR5" i="7"/>
  <c r="AL5" i="7"/>
  <c r="BB5" i="7"/>
  <c r="CH5" i="7"/>
  <c r="BE5" i="7"/>
  <c r="AW5" i="7"/>
  <c r="CK5" i="7"/>
  <c r="CW5" i="7"/>
  <c r="CG5" i="7"/>
  <c r="DA5" i="7" s="1"/>
  <c r="BF5" i="7"/>
  <c r="AU5" i="7"/>
  <c r="BI5" i="7"/>
  <c r="AM5" i="7"/>
  <c r="BP5" i="7"/>
  <c r="AS5" i="7"/>
  <c r="AV5" i="7"/>
  <c r="CS5" i="7"/>
  <c r="BY5" i="7"/>
  <c r="CX5" i="7"/>
  <c r="CN5" i="7"/>
  <c r="CL5" i="7"/>
  <c r="CF5" i="7"/>
  <c r="CJ5" i="7"/>
  <c r="BZ5" i="7"/>
  <c r="BU5" i="7"/>
  <c r="CC5" i="7"/>
  <c r="CV5" i="7"/>
  <c r="BT5" i="7"/>
  <c r="CP5" i="7"/>
  <c r="CU5" i="7"/>
  <c r="AI4" i="7"/>
  <c r="A54" i="11"/>
  <c r="CZ5" i="7"/>
  <c r="CR5" i="7"/>
  <c r="BV5" i="7"/>
  <c r="CA5" i="7"/>
  <c r="CQ5" i="7"/>
  <c r="CE5" i="7"/>
  <c r="BQ5" i="7"/>
  <c r="A10" i="11"/>
  <c r="A15" i="10"/>
  <c r="AH5" i="7"/>
  <c r="AG5" i="7"/>
  <c r="AC5" i="7"/>
  <c r="Y5" i="7"/>
  <c r="U5" i="7"/>
  <c r="Q5" i="7"/>
  <c r="M5" i="7"/>
  <c r="I5" i="7"/>
  <c r="E5" i="7"/>
  <c r="V5" i="7"/>
  <c r="F5" i="7"/>
  <c r="AF5" i="7"/>
  <c r="AB5" i="7"/>
  <c r="X5" i="7"/>
  <c r="T5" i="7"/>
  <c r="P5" i="7"/>
  <c r="L5" i="7"/>
  <c r="H5" i="7"/>
  <c r="D5" i="7"/>
  <c r="AD5" i="7"/>
  <c r="R5" i="7"/>
  <c r="J5" i="7"/>
  <c r="B5" i="7"/>
  <c r="AE5" i="7"/>
  <c r="AA5" i="7"/>
  <c r="W5" i="7"/>
  <c r="S5" i="7"/>
  <c r="O5" i="7"/>
  <c r="K5" i="7"/>
  <c r="G5" i="7"/>
  <c r="C5" i="7"/>
  <c r="Z5" i="7"/>
  <c r="N5" i="7"/>
  <c r="BR4" i="7"/>
  <c r="CM5" i="7"/>
  <c r="CB5" i="7"/>
  <c r="CT5" i="7"/>
  <c r="BR5" i="7"/>
  <c r="CY5" i="7"/>
  <c r="CI5" i="7"/>
  <c r="BX5" i="7"/>
  <c r="CD5" i="7"/>
  <c r="A55" i="11" l="1"/>
  <c r="CZ6" i="7"/>
  <c r="CD6" i="7"/>
  <c r="CT6" i="7"/>
  <c r="CW6" i="7"/>
  <c r="BU6" i="7"/>
  <c r="CF6" i="7"/>
  <c r="CU6" i="7"/>
  <c r="BT6" i="7"/>
  <c r="CN6" i="7"/>
  <c r="CO6" i="7"/>
  <c r="BW6" i="7"/>
  <c r="CH6" i="7"/>
  <c r="CX6" i="7"/>
  <c r="BY6" i="7"/>
  <c r="BX6" i="7"/>
  <c r="CI6" i="7"/>
  <c r="CY6" i="7"/>
  <c r="BV6" i="7"/>
  <c r="CR6" i="7"/>
  <c r="CS6" i="7"/>
  <c r="BZ6" i="7"/>
  <c r="CL6" i="7"/>
  <c r="CG6" i="7"/>
  <c r="CB6" i="7"/>
  <c r="CM6" i="7"/>
  <c r="CC6" i="7"/>
  <c r="CV6" i="7"/>
  <c r="CA6" i="7"/>
  <c r="CP6" i="7"/>
  <c r="CK6" i="7"/>
  <c r="CE6" i="7"/>
  <c r="CQ6" i="7"/>
  <c r="CJ6" i="7"/>
  <c r="AI5" i="7"/>
  <c r="A16" i="10"/>
  <c r="AH6" i="7"/>
  <c r="AG6" i="7"/>
  <c r="AC6" i="7"/>
  <c r="Y6" i="7"/>
  <c r="U6" i="7"/>
  <c r="Q6" i="7"/>
  <c r="M6" i="7"/>
  <c r="I6" i="7"/>
  <c r="E6" i="7"/>
  <c r="AD6" i="7"/>
  <c r="J6" i="7"/>
  <c r="AF6" i="7"/>
  <c r="AB6" i="7"/>
  <c r="X6" i="7"/>
  <c r="T6" i="7"/>
  <c r="P6" i="7"/>
  <c r="L6" i="7"/>
  <c r="H6" i="7"/>
  <c r="D6" i="7"/>
  <c r="Z6" i="7"/>
  <c r="R6" i="7"/>
  <c r="N6" i="7"/>
  <c r="B6" i="7"/>
  <c r="AE6" i="7"/>
  <c r="AA6" i="7"/>
  <c r="W6" i="7"/>
  <c r="S6" i="7"/>
  <c r="O6" i="7"/>
  <c r="K6" i="7"/>
  <c r="G6" i="7"/>
  <c r="C6" i="7"/>
  <c r="V6" i="7"/>
  <c r="F6" i="7"/>
  <c r="BQ6" i="7"/>
  <c r="A11" i="11"/>
  <c r="BJ6" i="7"/>
  <c r="AQ6" i="7"/>
  <c r="BN6" i="7"/>
  <c r="AN6" i="7"/>
  <c r="BG6" i="7"/>
  <c r="AV6" i="7"/>
  <c r="BH6" i="7"/>
  <c r="BA6" i="7"/>
  <c r="BC6" i="7"/>
  <c r="AS6" i="7"/>
  <c r="BM6" i="7"/>
  <c r="AY6" i="7"/>
  <c r="AR6" i="7"/>
  <c r="BO6" i="7"/>
  <c r="AL6" i="7"/>
  <c r="AW6" i="7"/>
  <c r="BL6" i="7"/>
  <c r="AK6" i="7"/>
  <c r="BE6" i="7"/>
  <c r="AT6" i="7"/>
  <c r="BK6" i="7"/>
  <c r="AX6" i="7"/>
  <c r="AU6" i="7"/>
  <c r="AO6" i="7"/>
  <c r="AZ6" i="7"/>
  <c r="BP6" i="7"/>
  <c r="AP6" i="7"/>
  <c r="AM6" i="7"/>
  <c r="BI6" i="7"/>
  <c r="BB6" i="7"/>
  <c r="BD6" i="7"/>
  <c r="BF6" i="7"/>
  <c r="A17" i="10" l="1"/>
  <c r="AH7" i="7"/>
  <c r="AG7" i="7"/>
  <c r="AC7" i="7"/>
  <c r="Y7" i="7"/>
  <c r="U7" i="7"/>
  <c r="Q7" i="7"/>
  <c r="M7" i="7"/>
  <c r="I7" i="7"/>
  <c r="E7" i="7"/>
  <c r="Z7" i="7"/>
  <c r="F7" i="7"/>
  <c r="AF7" i="7"/>
  <c r="AB7" i="7"/>
  <c r="X7" i="7"/>
  <c r="T7" i="7"/>
  <c r="P7" i="7"/>
  <c r="L7" i="7"/>
  <c r="H7" i="7"/>
  <c r="D7" i="7"/>
  <c r="AD7" i="7"/>
  <c r="R7" i="7"/>
  <c r="N7" i="7"/>
  <c r="B7" i="7"/>
  <c r="AE7" i="7"/>
  <c r="AA7" i="7"/>
  <c r="W7" i="7"/>
  <c r="S7" i="7"/>
  <c r="O7" i="7"/>
  <c r="K7" i="7"/>
  <c r="G7" i="7"/>
  <c r="C7" i="7"/>
  <c r="V7" i="7"/>
  <c r="J7" i="7"/>
  <c r="A12" i="11"/>
  <c r="BQ7" i="7"/>
  <c r="BJ7" i="7"/>
  <c r="BF7" i="7"/>
  <c r="AQ7" i="7"/>
  <c r="BC7" i="7"/>
  <c r="AK7" i="7"/>
  <c r="AL7" i="7"/>
  <c r="AW7" i="7"/>
  <c r="BL7" i="7"/>
  <c r="BB7" i="7"/>
  <c r="AN7" i="7"/>
  <c r="BO7" i="7"/>
  <c r="AM7" i="7"/>
  <c r="BA7" i="7"/>
  <c r="BN7" i="7"/>
  <c r="AR7" i="7"/>
  <c r="BG7" i="7"/>
  <c r="AT7" i="7"/>
  <c r="AO7" i="7"/>
  <c r="AZ7" i="7"/>
  <c r="BP7" i="7"/>
  <c r="BH7" i="7"/>
  <c r="BI7" i="7"/>
  <c r="BM7" i="7"/>
  <c r="AP7" i="7"/>
  <c r="AU7" i="7"/>
  <c r="BK7" i="7"/>
  <c r="BE7" i="7"/>
  <c r="AS7" i="7"/>
  <c r="BD7" i="7"/>
  <c r="AX7" i="7"/>
  <c r="AY7" i="7"/>
  <c r="AV7" i="7"/>
  <c r="A56" i="11"/>
  <c r="CZ7" i="7"/>
  <c r="CN7" i="7"/>
  <c r="CK7" i="7"/>
  <c r="CA7" i="7"/>
  <c r="CP7" i="7"/>
  <c r="BV7" i="7"/>
  <c r="BX7" i="7"/>
  <c r="CI7" i="7"/>
  <c r="CY7" i="7"/>
  <c r="BZ7" i="7"/>
  <c r="CO7" i="7"/>
  <c r="CC7" i="7"/>
  <c r="CD7" i="7"/>
  <c r="CT7" i="7"/>
  <c r="CR7" i="7"/>
  <c r="CB7" i="7"/>
  <c r="CM7" i="7"/>
  <c r="CL7" i="7"/>
  <c r="BU7" i="7"/>
  <c r="CU7" i="7"/>
  <c r="BY7" i="7"/>
  <c r="CS7" i="7"/>
  <c r="CJ7" i="7"/>
  <c r="BW7" i="7"/>
  <c r="CH7" i="7"/>
  <c r="CX7" i="7"/>
  <c r="CE7" i="7"/>
  <c r="CQ7" i="7"/>
  <c r="BT7" i="7"/>
  <c r="CG7" i="7"/>
  <c r="CW7" i="7"/>
  <c r="CV7" i="7"/>
  <c r="CF7" i="7"/>
  <c r="BR6" i="7"/>
  <c r="AI6" i="7"/>
  <c r="DA6" i="7"/>
  <c r="DA7" i="7" l="1"/>
  <c r="A13" i="11"/>
  <c r="BQ8" i="7"/>
  <c r="BH8" i="7"/>
  <c r="AS8" i="7"/>
  <c r="BE8" i="7"/>
  <c r="AP8" i="7"/>
  <c r="BJ8" i="7"/>
  <c r="AZ8" i="7"/>
  <c r="AR8" i="7"/>
  <c r="BG8" i="7"/>
  <c r="AT8" i="7"/>
  <c r="AL8" i="7"/>
  <c r="AK8" i="7"/>
  <c r="AW8" i="7"/>
  <c r="BM8" i="7"/>
  <c r="AX8" i="7"/>
  <c r="BN8" i="7"/>
  <c r="BL8" i="7"/>
  <c r="AU8" i="7"/>
  <c r="BK8" i="7"/>
  <c r="BF8" i="7"/>
  <c r="BA8" i="7"/>
  <c r="BD8" i="7"/>
  <c r="AM8" i="7"/>
  <c r="BB8" i="7"/>
  <c r="AN8" i="7"/>
  <c r="AY8" i="7"/>
  <c r="BO8" i="7"/>
  <c r="AV8" i="7"/>
  <c r="BI8" i="7"/>
  <c r="AO8" i="7"/>
  <c r="BP8" i="7"/>
  <c r="AQ8" i="7"/>
  <c r="BC8" i="7"/>
  <c r="BR7" i="7"/>
  <c r="AI7" i="7"/>
  <c r="A18" i="10"/>
  <c r="AH8" i="7"/>
  <c r="AG8" i="7"/>
  <c r="AC8" i="7"/>
  <c r="Y8" i="7"/>
  <c r="U8" i="7"/>
  <c r="Q8" i="7"/>
  <c r="M8" i="7"/>
  <c r="I8" i="7"/>
  <c r="E8" i="7"/>
  <c r="V8" i="7"/>
  <c r="F8" i="7"/>
  <c r="AF8" i="7"/>
  <c r="AB8" i="7"/>
  <c r="X8" i="7"/>
  <c r="T8" i="7"/>
  <c r="P8" i="7"/>
  <c r="L8" i="7"/>
  <c r="H8" i="7"/>
  <c r="D8" i="7"/>
  <c r="Z8" i="7"/>
  <c r="R8" i="7"/>
  <c r="N8" i="7"/>
  <c r="B8" i="7"/>
  <c r="AE8" i="7"/>
  <c r="AA8" i="7"/>
  <c r="W8" i="7"/>
  <c r="S8" i="7"/>
  <c r="O8" i="7"/>
  <c r="K8" i="7"/>
  <c r="G8" i="7"/>
  <c r="C8" i="7"/>
  <c r="AD8" i="7"/>
  <c r="J8" i="7"/>
  <c r="A57" i="11"/>
  <c r="CZ8" i="7"/>
  <c r="BT8" i="7"/>
  <c r="CN8" i="7"/>
  <c r="BX8" i="7"/>
  <c r="CY8" i="7"/>
  <c r="CG8" i="7"/>
  <c r="CW8" i="7"/>
  <c r="CD8" i="7"/>
  <c r="CT8" i="7"/>
  <c r="CS8" i="7"/>
  <c r="CP8" i="7"/>
  <c r="BU8" i="7"/>
  <c r="BV8" i="7"/>
  <c r="CR8" i="7"/>
  <c r="CB8" i="7"/>
  <c r="CK8" i="7"/>
  <c r="BW8" i="7"/>
  <c r="CH8" i="7"/>
  <c r="CX8" i="7"/>
  <c r="CM8" i="7"/>
  <c r="CF8" i="7"/>
  <c r="CC8" i="7"/>
  <c r="CV8" i="7"/>
  <c r="CI8" i="7"/>
  <c r="CO8" i="7"/>
  <c r="CE8" i="7"/>
  <c r="BZ8" i="7"/>
  <c r="CL8" i="7"/>
  <c r="CU8" i="7"/>
  <c r="CJ8" i="7"/>
  <c r="BY8" i="7"/>
  <c r="CQ8" i="7"/>
  <c r="CA8" i="7"/>
  <c r="AI8" i="7" l="1"/>
  <c r="A19" i="10"/>
  <c r="AH9" i="7"/>
  <c r="AG9" i="7"/>
  <c r="AC9" i="7"/>
  <c r="Y9" i="7"/>
  <c r="U9" i="7"/>
  <c r="Q9" i="7"/>
  <c r="M9" i="7"/>
  <c r="I9" i="7"/>
  <c r="E9" i="7"/>
  <c r="AD9" i="7"/>
  <c r="N9" i="7"/>
  <c r="AF9" i="7"/>
  <c r="AB9" i="7"/>
  <c r="X9" i="7"/>
  <c r="T9" i="7"/>
  <c r="P9" i="7"/>
  <c r="L9" i="7"/>
  <c r="H9" i="7"/>
  <c r="D9" i="7"/>
  <c r="Z9" i="7"/>
  <c r="R9" i="7"/>
  <c r="J9" i="7"/>
  <c r="B9" i="7"/>
  <c r="AE9" i="7"/>
  <c r="AA9" i="7"/>
  <c r="W9" i="7"/>
  <c r="S9" i="7"/>
  <c r="O9" i="7"/>
  <c r="K9" i="7"/>
  <c r="G9" i="7"/>
  <c r="C9" i="7"/>
  <c r="V9" i="7"/>
  <c r="F9" i="7"/>
  <c r="A58" i="11"/>
  <c r="CZ9" i="7"/>
  <c r="BZ9" i="7"/>
  <c r="BX9" i="7"/>
  <c r="CI9" i="7"/>
  <c r="CY9" i="7"/>
  <c r="CL9" i="7"/>
  <c r="CJ9" i="7"/>
  <c r="CD9" i="7"/>
  <c r="CK9" i="7"/>
  <c r="CH9" i="7"/>
  <c r="CP9" i="7"/>
  <c r="CB9" i="7"/>
  <c r="CM9" i="7"/>
  <c r="BW9" i="7"/>
  <c r="CX9" i="7"/>
  <c r="BT9" i="7"/>
  <c r="CN9" i="7"/>
  <c r="CT9" i="7"/>
  <c r="CO9" i="7"/>
  <c r="CE9" i="7"/>
  <c r="CQ9" i="7"/>
  <c r="CA9" i="7"/>
  <c r="BV9" i="7"/>
  <c r="CR9" i="7"/>
  <c r="BY9" i="7"/>
  <c r="CS9" i="7"/>
  <c r="BU9" i="7"/>
  <c r="CF9" i="7"/>
  <c r="CU9" i="7"/>
  <c r="CC9" i="7"/>
  <c r="CV9" i="7"/>
  <c r="CG9" i="7"/>
  <c r="CW9" i="7"/>
  <c r="BR8" i="7"/>
  <c r="DA8" i="7"/>
  <c r="A14" i="11"/>
  <c r="BQ9" i="7"/>
  <c r="AL9" i="7"/>
  <c r="AR9" i="7"/>
  <c r="AW9" i="7"/>
  <c r="AT9" i="7"/>
  <c r="BM9" i="7"/>
  <c r="AX9" i="7"/>
  <c r="BN9" i="7"/>
  <c r="AS9" i="7"/>
  <c r="BP9" i="7"/>
  <c r="BK9" i="7"/>
  <c r="AP9" i="7"/>
  <c r="AN9" i="7"/>
  <c r="AV9" i="7"/>
  <c r="AU9" i="7"/>
  <c r="AZ9" i="7"/>
  <c r="BA9" i="7"/>
  <c r="BB9" i="7"/>
  <c r="AY9" i="7"/>
  <c r="BD9" i="7"/>
  <c r="BC9" i="7"/>
  <c r="AO9" i="7"/>
  <c r="BH9" i="7"/>
  <c r="AK9" i="7"/>
  <c r="BE9" i="7"/>
  <c r="AQ9" i="7"/>
  <c r="BF9" i="7"/>
  <c r="BO9" i="7"/>
  <c r="BL9" i="7"/>
  <c r="BG9" i="7"/>
  <c r="AM9" i="7"/>
  <c r="BI9" i="7"/>
  <c r="BJ9" i="7"/>
  <c r="DA9" i="7" l="1"/>
  <c r="A59" i="11"/>
  <c r="CZ10" i="7"/>
  <c r="CD10" i="7"/>
  <c r="CT10" i="7"/>
  <c r="CW10" i="7"/>
  <c r="BU10" i="7"/>
  <c r="CF10" i="7"/>
  <c r="CU10" i="7"/>
  <c r="BT10" i="7"/>
  <c r="CN10" i="7"/>
  <c r="CQ10" i="7"/>
  <c r="CS10" i="7"/>
  <c r="BW10" i="7"/>
  <c r="CH10" i="7"/>
  <c r="CX10" i="7"/>
  <c r="BX10" i="7"/>
  <c r="CI10" i="7"/>
  <c r="CY10" i="7"/>
  <c r="BV10" i="7"/>
  <c r="CR10" i="7"/>
  <c r="CE10" i="7"/>
  <c r="CJ10" i="7"/>
  <c r="CO10" i="7"/>
  <c r="BZ10" i="7"/>
  <c r="CL10" i="7"/>
  <c r="BY10" i="7"/>
  <c r="CB10" i="7"/>
  <c r="CM10" i="7"/>
  <c r="CG10" i="7"/>
  <c r="CC10" i="7"/>
  <c r="CV10" i="7"/>
  <c r="CA10" i="7"/>
  <c r="CP10" i="7"/>
  <c r="CK10" i="7"/>
  <c r="A15" i="11"/>
  <c r="BQ10" i="7"/>
  <c r="BF10" i="7"/>
  <c r="AQ10" i="7"/>
  <c r="AP10" i="7"/>
  <c r="AN10" i="7"/>
  <c r="BG10" i="7"/>
  <c r="AV10" i="7"/>
  <c r="BH10" i="7"/>
  <c r="AX10" i="7"/>
  <c r="BA10" i="7"/>
  <c r="AY10" i="7"/>
  <c r="BD10" i="7"/>
  <c r="AT10" i="7"/>
  <c r="BC10" i="7"/>
  <c r="BB10" i="7"/>
  <c r="AR10" i="7"/>
  <c r="BK10" i="7"/>
  <c r="AL10" i="7"/>
  <c r="AW10" i="7"/>
  <c r="BL10" i="7"/>
  <c r="BN10" i="7"/>
  <c r="AK10" i="7"/>
  <c r="BE10" i="7"/>
  <c r="BM10" i="7"/>
  <c r="BO10" i="7"/>
  <c r="BJ10" i="7"/>
  <c r="AU10" i="7"/>
  <c r="AO10" i="7"/>
  <c r="AZ10" i="7"/>
  <c r="BP10" i="7"/>
  <c r="AM10" i="7"/>
  <c r="BI10" i="7"/>
  <c r="AS10" i="7"/>
  <c r="BR9" i="7"/>
  <c r="AI9" i="7"/>
  <c r="A20" i="10"/>
  <c r="AH10" i="7"/>
  <c r="AG10" i="7"/>
  <c r="AC10" i="7"/>
  <c r="Y10" i="7"/>
  <c r="U10" i="7"/>
  <c r="Q10" i="7"/>
  <c r="M10" i="7"/>
  <c r="I10" i="7"/>
  <c r="E10" i="7"/>
  <c r="Z10" i="7"/>
  <c r="F10" i="7"/>
  <c r="AF10" i="7"/>
  <c r="AB10" i="7"/>
  <c r="X10" i="7"/>
  <c r="T10" i="7"/>
  <c r="P10" i="7"/>
  <c r="L10" i="7"/>
  <c r="H10" i="7"/>
  <c r="D10" i="7"/>
  <c r="AD10" i="7"/>
  <c r="R10" i="7"/>
  <c r="N10" i="7"/>
  <c r="B10" i="7"/>
  <c r="AE10" i="7"/>
  <c r="AA10" i="7"/>
  <c r="W10" i="7"/>
  <c r="S10" i="7"/>
  <c r="O10" i="7"/>
  <c r="K10" i="7"/>
  <c r="G10" i="7"/>
  <c r="C10" i="7"/>
  <c r="V10" i="7"/>
  <c r="J10" i="7"/>
  <c r="BR10" i="7" l="1"/>
  <c r="DA10" i="7"/>
  <c r="A60" i="11"/>
  <c r="CZ11" i="7"/>
  <c r="CN11" i="7"/>
  <c r="CK11" i="7"/>
  <c r="CA11" i="7"/>
  <c r="CP11" i="7"/>
  <c r="CC11" i="7"/>
  <c r="BX11" i="7"/>
  <c r="CI11" i="7"/>
  <c r="CY11" i="7"/>
  <c r="BU11" i="7"/>
  <c r="CU11" i="7"/>
  <c r="CO11" i="7"/>
  <c r="BV11" i="7"/>
  <c r="CD11" i="7"/>
  <c r="CT11" i="7"/>
  <c r="CR11" i="7"/>
  <c r="CB11" i="7"/>
  <c r="CM11" i="7"/>
  <c r="CV11" i="7"/>
  <c r="CL11" i="7"/>
  <c r="BY11" i="7"/>
  <c r="CS11" i="7"/>
  <c r="CJ11" i="7"/>
  <c r="BW11" i="7"/>
  <c r="CH11" i="7"/>
  <c r="CX11" i="7"/>
  <c r="CE11" i="7"/>
  <c r="CQ11" i="7"/>
  <c r="BT11" i="7"/>
  <c r="CG11" i="7"/>
  <c r="CW11" i="7"/>
  <c r="BZ11" i="7"/>
  <c r="CF11" i="7"/>
  <c r="A16" i="11"/>
  <c r="BQ11" i="7"/>
  <c r="AX11" i="7"/>
  <c r="BA11" i="7"/>
  <c r="BN11" i="7"/>
  <c r="AQ11" i="7"/>
  <c r="BC11" i="7"/>
  <c r="AL11" i="7"/>
  <c r="AW11" i="7"/>
  <c r="BL11" i="7"/>
  <c r="BF11" i="7"/>
  <c r="BH11" i="7"/>
  <c r="AK11" i="7"/>
  <c r="BJ11" i="7"/>
  <c r="BM11" i="7"/>
  <c r="AR11" i="7"/>
  <c r="BG11" i="7"/>
  <c r="AO11" i="7"/>
  <c r="AZ11" i="7"/>
  <c r="BP11" i="7"/>
  <c r="BO11" i="7"/>
  <c r="BI11" i="7"/>
  <c r="BB11" i="7"/>
  <c r="AU11" i="7"/>
  <c r="BK11" i="7"/>
  <c r="AT11" i="7"/>
  <c r="AS11" i="7"/>
  <c r="BD11" i="7"/>
  <c r="AP11" i="7"/>
  <c r="AM11" i="7"/>
  <c r="AN11" i="7"/>
  <c r="AY11" i="7"/>
  <c r="BE11" i="7"/>
  <c r="AV11" i="7"/>
  <c r="AI10" i="7"/>
  <c r="A21" i="10"/>
  <c r="AH11" i="7"/>
  <c r="AG11" i="7"/>
  <c r="AC11" i="7"/>
  <c r="Y11" i="7"/>
  <c r="U11" i="7"/>
  <c r="Q11" i="7"/>
  <c r="M11" i="7"/>
  <c r="I11" i="7"/>
  <c r="E11" i="7"/>
  <c r="V11" i="7"/>
  <c r="F11" i="7"/>
  <c r="AF11" i="7"/>
  <c r="AB11" i="7"/>
  <c r="X11" i="7"/>
  <c r="T11" i="7"/>
  <c r="P11" i="7"/>
  <c r="L11" i="7"/>
  <c r="H11" i="7"/>
  <c r="D11" i="7"/>
  <c r="AD11" i="7"/>
  <c r="R11" i="7"/>
  <c r="N11" i="7"/>
  <c r="B11" i="7"/>
  <c r="AE11" i="7"/>
  <c r="AA11" i="7"/>
  <c r="W11" i="7"/>
  <c r="S11" i="7"/>
  <c r="O11" i="7"/>
  <c r="K11" i="7"/>
  <c r="G11" i="7"/>
  <c r="C11" i="7"/>
  <c r="Z11" i="7"/>
  <c r="J11" i="7"/>
  <c r="DA11" i="7" l="1"/>
  <c r="A17" i="11"/>
  <c r="BQ12" i="7"/>
  <c r="BL12" i="7"/>
  <c r="BM12" i="7"/>
  <c r="AZ12" i="7"/>
  <c r="BI12" i="7"/>
  <c r="AP12" i="7"/>
  <c r="BJ12" i="7"/>
  <c r="AL12" i="7"/>
  <c r="AR12" i="7"/>
  <c r="BG12" i="7"/>
  <c r="BE12" i="7"/>
  <c r="BD12" i="7"/>
  <c r="AM12" i="7"/>
  <c r="AX12" i="7"/>
  <c r="BN12" i="7"/>
  <c r="AW12" i="7"/>
  <c r="AU12" i="7"/>
  <c r="BK12" i="7"/>
  <c r="BC12" i="7"/>
  <c r="AK12" i="7"/>
  <c r="AO12" i="7"/>
  <c r="BP12" i="7"/>
  <c r="AT12" i="7"/>
  <c r="BB12" i="7"/>
  <c r="BH12" i="7"/>
  <c r="AN12" i="7"/>
  <c r="AY12" i="7"/>
  <c r="BO12" i="7"/>
  <c r="AV12" i="7"/>
  <c r="BA12" i="7"/>
  <c r="AS12" i="7"/>
  <c r="BF12" i="7"/>
  <c r="AQ12" i="7"/>
  <c r="AI11" i="7"/>
  <c r="A22" i="10"/>
  <c r="AH12" i="7"/>
  <c r="AG12" i="7"/>
  <c r="AC12" i="7"/>
  <c r="Y12" i="7"/>
  <c r="U12" i="7"/>
  <c r="Q12" i="7"/>
  <c r="M12" i="7"/>
  <c r="I12" i="7"/>
  <c r="E12" i="7"/>
  <c r="Z12" i="7"/>
  <c r="J12" i="7"/>
  <c r="AF12" i="7"/>
  <c r="AB12" i="7"/>
  <c r="X12" i="7"/>
  <c r="T12" i="7"/>
  <c r="P12" i="7"/>
  <c r="L12" i="7"/>
  <c r="H12" i="7"/>
  <c r="D12" i="7"/>
  <c r="AD12" i="7"/>
  <c r="R12" i="7"/>
  <c r="N12" i="7"/>
  <c r="B12" i="7"/>
  <c r="AE12" i="7"/>
  <c r="AA12" i="7"/>
  <c r="W12" i="7"/>
  <c r="S12" i="7"/>
  <c r="O12" i="7"/>
  <c r="K12" i="7"/>
  <c r="G12" i="7"/>
  <c r="C12" i="7"/>
  <c r="V12" i="7"/>
  <c r="F12" i="7"/>
  <c r="A61" i="11"/>
  <c r="CZ12" i="7"/>
  <c r="BT12" i="7"/>
  <c r="CN12" i="7"/>
  <c r="BX12" i="7"/>
  <c r="CU12" i="7"/>
  <c r="CG12" i="7"/>
  <c r="CW12" i="7"/>
  <c r="CD12" i="7"/>
  <c r="CT12" i="7"/>
  <c r="CM12" i="7"/>
  <c r="BU12" i="7"/>
  <c r="BV12" i="7"/>
  <c r="CR12" i="7"/>
  <c r="CB12" i="7"/>
  <c r="CK12" i="7"/>
  <c r="BW12" i="7"/>
  <c r="CH12" i="7"/>
  <c r="CX12" i="7"/>
  <c r="CA12" i="7"/>
  <c r="CF12" i="7"/>
  <c r="CC12" i="7"/>
  <c r="CV12" i="7"/>
  <c r="CI12" i="7"/>
  <c r="CO12" i="7"/>
  <c r="CE12" i="7"/>
  <c r="BZ12" i="7"/>
  <c r="CL12" i="7"/>
  <c r="CY12" i="7"/>
  <c r="CJ12" i="7"/>
  <c r="BY12" i="7"/>
  <c r="CS12" i="7"/>
  <c r="CQ12" i="7"/>
  <c r="CP12" i="7"/>
  <c r="BR11" i="7"/>
  <c r="A62" i="11" l="1"/>
  <c r="CZ13" i="7"/>
  <c r="BZ13" i="7"/>
  <c r="BX13" i="7"/>
  <c r="CI13" i="7"/>
  <c r="CY13" i="7"/>
  <c r="CL13" i="7"/>
  <c r="CJ13" i="7"/>
  <c r="CH13" i="7"/>
  <c r="CK13" i="7"/>
  <c r="CC13" i="7"/>
  <c r="CP13" i="7"/>
  <c r="CB13" i="7"/>
  <c r="CM13" i="7"/>
  <c r="BW13" i="7"/>
  <c r="CT13" i="7"/>
  <c r="BT13" i="7"/>
  <c r="CN13" i="7"/>
  <c r="CX13" i="7"/>
  <c r="CO13" i="7"/>
  <c r="CG13" i="7"/>
  <c r="CE13" i="7"/>
  <c r="CQ13" i="7"/>
  <c r="CA13" i="7"/>
  <c r="BV13" i="7"/>
  <c r="CR13" i="7"/>
  <c r="BY13" i="7"/>
  <c r="CS13" i="7"/>
  <c r="BU13" i="7"/>
  <c r="CF13" i="7"/>
  <c r="CU13" i="7"/>
  <c r="CD13" i="7"/>
  <c r="CV13" i="7"/>
  <c r="CW13" i="7"/>
  <c r="A18" i="11"/>
  <c r="BQ13" i="7"/>
  <c r="BP13" i="7"/>
  <c r="AR13" i="7"/>
  <c r="AZ13" i="7"/>
  <c r="AT13" i="7"/>
  <c r="BM13" i="7"/>
  <c r="BK13" i="7"/>
  <c r="AX13" i="7"/>
  <c r="BN13" i="7"/>
  <c r="AW13" i="7"/>
  <c r="AM13" i="7"/>
  <c r="BI13" i="7"/>
  <c r="AY13" i="7"/>
  <c r="AQ13" i="7"/>
  <c r="AO13" i="7"/>
  <c r="BC13" i="7"/>
  <c r="AL13" i="7"/>
  <c r="BH13" i="7"/>
  <c r="BA13" i="7"/>
  <c r="BB13" i="7"/>
  <c r="AU13" i="7"/>
  <c r="AV13" i="7"/>
  <c r="BO13" i="7"/>
  <c r="AS13" i="7"/>
  <c r="BL13" i="7"/>
  <c r="AK13" i="7"/>
  <c r="BE13" i="7"/>
  <c r="BF13" i="7"/>
  <c r="BG13" i="7"/>
  <c r="BD13" i="7"/>
  <c r="AN13" i="7"/>
  <c r="AP13" i="7"/>
  <c r="BJ13" i="7"/>
  <c r="AI12" i="7"/>
  <c r="A23" i="10"/>
  <c r="AH13" i="7"/>
  <c r="AG13" i="7"/>
  <c r="AC13" i="7"/>
  <c r="Y13" i="7"/>
  <c r="U13" i="7"/>
  <c r="Q13" i="7"/>
  <c r="M13" i="7"/>
  <c r="I13" i="7"/>
  <c r="E13" i="7"/>
  <c r="R13" i="7"/>
  <c r="AF13" i="7"/>
  <c r="AB13" i="7"/>
  <c r="X13" i="7"/>
  <c r="T13" i="7"/>
  <c r="P13" i="7"/>
  <c r="L13" i="7"/>
  <c r="H13" i="7"/>
  <c r="D13" i="7"/>
  <c r="Z13" i="7"/>
  <c r="V13" i="7"/>
  <c r="J13" i="7"/>
  <c r="F13" i="7"/>
  <c r="AE13" i="7"/>
  <c r="AA13" i="7"/>
  <c r="W13" i="7"/>
  <c r="S13" i="7"/>
  <c r="O13" i="7"/>
  <c r="K13" i="7"/>
  <c r="G13" i="7"/>
  <c r="C13" i="7"/>
  <c r="AD13" i="7"/>
  <c r="N13" i="7"/>
  <c r="B13" i="7"/>
  <c r="DA12" i="7"/>
  <c r="BR12" i="7"/>
  <c r="A24" i="10" l="1"/>
  <c r="AH14" i="7"/>
  <c r="AG14" i="7"/>
  <c r="AC14" i="7"/>
  <c r="Y14" i="7"/>
  <c r="U14" i="7"/>
  <c r="Q14" i="7"/>
  <c r="M14" i="7"/>
  <c r="I14" i="7"/>
  <c r="E14" i="7"/>
  <c r="AF14" i="7"/>
  <c r="AB14" i="7"/>
  <c r="X14" i="7"/>
  <c r="T14" i="7"/>
  <c r="P14" i="7"/>
  <c r="L14" i="7"/>
  <c r="H14" i="7"/>
  <c r="D14" i="7"/>
  <c r="AD14" i="7"/>
  <c r="V14" i="7"/>
  <c r="R14" i="7"/>
  <c r="J14" i="7"/>
  <c r="F14" i="7"/>
  <c r="B14" i="7"/>
  <c r="AE14" i="7"/>
  <c r="AA14" i="7"/>
  <c r="W14" i="7"/>
  <c r="S14" i="7"/>
  <c r="O14" i="7"/>
  <c r="K14" i="7"/>
  <c r="G14" i="7"/>
  <c r="C14" i="7"/>
  <c r="Z14" i="7"/>
  <c r="N14" i="7"/>
  <c r="AI13" i="7"/>
  <c r="DA13" i="7"/>
  <c r="A63" i="11"/>
  <c r="CZ14" i="7"/>
  <c r="CD14" i="7"/>
  <c r="CT14" i="7"/>
  <c r="CS14" i="7"/>
  <c r="BU14" i="7"/>
  <c r="CF14" i="7"/>
  <c r="CU14" i="7"/>
  <c r="BT14" i="7"/>
  <c r="CN14" i="7"/>
  <c r="CQ14" i="7"/>
  <c r="CJ14" i="7"/>
  <c r="BW14" i="7"/>
  <c r="CH14" i="7"/>
  <c r="CX14" i="7"/>
  <c r="BX14" i="7"/>
  <c r="CI14" i="7"/>
  <c r="CY14" i="7"/>
  <c r="BV14" i="7"/>
  <c r="CR14" i="7"/>
  <c r="CE14" i="7"/>
  <c r="CG14" i="7"/>
  <c r="BZ14" i="7"/>
  <c r="CL14" i="7"/>
  <c r="BY14" i="7"/>
  <c r="CB14" i="7"/>
  <c r="CM14" i="7"/>
  <c r="CO14" i="7"/>
  <c r="CC14" i="7"/>
  <c r="CV14" i="7"/>
  <c r="CW14" i="7"/>
  <c r="CA14" i="7"/>
  <c r="CP14" i="7"/>
  <c r="CK14" i="7"/>
  <c r="BR13" i="7"/>
  <c r="A19" i="11"/>
  <c r="BQ14" i="7"/>
  <c r="AP14" i="7"/>
  <c r="BO14" i="7"/>
  <c r="BJ14" i="7"/>
  <c r="AR14" i="7"/>
  <c r="AV14" i="7"/>
  <c r="BH14" i="7"/>
  <c r="BA14" i="7"/>
  <c r="AN14" i="7"/>
  <c r="BK14" i="7"/>
  <c r="AT14" i="7"/>
  <c r="BF14" i="7"/>
  <c r="AQ14" i="7"/>
  <c r="AY14" i="7"/>
  <c r="AL14" i="7"/>
  <c r="AW14" i="7"/>
  <c r="BL14" i="7"/>
  <c r="AX14" i="7"/>
  <c r="AK14" i="7"/>
  <c r="BE14" i="7"/>
  <c r="BD14" i="7"/>
  <c r="BM14" i="7"/>
  <c r="AU14" i="7"/>
  <c r="BG14" i="7"/>
  <c r="AO14" i="7"/>
  <c r="AZ14" i="7"/>
  <c r="BP14" i="7"/>
  <c r="BN14" i="7"/>
  <c r="AM14" i="7"/>
  <c r="BI14" i="7"/>
  <c r="BC14" i="7"/>
  <c r="BB14" i="7"/>
  <c r="AS14" i="7"/>
  <c r="AI14" i="7" l="1"/>
  <c r="A25" i="10"/>
  <c r="AH15" i="7"/>
  <c r="AG15" i="7"/>
  <c r="AC15" i="7"/>
  <c r="Y15" i="7"/>
  <c r="U15" i="7"/>
  <c r="Q15" i="7"/>
  <c r="M15" i="7"/>
  <c r="I15" i="7"/>
  <c r="E15" i="7"/>
  <c r="AF15" i="7"/>
  <c r="AB15" i="7"/>
  <c r="X15" i="7"/>
  <c r="T15" i="7"/>
  <c r="P15" i="7"/>
  <c r="L15" i="7"/>
  <c r="H15" i="7"/>
  <c r="D15" i="7"/>
  <c r="AD15" i="7"/>
  <c r="V15" i="7"/>
  <c r="R15" i="7"/>
  <c r="J15" i="7"/>
  <c r="F15" i="7"/>
  <c r="B15" i="7"/>
  <c r="AE15" i="7"/>
  <c r="AA15" i="7"/>
  <c r="W15" i="7"/>
  <c r="S15" i="7"/>
  <c r="O15" i="7"/>
  <c r="K15" i="7"/>
  <c r="G15" i="7"/>
  <c r="C15" i="7"/>
  <c r="Z15" i="7"/>
  <c r="N15" i="7"/>
  <c r="BR14" i="7"/>
  <c r="A20" i="11"/>
  <c r="BQ15" i="7"/>
  <c r="BE15" i="7"/>
  <c r="BB15" i="7"/>
  <c r="AQ15" i="7"/>
  <c r="BC15" i="7"/>
  <c r="AL15" i="7"/>
  <c r="AW15" i="7"/>
  <c r="BL15" i="7"/>
  <c r="BO15" i="7"/>
  <c r="BH15" i="7"/>
  <c r="AP15" i="7"/>
  <c r="AM15" i="7"/>
  <c r="BF15" i="7"/>
  <c r="AR15" i="7"/>
  <c r="BG15" i="7"/>
  <c r="AO15" i="7"/>
  <c r="AZ15" i="7"/>
  <c r="BP15" i="7"/>
  <c r="AK15" i="7"/>
  <c r="AX15" i="7"/>
  <c r="BA15" i="7"/>
  <c r="BN15" i="7"/>
  <c r="AU15" i="7"/>
  <c r="BK15" i="7"/>
  <c r="AS15" i="7"/>
  <c r="BD15" i="7"/>
  <c r="AT15" i="7"/>
  <c r="BJ15" i="7"/>
  <c r="BM15" i="7"/>
  <c r="AN15" i="7"/>
  <c r="AY15" i="7"/>
  <c r="BI15" i="7"/>
  <c r="AV15" i="7"/>
  <c r="DA14" i="7"/>
  <c r="A64" i="11"/>
  <c r="CZ15" i="7"/>
  <c r="CC15" i="7"/>
  <c r="CK15" i="7"/>
  <c r="CA15" i="7"/>
  <c r="CP15" i="7"/>
  <c r="CR15" i="7"/>
  <c r="BX15" i="7"/>
  <c r="CI15" i="7"/>
  <c r="CY15" i="7"/>
  <c r="CN15" i="7"/>
  <c r="CO15" i="7"/>
  <c r="BT15" i="7"/>
  <c r="CD15" i="7"/>
  <c r="CT15" i="7"/>
  <c r="CB15" i="7"/>
  <c r="CM15" i="7"/>
  <c r="CV15" i="7"/>
  <c r="CL15" i="7"/>
  <c r="CF15" i="7"/>
  <c r="BY15" i="7"/>
  <c r="CS15" i="7"/>
  <c r="CJ15" i="7"/>
  <c r="BW15" i="7"/>
  <c r="CH15" i="7"/>
  <c r="CX15" i="7"/>
  <c r="CE15" i="7"/>
  <c r="CQ15" i="7"/>
  <c r="CG15" i="7"/>
  <c r="CW15" i="7"/>
  <c r="BZ15" i="7"/>
  <c r="BV15" i="7"/>
  <c r="BU15" i="7"/>
  <c r="CU15" i="7"/>
  <c r="AI15" i="7" l="1"/>
  <c r="A26" i="10"/>
  <c r="AH16" i="7"/>
  <c r="AG16" i="7"/>
  <c r="AC16" i="7"/>
  <c r="Y16" i="7"/>
  <c r="U16" i="7"/>
  <c r="Q16" i="7"/>
  <c r="M16" i="7"/>
  <c r="I16" i="7"/>
  <c r="E16" i="7"/>
  <c r="V16" i="7"/>
  <c r="AF16" i="7"/>
  <c r="AB16" i="7"/>
  <c r="X16" i="7"/>
  <c r="T16" i="7"/>
  <c r="P16" i="7"/>
  <c r="L16" i="7"/>
  <c r="H16" i="7"/>
  <c r="D16" i="7"/>
  <c r="AD16" i="7"/>
  <c r="R16" i="7"/>
  <c r="N16" i="7"/>
  <c r="F16" i="7"/>
  <c r="B16" i="7"/>
  <c r="AE16" i="7"/>
  <c r="AA16" i="7"/>
  <c r="W16" i="7"/>
  <c r="S16" i="7"/>
  <c r="O16" i="7"/>
  <c r="K16" i="7"/>
  <c r="G16" i="7"/>
  <c r="C16" i="7"/>
  <c r="Z16" i="7"/>
  <c r="J16" i="7"/>
  <c r="BR15" i="7"/>
  <c r="A21" i="11"/>
  <c r="BQ16" i="7"/>
  <c r="AK16" i="7"/>
  <c r="AL16" i="7"/>
  <c r="AT16" i="7"/>
  <c r="AP16" i="7"/>
  <c r="BJ16" i="7"/>
  <c r="AO16" i="7"/>
  <c r="AR16" i="7"/>
  <c r="BG16" i="7"/>
  <c r="AM16" i="7"/>
  <c r="AS16" i="7"/>
  <c r="BA16" i="7"/>
  <c r="AV16" i="7"/>
  <c r="BE16" i="7"/>
  <c r="AX16" i="7"/>
  <c r="BN16" i="7"/>
  <c r="AZ16" i="7"/>
  <c r="AU16" i="7"/>
  <c r="BK16" i="7"/>
  <c r="BF16" i="7"/>
  <c r="AW16" i="7"/>
  <c r="BM16" i="7"/>
  <c r="BD16" i="7"/>
  <c r="BI16" i="7"/>
  <c r="BB16" i="7"/>
  <c r="BP16" i="7"/>
  <c r="AN16" i="7"/>
  <c r="AY16" i="7"/>
  <c r="BO16" i="7"/>
  <c r="BH16" i="7"/>
  <c r="BL16" i="7"/>
  <c r="AQ16" i="7"/>
  <c r="BC16" i="7"/>
  <c r="DA15" i="7"/>
  <c r="A65" i="11"/>
  <c r="CZ16" i="7"/>
  <c r="CU16" i="7"/>
  <c r="BT16" i="7"/>
  <c r="CN16" i="7"/>
  <c r="BX16" i="7"/>
  <c r="CY16" i="7"/>
  <c r="CG16" i="7"/>
  <c r="CW16" i="7"/>
  <c r="CD16" i="7"/>
  <c r="CT16" i="7"/>
  <c r="CM16" i="7"/>
  <c r="CA16" i="7"/>
  <c r="BV16" i="7"/>
  <c r="CR16" i="7"/>
  <c r="CB16" i="7"/>
  <c r="CK16" i="7"/>
  <c r="CE16" i="7"/>
  <c r="BW16" i="7"/>
  <c r="CH16" i="7"/>
  <c r="CX16" i="7"/>
  <c r="BU16" i="7"/>
  <c r="CC16" i="7"/>
  <c r="CV16" i="7"/>
  <c r="CI16" i="7"/>
  <c r="CO16" i="7"/>
  <c r="CQ16" i="7"/>
  <c r="BZ16" i="7"/>
  <c r="CL16" i="7"/>
  <c r="CF16" i="7"/>
  <c r="CJ16" i="7"/>
  <c r="BY16" i="7"/>
  <c r="CS16" i="7"/>
  <c r="CP16" i="7"/>
  <c r="A66" i="11" l="1"/>
  <c r="CZ17" i="7"/>
  <c r="BX17" i="7"/>
  <c r="CI17" i="7"/>
  <c r="CY17" i="7"/>
  <c r="CL17" i="7"/>
  <c r="CJ17" i="7"/>
  <c r="CP17" i="7"/>
  <c r="CK17" i="7"/>
  <c r="CC17" i="7"/>
  <c r="CW17" i="7"/>
  <c r="BZ17" i="7"/>
  <c r="CB17" i="7"/>
  <c r="CM17" i="7"/>
  <c r="BW17" i="7"/>
  <c r="CX17" i="7"/>
  <c r="BT17" i="7"/>
  <c r="CN17" i="7"/>
  <c r="CO17" i="7"/>
  <c r="CV17" i="7"/>
  <c r="CG17" i="7"/>
  <c r="CT17" i="7"/>
  <c r="CE17" i="7"/>
  <c r="CQ17" i="7"/>
  <c r="CA17" i="7"/>
  <c r="BV17" i="7"/>
  <c r="CR17" i="7"/>
  <c r="BY17" i="7"/>
  <c r="CS17" i="7"/>
  <c r="BU17" i="7"/>
  <c r="CF17" i="7"/>
  <c r="CU17" i="7"/>
  <c r="CH17" i="7"/>
  <c r="CD17" i="7"/>
  <c r="BR16" i="7"/>
  <c r="A22" i="11"/>
  <c r="BQ17" i="7"/>
  <c r="AY17" i="7"/>
  <c r="AS17" i="7"/>
  <c r="AN17" i="7"/>
  <c r="BK17" i="7"/>
  <c r="AV17" i="7"/>
  <c r="BP17" i="7"/>
  <c r="AT17" i="7"/>
  <c r="BM17" i="7"/>
  <c r="BG17" i="7"/>
  <c r="AX17" i="7"/>
  <c r="BN17" i="7"/>
  <c r="BC17" i="7"/>
  <c r="AL17" i="7"/>
  <c r="BH17" i="7"/>
  <c r="AQ17" i="7"/>
  <c r="BO17" i="7"/>
  <c r="AZ17" i="7"/>
  <c r="AR17" i="7"/>
  <c r="AW17" i="7"/>
  <c r="BA17" i="7"/>
  <c r="BB17" i="7"/>
  <c r="AP17" i="7"/>
  <c r="BL17" i="7"/>
  <c r="AU17" i="7"/>
  <c r="BD17" i="7"/>
  <c r="AK17" i="7"/>
  <c r="BE17" i="7"/>
  <c r="BF17" i="7"/>
  <c r="AO17" i="7"/>
  <c r="AM17" i="7"/>
  <c r="BI17" i="7"/>
  <c r="BJ17" i="7"/>
  <c r="DA16" i="7"/>
  <c r="AI16" i="7"/>
  <c r="A27" i="10"/>
  <c r="AH17" i="7"/>
  <c r="AG17" i="7"/>
  <c r="AC17" i="7"/>
  <c r="Y17" i="7"/>
  <c r="U17" i="7"/>
  <c r="Q17" i="7"/>
  <c r="M17" i="7"/>
  <c r="I17" i="7"/>
  <c r="E17" i="7"/>
  <c r="AF17" i="7"/>
  <c r="AB17" i="7"/>
  <c r="X17" i="7"/>
  <c r="T17" i="7"/>
  <c r="P17" i="7"/>
  <c r="L17" i="7"/>
  <c r="H17" i="7"/>
  <c r="D17" i="7"/>
  <c r="AD17" i="7"/>
  <c r="V17" i="7"/>
  <c r="R17" i="7"/>
  <c r="J17" i="7"/>
  <c r="F17" i="7"/>
  <c r="AE17" i="7"/>
  <c r="AA17" i="7"/>
  <c r="W17" i="7"/>
  <c r="S17" i="7"/>
  <c r="O17" i="7"/>
  <c r="K17" i="7"/>
  <c r="G17" i="7"/>
  <c r="C17" i="7"/>
  <c r="Z17" i="7"/>
  <c r="N17" i="7"/>
  <c r="B17" i="7"/>
  <c r="A28" i="10" l="1"/>
  <c r="AH18" i="7"/>
  <c r="AG18" i="7"/>
  <c r="AC18" i="7"/>
  <c r="Y18" i="7"/>
  <c r="U18" i="7"/>
  <c r="Q18" i="7"/>
  <c r="M18" i="7"/>
  <c r="I18" i="7"/>
  <c r="E18" i="7"/>
  <c r="AF18" i="7"/>
  <c r="AB18" i="7"/>
  <c r="X18" i="7"/>
  <c r="T18" i="7"/>
  <c r="P18" i="7"/>
  <c r="L18" i="7"/>
  <c r="H18" i="7"/>
  <c r="D18" i="7"/>
  <c r="AD18" i="7"/>
  <c r="V18" i="7"/>
  <c r="R18" i="7"/>
  <c r="J18" i="7"/>
  <c r="F18" i="7"/>
  <c r="AE18" i="7"/>
  <c r="AA18" i="7"/>
  <c r="W18" i="7"/>
  <c r="S18" i="7"/>
  <c r="O18" i="7"/>
  <c r="K18" i="7"/>
  <c r="G18" i="7"/>
  <c r="C18" i="7"/>
  <c r="Z18" i="7"/>
  <c r="N18" i="7"/>
  <c r="B18" i="7"/>
  <c r="A23" i="11"/>
  <c r="BQ18" i="7"/>
  <c r="AY18" i="7"/>
  <c r="BC18" i="7"/>
  <c r="AV18" i="7"/>
  <c r="BH18" i="7"/>
  <c r="BA18" i="7"/>
  <c r="AU18" i="7"/>
  <c r="AT18" i="7"/>
  <c r="BK18" i="7"/>
  <c r="BB18" i="7"/>
  <c r="AN18" i="7"/>
  <c r="BG18" i="7"/>
  <c r="AL18" i="7"/>
  <c r="AW18" i="7"/>
  <c r="BL18" i="7"/>
  <c r="AP18" i="7"/>
  <c r="AK18" i="7"/>
  <c r="BE18" i="7"/>
  <c r="BD18" i="7"/>
  <c r="BM18" i="7"/>
  <c r="AX18" i="7"/>
  <c r="BJ18" i="7"/>
  <c r="AR18" i="7"/>
  <c r="BO18" i="7"/>
  <c r="AO18" i="7"/>
  <c r="AZ18" i="7"/>
  <c r="BP18" i="7"/>
  <c r="BF18" i="7"/>
  <c r="AM18" i="7"/>
  <c r="BI18" i="7"/>
  <c r="BN18" i="7"/>
  <c r="AQ18" i="7"/>
  <c r="AS18" i="7"/>
  <c r="BR17" i="7"/>
  <c r="DA17" i="7"/>
  <c r="A67" i="11"/>
  <c r="CZ18" i="7"/>
  <c r="CW18" i="7"/>
  <c r="CD18" i="7"/>
  <c r="CT18" i="7"/>
  <c r="CS18" i="7"/>
  <c r="BU18" i="7"/>
  <c r="CF18" i="7"/>
  <c r="CU18" i="7"/>
  <c r="BT18" i="7"/>
  <c r="CN18" i="7"/>
  <c r="CQ18" i="7"/>
  <c r="BW18" i="7"/>
  <c r="CH18" i="7"/>
  <c r="CX18" i="7"/>
  <c r="BX18" i="7"/>
  <c r="CI18" i="7"/>
  <c r="CY18" i="7"/>
  <c r="CO18" i="7"/>
  <c r="BV18" i="7"/>
  <c r="CR18" i="7"/>
  <c r="BZ18" i="7"/>
  <c r="CL18" i="7"/>
  <c r="BY18" i="7"/>
  <c r="CB18" i="7"/>
  <c r="CM18" i="7"/>
  <c r="CC18" i="7"/>
  <c r="CV18" i="7"/>
  <c r="CG18" i="7"/>
  <c r="CA18" i="7"/>
  <c r="CP18" i="7"/>
  <c r="CK18" i="7"/>
  <c r="CE18" i="7"/>
  <c r="CJ18" i="7"/>
  <c r="AI17" i="7"/>
  <c r="BR18" i="7" l="1"/>
  <c r="A24" i="11"/>
  <c r="BQ19" i="7"/>
  <c r="AT19" i="7"/>
  <c r="BA19" i="7"/>
  <c r="BB19" i="7"/>
  <c r="AQ19" i="7"/>
  <c r="BC19" i="7"/>
  <c r="BI19" i="7"/>
  <c r="AL19" i="7"/>
  <c r="AW19" i="7"/>
  <c r="BL19" i="7"/>
  <c r="AP19" i="7"/>
  <c r="AN19" i="7"/>
  <c r="BO19" i="7"/>
  <c r="BH19" i="7"/>
  <c r="BE19" i="7"/>
  <c r="BM19" i="7"/>
  <c r="BF19" i="7"/>
  <c r="AR19" i="7"/>
  <c r="BG19" i="7"/>
  <c r="AO19" i="7"/>
  <c r="AZ19" i="7"/>
  <c r="BP19" i="7"/>
  <c r="AX19" i="7"/>
  <c r="BN19" i="7"/>
  <c r="AU19" i="7"/>
  <c r="BK19" i="7"/>
  <c r="AS19" i="7"/>
  <c r="BD19" i="7"/>
  <c r="BJ19" i="7"/>
  <c r="AK19" i="7"/>
  <c r="AY19" i="7"/>
  <c r="AM19" i="7"/>
  <c r="AV19" i="7"/>
  <c r="AI18" i="7"/>
  <c r="A29" i="10"/>
  <c r="AH19" i="7"/>
  <c r="AG19" i="7"/>
  <c r="AC19" i="7"/>
  <c r="Y19" i="7"/>
  <c r="U19" i="7"/>
  <c r="Q19" i="7"/>
  <c r="M19" i="7"/>
  <c r="I19" i="7"/>
  <c r="E19" i="7"/>
  <c r="AF19" i="7"/>
  <c r="AB19" i="7"/>
  <c r="X19" i="7"/>
  <c r="T19" i="7"/>
  <c r="P19" i="7"/>
  <c r="L19" i="7"/>
  <c r="H19" i="7"/>
  <c r="D19" i="7"/>
  <c r="AD19" i="7"/>
  <c r="V19" i="7"/>
  <c r="R19" i="7"/>
  <c r="J19" i="7"/>
  <c r="F19" i="7"/>
  <c r="AE19" i="7"/>
  <c r="AA19" i="7"/>
  <c r="W19" i="7"/>
  <c r="S19" i="7"/>
  <c r="O19" i="7"/>
  <c r="K19" i="7"/>
  <c r="G19" i="7"/>
  <c r="C19" i="7"/>
  <c r="Z19" i="7"/>
  <c r="N19" i="7"/>
  <c r="B19" i="7"/>
  <c r="DA18" i="7"/>
  <c r="A68" i="11"/>
  <c r="CZ19" i="7"/>
  <c r="CK19" i="7"/>
  <c r="CA19" i="7"/>
  <c r="CP19" i="7"/>
  <c r="BX19" i="7"/>
  <c r="CI19" i="7"/>
  <c r="CY19" i="7"/>
  <c r="CV19" i="7"/>
  <c r="CR19" i="7"/>
  <c r="CU19" i="7"/>
  <c r="CC19" i="7"/>
  <c r="CO19" i="7"/>
  <c r="BT19" i="7"/>
  <c r="CD19" i="7"/>
  <c r="CT19" i="7"/>
  <c r="CB19" i="7"/>
  <c r="CM19" i="7"/>
  <c r="BU19" i="7"/>
  <c r="CN19" i="7"/>
  <c r="BY19" i="7"/>
  <c r="CS19" i="7"/>
  <c r="CJ19" i="7"/>
  <c r="BW19" i="7"/>
  <c r="CH19" i="7"/>
  <c r="CX19" i="7"/>
  <c r="BV19" i="7"/>
  <c r="CE19" i="7"/>
  <c r="CQ19" i="7"/>
  <c r="CG19" i="7"/>
  <c r="CW19" i="7"/>
  <c r="BZ19" i="7"/>
  <c r="CL19" i="7"/>
  <c r="CF19" i="7"/>
  <c r="DA19" i="7" l="1"/>
  <c r="A69" i="11"/>
  <c r="CZ20" i="7"/>
  <c r="CI20" i="7"/>
  <c r="BT20" i="7"/>
  <c r="CN20" i="7"/>
  <c r="BX20" i="7"/>
  <c r="CY20" i="7"/>
  <c r="CG20" i="7"/>
  <c r="CW20" i="7"/>
  <c r="CE20" i="7"/>
  <c r="CD20" i="7"/>
  <c r="CT20" i="7"/>
  <c r="CS20" i="7"/>
  <c r="CU20" i="7"/>
  <c r="BV20" i="7"/>
  <c r="CR20" i="7"/>
  <c r="CB20" i="7"/>
  <c r="CK20" i="7"/>
  <c r="CQ20" i="7"/>
  <c r="BW20" i="7"/>
  <c r="CH20" i="7"/>
  <c r="CX20" i="7"/>
  <c r="CM20" i="7"/>
  <c r="BY20" i="7"/>
  <c r="CA20" i="7"/>
  <c r="CC20" i="7"/>
  <c r="CV20" i="7"/>
  <c r="CF20" i="7"/>
  <c r="CO20" i="7"/>
  <c r="BZ20" i="7"/>
  <c r="CL20" i="7"/>
  <c r="BU20" i="7"/>
  <c r="CJ20" i="7"/>
  <c r="CP20" i="7"/>
  <c r="A30" i="10"/>
  <c r="AH20" i="7"/>
  <c r="AG20" i="7"/>
  <c r="AC20" i="7"/>
  <c r="Y20" i="7"/>
  <c r="U20" i="7"/>
  <c r="Q20" i="7"/>
  <c r="M20" i="7"/>
  <c r="I20" i="7"/>
  <c r="E20" i="7"/>
  <c r="AF20" i="7"/>
  <c r="AB20" i="7"/>
  <c r="X20" i="7"/>
  <c r="T20" i="7"/>
  <c r="P20" i="7"/>
  <c r="L20" i="7"/>
  <c r="H20" i="7"/>
  <c r="D20" i="7"/>
  <c r="Z20" i="7"/>
  <c r="V20" i="7"/>
  <c r="N20" i="7"/>
  <c r="J20" i="7"/>
  <c r="B20" i="7"/>
  <c r="AE20" i="7"/>
  <c r="AA20" i="7"/>
  <c r="W20" i="7"/>
  <c r="S20" i="7"/>
  <c r="O20" i="7"/>
  <c r="K20" i="7"/>
  <c r="G20" i="7"/>
  <c r="C20" i="7"/>
  <c r="AD20" i="7"/>
  <c r="R20" i="7"/>
  <c r="F20" i="7"/>
  <c r="AI19" i="7"/>
  <c r="A25" i="11"/>
  <c r="BQ20" i="7"/>
  <c r="BP20" i="7"/>
  <c r="AK20" i="7"/>
  <c r="BD20" i="7"/>
  <c r="AT20" i="7"/>
  <c r="AP20" i="7"/>
  <c r="BJ20" i="7"/>
  <c r="AR20" i="7"/>
  <c r="BG20" i="7"/>
  <c r="AM20" i="7"/>
  <c r="BM20" i="7"/>
  <c r="BI20" i="7"/>
  <c r="BL20" i="7"/>
  <c r="BA20" i="7"/>
  <c r="AX20" i="7"/>
  <c r="BN20" i="7"/>
  <c r="AL20" i="7"/>
  <c r="AU20" i="7"/>
  <c r="BK20" i="7"/>
  <c r="AS20" i="7"/>
  <c r="AO20" i="7"/>
  <c r="BE20" i="7"/>
  <c r="BB20" i="7"/>
  <c r="AW20" i="7"/>
  <c r="AN20" i="7"/>
  <c r="AY20" i="7"/>
  <c r="BO20" i="7"/>
  <c r="AZ20" i="7"/>
  <c r="AV20" i="7"/>
  <c r="BF20" i="7"/>
  <c r="BH20" i="7"/>
  <c r="AQ20" i="7"/>
  <c r="BC20" i="7"/>
  <c r="BR19" i="7"/>
  <c r="A26" i="11" l="1"/>
  <c r="BQ21" i="7"/>
  <c r="AZ21" i="7"/>
  <c r="AY21" i="7"/>
  <c r="AO21" i="7"/>
  <c r="BH21" i="7"/>
  <c r="AT21" i="7"/>
  <c r="BM21" i="7"/>
  <c r="AR21" i="7"/>
  <c r="AX21" i="7"/>
  <c r="BN21" i="7"/>
  <c r="BD21" i="7"/>
  <c r="AU21" i="7"/>
  <c r="BL21" i="7"/>
  <c r="BC21" i="7"/>
  <c r="AS21" i="7"/>
  <c r="BP21" i="7"/>
  <c r="BA21" i="7"/>
  <c r="BG21" i="7"/>
  <c r="BB21" i="7"/>
  <c r="AM21" i="7"/>
  <c r="AP21" i="7"/>
  <c r="BK21" i="7"/>
  <c r="AL21" i="7"/>
  <c r="AN21" i="7"/>
  <c r="BO21" i="7"/>
  <c r="AW21" i="7"/>
  <c r="AK21" i="7"/>
  <c r="BE21" i="7"/>
  <c r="BF21" i="7"/>
  <c r="AV21" i="7"/>
  <c r="AQ21" i="7"/>
  <c r="BI21" i="7"/>
  <c r="BJ21" i="7"/>
  <c r="DA20" i="7"/>
  <c r="BR20" i="7"/>
  <c r="A31" i="10"/>
  <c r="AH21" i="7"/>
  <c r="AG21" i="7"/>
  <c r="AC21" i="7"/>
  <c r="Y21" i="7"/>
  <c r="U21" i="7"/>
  <c r="Q21" i="7"/>
  <c r="M21" i="7"/>
  <c r="I21" i="7"/>
  <c r="E21" i="7"/>
  <c r="AF21" i="7"/>
  <c r="AB21" i="7"/>
  <c r="X21" i="7"/>
  <c r="T21" i="7"/>
  <c r="P21" i="7"/>
  <c r="L21" i="7"/>
  <c r="H21" i="7"/>
  <c r="D21" i="7"/>
  <c r="AD21" i="7"/>
  <c r="V21" i="7"/>
  <c r="R21" i="7"/>
  <c r="J21" i="7"/>
  <c r="F21" i="7"/>
  <c r="B21" i="7"/>
  <c r="AE21" i="7"/>
  <c r="AA21" i="7"/>
  <c r="W21" i="7"/>
  <c r="S21" i="7"/>
  <c r="O21" i="7"/>
  <c r="K21" i="7"/>
  <c r="G21" i="7"/>
  <c r="C21" i="7"/>
  <c r="Z21" i="7"/>
  <c r="N21" i="7"/>
  <c r="AI20" i="7"/>
  <c r="A70" i="11"/>
  <c r="CZ21" i="7"/>
  <c r="BX21" i="7"/>
  <c r="CI21" i="7"/>
  <c r="CY21" i="7"/>
  <c r="CL21" i="7"/>
  <c r="CJ21" i="7"/>
  <c r="CK21" i="7"/>
  <c r="CB21" i="7"/>
  <c r="CM21" i="7"/>
  <c r="BW21" i="7"/>
  <c r="CX21" i="7"/>
  <c r="BT21" i="7"/>
  <c r="CN21" i="7"/>
  <c r="CO21" i="7"/>
  <c r="CV21" i="7"/>
  <c r="CG21" i="7"/>
  <c r="BZ21" i="7"/>
  <c r="CE21" i="7"/>
  <c r="CQ21" i="7"/>
  <c r="CA21" i="7"/>
  <c r="BV21" i="7"/>
  <c r="CR21" i="7"/>
  <c r="CD21" i="7"/>
  <c r="BY21" i="7"/>
  <c r="CS21" i="7"/>
  <c r="CP21" i="7"/>
  <c r="BU21" i="7"/>
  <c r="CF21" i="7"/>
  <c r="CU21" i="7"/>
  <c r="CH21" i="7"/>
  <c r="CC21" i="7"/>
  <c r="CT21" i="7"/>
  <c r="CW21" i="7"/>
  <c r="AI21" i="7" l="1"/>
  <c r="A32" i="10"/>
  <c r="AH22" i="7"/>
  <c r="AG22" i="7"/>
  <c r="AC22" i="7"/>
  <c r="Y22" i="7"/>
  <c r="U22" i="7"/>
  <c r="Q22" i="7"/>
  <c r="M22" i="7"/>
  <c r="I22" i="7"/>
  <c r="E22" i="7"/>
  <c r="AF22" i="7"/>
  <c r="AB22" i="7"/>
  <c r="X22" i="7"/>
  <c r="T22" i="7"/>
  <c r="P22" i="7"/>
  <c r="L22" i="7"/>
  <c r="H22" i="7"/>
  <c r="D22" i="7"/>
  <c r="AD22" i="7"/>
  <c r="V22" i="7"/>
  <c r="R22" i="7"/>
  <c r="J22" i="7"/>
  <c r="F22" i="7"/>
  <c r="AE22" i="7"/>
  <c r="AA22" i="7"/>
  <c r="W22" i="7"/>
  <c r="S22" i="7"/>
  <c r="O22" i="7"/>
  <c r="K22" i="7"/>
  <c r="G22" i="7"/>
  <c r="C22" i="7"/>
  <c r="Z22" i="7"/>
  <c r="N22" i="7"/>
  <c r="B22" i="7"/>
  <c r="BR21" i="7"/>
  <c r="A27" i="11"/>
  <c r="BQ22" i="7"/>
  <c r="AX22" i="7"/>
  <c r="BO22" i="7"/>
  <c r="BJ22" i="7"/>
  <c r="AR22" i="7"/>
  <c r="AV22" i="7"/>
  <c r="BH22" i="7"/>
  <c r="BA22" i="7"/>
  <c r="AQ22" i="7"/>
  <c r="BD22" i="7"/>
  <c r="AT22" i="7"/>
  <c r="BN22" i="7"/>
  <c r="AY22" i="7"/>
  <c r="AL22" i="7"/>
  <c r="AW22" i="7"/>
  <c r="BL22" i="7"/>
  <c r="AK22" i="7"/>
  <c r="BE22" i="7"/>
  <c r="AS22" i="7"/>
  <c r="BM22" i="7"/>
  <c r="AU22" i="7"/>
  <c r="AN22" i="7"/>
  <c r="BG22" i="7"/>
  <c r="AO22" i="7"/>
  <c r="AZ22" i="7"/>
  <c r="BP22" i="7"/>
  <c r="BF22" i="7"/>
  <c r="AM22" i="7"/>
  <c r="BI22" i="7"/>
  <c r="AP22" i="7"/>
  <c r="BC22" i="7"/>
  <c r="BB22" i="7"/>
  <c r="BK22" i="7"/>
  <c r="DA21" i="7"/>
  <c r="A71" i="11"/>
  <c r="CZ22" i="7"/>
  <c r="BY22" i="7"/>
  <c r="CD22" i="7"/>
  <c r="CT22" i="7"/>
  <c r="BU22" i="7"/>
  <c r="CF22" i="7"/>
  <c r="CU22" i="7"/>
  <c r="CG22" i="7"/>
  <c r="BT22" i="7"/>
  <c r="CN22" i="7"/>
  <c r="CJ22" i="7"/>
  <c r="CO22" i="7"/>
  <c r="BW22" i="7"/>
  <c r="CH22" i="7"/>
  <c r="CX22" i="7"/>
  <c r="BX22" i="7"/>
  <c r="CI22" i="7"/>
  <c r="CY22" i="7"/>
  <c r="CW22" i="7"/>
  <c r="BV22" i="7"/>
  <c r="CR22" i="7"/>
  <c r="BZ22" i="7"/>
  <c r="CL22" i="7"/>
  <c r="CK22" i="7"/>
  <c r="CB22" i="7"/>
  <c r="CM22" i="7"/>
  <c r="CC22" i="7"/>
  <c r="CV22" i="7"/>
  <c r="CA22" i="7"/>
  <c r="CP22" i="7"/>
  <c r="CS22" i="7"/>
  <c r="CE22" i="7"/>
  <c r="CQ22" i="7"/>
  <c r="A28" i="11" l="1"/>
  <c r="BQ23" i="7"/>
  <c r="AP23" i="7"/>
  <c r="AQ23" i="7"/>
  <c r="BC23" i="7"/>
  <c r="BE23" i="7"/>
  <c r="AL23" i="7"/>
  <c r="AW23" i="7"/>
  <c r="BL23" i="7"/>
  <c r="BN23" i="7"/>
  <c r="AM23" i="7"/>
  <c r="BH23" i="7"/>
  <c r="AX23" i="7"/>
  <c r="BR23" i="7" s="1"/>
  <c r="AK23" i="7"/>
  <c r="BB23" i="7"/>
  <c r="AR23" i="7"/>
  <c r="BG23" i="7"/>
  <c r="AO23" i="7"/>
  <c r="AZ23" i="7"/>
  <c r="BP23" i="7"/>
  <c r="AY23" i="7"/>
  <c r="AT23" i="7"/>
  <c r="BJ23" i="7"/>
  <c r="BA23" i="7"/>
  <c r="BF23" i="7"/>
  <c r="AU23" i="7"/>
  <c r="BK23" i="7"/>
  <c r="AS23" i="7"/>
  <c r="BD23" i="7"/>
  <c r="BI23" i="7"/>
  <c r="BM23" i="7"/>
  <c r="AN23" i="7"/>
  <c r="BO23" i="7"/>
  <c r="AV23" i="7"/>
  <c r="AI22" i="7"/>
  <c r="DA22" i="7"/>
  <c r="A72" i="11"/>
  <c r="CZ23" i="7"/>
  <c r="CK23" i="7"/>
  <c r="BV23" i="7"/>
  <c r="CA23" i="7"/>
  <c r="CP23" i="7"/>
  <c r="BX23" i="7"/>
  <c r="CI23" i="7"/>
  <c r="CY23" i="7"/>
  <c r="BZ23" i="7"/>
  <c r="CO23" i="7"/>
  <c r="CJ23" i="7"/>
  <c r="CD23" i="7"/>
  <c r="CT23" i="7"/>
  <c r="CB23" i="7"/>
  <c r="CM23" i="7"/>
  <c r="CL23" i="7"/>
  <c r="CF23" i="7"/>
  <c r="BT23" i="7"/>
  <c r="BY23" i="7"/>
  <c r="CS23" i="7"/>
  <c r="CR23" i="7"/>
  <c r="BW23" i="7"/>
  <c r="CH23" i="7"/>
  <c r="CX23" i="7"/>
  <c r="CC23" i="7"/>
  <c r="CE23" i="7"/>
  <c r="CQ23" i="7"/>
  <c r="CV23" i="7"/>
  <c r="CG23" i="7"/>
  <c r="DA23" i="7" s="1"/>
  <c r="CW23" i="7"/>
  <c r="CN23" i="7"/>
  <c r="BU23" i="7"/>
  <c r="CU23" i="7"/>
  <c r="BR22" i="7"/>
  <c r="A33" i="10"/>
  <c r="AH23" i="7"/>
  <c r="AG23" i="7"/>
  <c r="AC23" i="7"/>
  <c r="Y23" i="7"/>
  <c r="U23" i="7"/>
  <c r="Q23" i="7"/>
  <c r="M23" i="7"/>
  <c r="I23" i="7"/>
  <c r="E23" i="7"/>
  <c r="AF23" i="7"/>
  <c r="AB23" i="7"/>
  <c r="X23" i="7"/>
  <c r="T23" i="7"/>
  <c r="P23" i="7"/>
  <c r="L23" i="7"/>
  <c r="H23" i="7"/>
  <c r="D23" i="7"/>
  <c r="AD23" i="7"/>
  <c r="V23" i="7"/>
  <c r="R23" i="7"/>
  <c r="J23" i="7"/>
  <c r="B23" i="7"/>
  <c r="AE23" i="7"/>
  <c r="AA23" i="7"/>
  <c r="W23" i="7"/>
  <c r="S23" i="7"/>
  <c r="O23" i="7"/>
  <c r="AI23" i="7" s="1"/>
  <c r="K23" i="7"/>
  <c r="G23" i="7"/>
  <c r="C23" i="7"/>
  <c r="Z23" i="7"/>
  <c r="N23" i="7"/>
  <c r="F23" i="7"/>
  <c r="A34" i="10" l="1"/>
  <c r="AH24" i="7"/>
  <c r="AG24" i="7"/>
  <c r="AC24" i="7"/>
  <c r="Y24" i="7"/>
  <c r="U24" i="7"/>
  <c r="Q24" i="7"/>
  <c r="M24" i="7"/>
  <c r="I24" i="7"/>
  <c r="E24" i="7"/>
  <c r="AF24" i="7"/>
  <c r="AB24" i="7"/>
  <c r="X24" i="7"/>
  <c r="T24" i="7"/>
  <c r="P24" i="7"/>
  <c r="L24" i="7"/>
  <c r="H24" i="7"/>
  <c r="D24" i="7"/>
  <c r="Z24" i="7"/>
  <c r="V24" i="7"/>
  <c r="R24" i="7"/>
  <c r="J24" i="7"/>
  <c r="F24" i="7"/>
  <c r="AE24" i="7"/>
  <c r="AA24" i="7"/>
  <c r="W24" i="7"/>
  <c r="S24" i="7"/>
  <c r="O24" i="7"/>
  <c r="K24" i="7"/>
  <c r="G24" i="7"/>
  <c r="C24" i="7"/>
  <c r="AD24" i="7"/>
  <c r="N24" i="7"/>
  <c r="B24" i="7"/>
  <c r="A73" i="11"/>
  <c r="CZ24" i="7"/>
  <c r="CF24" i="7"/>
  <c r="BT24" i="7"/>
  <c r="CN24" i="7"/>
  <c r="CB24" i="7"/>
  <c r="CG24" i="7"/>
  <c r="CW24" i="7"/>
  <c r="BU24" i="7"/>
  <c r="CD24" i="7"/>
  <c r="CT24" i="7"/>
  <c r="CY24" i="7"/>
  <c r="CS24" i="7"/>
  <c r="CA24" i="7"/>
  <c r="CU24" i="7"/>
  <c r="BV24" i="7"/>
  <c r="CR24" i="7"/>
  <c r="CI24" i="7"/>
  <c r="CK24" i="7"/>
  <c r="CE24" i="7"/>
  <c r="BW24" i="7"/>
  <c r="CH24" i="7"/>
  <c r="CX24" i="7"/>
  <c r="BX24" i="7"/>
  <c r="CC24" i="7"/>
  <c r="CV24" i="7"/>
  <c r="CM24" i="7"/>
  <c r="CO24" i="7"/>
  <c r="CQ24" i="7"/>
  <c r="BZ24" i="7"/>
  <c r="CL24" i="7"/>
  <c r="CJ24" i="7"/>
  <c r="BY24" i="7"/>
  <c r="CP24" i="7"/>
  <c r="A29" i="11"/>
  <c r="BQ24" i="7"/>
  <c r="AO24" i="7"/>
  <c r="BA24" i="7"/>
  <c r="AS24" i="7"/>
  <c r="AM24" i="7"/>
  <c r="AP24" i="7"/>
  <c r="BJ24" i="7"/>
  <c r="AR24" i="7"/>
  <c r="BG24" i="7"/>
  <c r="BF24" i="7"/>
  <c r="BP24" i="7"/>
  <c r="AW24" i="7"/>
  <c r="BI24" i="7"/>
  <c r="AV24" i="7"/>
  <c r="AT24" i="7"/>
  <c r="AX24" i="7"/>
  <c r="BN24" i="7"/>
  <c r="AL24" i="7"/>
  <c r="AU24" i="7"/>
  <c r="BK24" i="7"/>
  <c r="BL24" i="7"/>
  <c r="BC24" i="7"/>
  <c r="BH24" i="7"/>
  <c r="BD24" i="7"/>
  <c r="BE24" i="7"/>
  <c r="BB24" i="7"/>
  <c r="AZ24" i="7"/>
  <c r="AN24" i="7"/>
  <c r="AY24" i="7"/>
  <c r="BO24" i="7"/>
  <c r="AK24" i="7"/>
  <c r="BM24" i="7"/>
  <c r="AQ24" i="7"/>
  <c r="DA24" i="7" l="1"/>
  <c r="A35" i="10"/>
  <c r="AH25" i="7"/>
  <c r="AG25" i="7"/>
  <c r="AC25" i="7"/>
  <c r="Y25" i="7"/>
  <c r="U25" i="7"/>
  <c r="Q25" i="7"/>
  <c r="M25" i="7"/>
  <c r="I25" i="7"/>
  <c r="E25" i="7"/>
  <c r="AF25" i="7"/>
  <c r="AB25" i="7"/>
  <c r="X25" i="7"/>
  <c r="T25" i="7"/>
  <c r="P25" i="7"/>
  <c r="L25" i="7"/>
  <c r="H25" i="7"/>
  <c r="D25" i="7"/>
  <c r="AD25" i="7"/>
  <c r="V25" i="7"/>
  <c r="R25" i="7"/>
  <c r="J25" i="7"/>
  <c r="F25" i="7"/>
  <c r="B25" i="7"/>
  <c r="AE25" i="7"/>
  <c r="AA25" i="7"/>
  <c r="W25" i="7"/>
  <c r="S25" i="7"/>
  <c r="O25" i="7"/>
  <c r="K25" i="7"/>
  <c r="G25" i="7"/>
  <c r="C25" i="7"/>
  <c r="Z25" i="7"/>
  <c r="N25" i="7"/>
  <c r="BR24" i="7"/>
  <c r="A30" i="11"/>
  <c r="BQ25" i="7"/>
  <c r="BG25" i="7"/>
  <c r="BD25" i="7"/>
  <c r="AN25" i="7"/>
  <c r="BO25" i="7"/>
  <c r="AO25" i="7"/>
  <c r="BH25" i="7"/>
  <c r="AT25" i="7"/>
  <c r="BM25" i="7"/>
  <c r="AQ25" i="7"/>
  <c r="AX25" i="7"/>
  <c r="BN25" i="7"/>
  <c r="BC25" i="7"/>
  <c r="AZ25" i="7"/>
  <c r="BL25" i="7"/>
  <c r="AR25" i="7"/>
  <c r="AS25" i="7"/>
  <c r="BP25" i="7"/>
  <c r="BA25" i="7"/>
  <c r="BK25" i="7"/>
  <c r="BB25" i="7"/>
  <c r="BI25" i="7"/>
  <c r="AL25" i="7"/>
  <c r="AU25" i="7"/>
  <c r="AW25" i="7"/>
  <c r="AK25" i="7"/>
  <c r="BE25" i="7"/>
  <c r="BF25" i="7"/>
  <c r="AY25" i="7"/>
  <c r="AV25" i="7"/>
  <c r="AM25" i="7"/>
  <c r="AP25" i="7"/>
  <c r="BJ25" i="7"/>
  <c r="AI24" i="7"/>
  <c r="A74" i="11"/>
  <c r="CZ25" i="7"/>
  <c r="CX25" i="7"/>
  <c r="BX25" i="7"/>
  <c r="CI25" i="7"/>
  <c r="CY25" i="7"/>
  <c r="CA25" i="7"/>
  <c r="CJ25" i="7"/>
  <c r="CD25" i="7"/>
  <c r="CK25" i="7"/>
  <c r="BW25" i="7"/>
  <c r="CW25" i="7"/>
  <c r="CB25" i="7"/>
  <c r="CM25" i="7"/>
  <c r="CL25" i="7"/>
  <c r="BT25" i="7"/>
  <c r="CN25" i="7"/>
  <c r="CP25" i="7"/>
  <c r="CO25" i="7"/>
  <c r="CV25" i="7"/>
  <c r="CG25" i="7"/>
  <c r="BZ25" i="7"/>
  <c r="CE25" i="7"/>
  <c r="CQ25" i="7"/>
  <c r="CT25" i="7"/>
  <c r="BV25" i="7"/>
  <c r="CR25" i="7"/>
  <c r="BY25" i="7"/>
  <c r="CS25" i="7"/>
  <c r="CH25" i="7"/>
  <c r="BU25" i="7"/>
  <c r="CF25" i="7"/>
  <c r="CU25" i="7"/>
  <c r="CC25" i="7"/>
  <c r="DA25" i="7" l="1"/>
  <c r="A75" i="11"/>
  <c r="CZ26" i="7"/>
  <c r="CD26" i="7"/>
  <c r="CT26" i="7"/>
  <c r="CS26" i="7"/>
  <c r="BU26" i="7"/>
  <c r="CF26" i="7"/>
  <c r="CU26" i="7"/>
  <c r="BT26" i="7"/>
  <c r="CN26" i="7"/>
  <c r="CQ26" i="7"/>
  <c r="CG26" i="7"/>
  <c r="BW26" i="7"/>
  <c r="CH26" i="7"/>
  <c r="CX26" i="7"/>
  <c r="BX26" i="7"/>
  <c r="CI26" i="7"/>
  <c r="CY26" i="7"/>
  <c r="BV26" i="7"/>
  <c r="CR26" i="7"/>
  <c r="CW26" i="7"/>
  <c r="BZ26" i="7"/>
  <c r="CL26" i="7"/>
  <c r="CB26" i="7"/>
  <c r="CM26" i="7"/>
  <c r="BY26" i="7"/>
  <c r="CC26" i="7"/>
  <c r="CV26" i="7"/>
  <c r="CA26" i="7"/>
  <c r="CP26" i="7"/>
  <c r="CK26" i="7"/>
  <c r="CE26" i="7"/>
  <c r="CO26" i="7"/>
  <c r="CJ26" i="7"/>
  <c r="A31" i="11"/>
  <c r="BQ26" i="7"/>
  <c r="BK26" i="7"/>
  <c r="AU26" i="7"/>
  <c r="AV26" i="7"/>
  <c r="BH26" i="7"/>
  <c r="BA26" i="7"/>
  <c r="BD26" i="7"/>
  <c r="AT26" i="7"/>
  <c r="BF26" i="7"/>
  <c r="AX26" i="7"/>
  <c r="AY26" i="7"/>
  <c r="AL26" i="7"/>
  <c r="AW26" i="7"/>
  <c r="BL26" i="7"/>
  <c r="AK26" i="7"/>
  <c r="BE26" i="7"/>
  <c r="BM26" i="7"/>
  <c r="AR26" i="7"/>
  <c r="BB26" i="7"/>
  <c r="AN26" i="7"/>
  <c r="BG26" i="7"/>
  <c r="AO26" i="7"/>
  <c r="AZ26" i="7"/>
  <c r="BP26" i="7"/>
  <c r="AP26" i="7"/>
  <c r="AM26" i="7"/>
  <c r="BI26" i="7"/>
  <c r="BC26" i="7"/>
  <c r="BN26" i="7"/>
  <c r="AQ26" i="7"/>
  <c r="BO26" i="7"/>
  <c r="AS26" i="7"/>
  <c r="BJ26" i="7"/>
  <c r="AI25" i="7"/>
  <c r="A36" i="10"/>
  <c r="AH26" i="7"/>
  <c r="AG26" i="7"/>
  <c r="AC26" i="7"/>
  <c r="Y26" i="7"/>
  <c r="U26" i="7"/>
  <c r="Q26" i="7"/>
  <c r="M26" i="7"/>
  <c r="I26" i="7"/>
  <c r="E26" i="7"/>
  <c r="AF26" i="7"/>
  <c r="AB26" i="7"/>
  <c r="X26" i="7"/>
  <c r="T26" i="7"/>
  <c r="P26" i="7"/>
  <c r="L26" i="7"/>
  <c r="H26" i="7"/>
  <c r="D26" i="7"/>
  <c r="AD26" i="7"/>
  <c r="V26" i="7"/>
  <c r="R26" i="7"/>
  <c r="J26" i="7"/>
  <c r="F26" i="7"/>
  <c r="AE26" i="7"/>
  <c r="AA26" i="7"/>
  <c r="W26" i="7"/>
  <c r="S26" i="7"/>
  <c r="O26" i="7"/>
  <c r="K26" i="7"/>
  <c r="G26" i="7"/>
  <c r="C26" i="7"/>
  <c r="Z26" i="7"/>
  <c r="N26" i="7"/>
  <c r="B26" i="7"/>
  <c r="BR25" i="7"/>
  <c r="BR26" i="7" l="1"/>
  <c r="A76" i="11"/>
  <c r="CZ27" i="7"/>
  <c r="CR27" i="7"/>
  <c r="CK27" i="7"/>
  <c r="CA27" i="7"/>
  <c r="CP27" i="7"/>
  <c r="BT27" i="7"/>
  <c r="BX27" i="7"/>
  <c r="CI27" i="7"/>
  <c r="CY27" i="7"/>
  <c r="CO27" i="7"/>
  <c r="BV27" i="7"/>
  <c r="CD27" i="7"/>
  <c r="CT27" i="7"/>
  <c r="CN27" i="7"/>
  <c r="CB27" i="7"/>
  <c r="CM27" i="7"/>
  <c r="CV27" i="7"/>
  <c r="BU27" i="7"/>
  <c r="CU27" i="7"/>
  <c r="BY27" i="7"/>
  <c r="CS27" i="7"/>
  <c r="CJ27" i="7"/>
  <c r="BW27" i="7"/>
  <c r="CH27" i="7"/>
  <c r="CX27" i="7"/>
  <c r="CE27" i="7"/>
  <c r="CQ27" i="7"/>
  <c r="CC27" i="7"/>
  <c r="CG27" i="7"/>
  <c r="DA27" i="7" s="1"/>
  <c r="CW27" i="7"/>
  <c r="BZ27" i="7"/>
  <c r="CL27" i="7"/>
  <c r="CF27" i="7"/>
  <c r="DA26" i="7"/>
  <c r="A37" i="10"/>
  <c r="AH27" i="7"/>
  <c r="AG27" i="7"/>
  <c r="AC27" i="7"/>
  <c r="Y27" i="7"/>
  <c r="U27" i="7"/>
  <c r="Q27" i="7"/>
  <c r="M27" i="7"/>
  <c r="I27" i="7"/>
  <c r="E27" i="7"/>
  <c r="AF27" i="7"/>
  <c r="AB27" i="7"/>
  <c r="X27" i="7"/>
  <c r="T27" i="7"/>
  <c r="P27" i="7"/>
  <c r="L27" i="7"/>
  <c r="H27" i="7"/>
  <c r="D27" i="7"/>
  <c r="Z27" i="7"/>
  <c r="V27" i="7"/>
  <c r="N27" i="7"/>
  <c r="J27" i="7"/>
  <c r="F27" i="7"/>
  <c r="AE27" i="7"/>
  <c r="AA27" i="7"/>
  <c r="W27" i="7"/>
  <c r="S27" i="7"/>
  <c r="O27" i="7"/>
  <c r="AI27" i="7" s="1"/>
  <c r="K27" i="7"/>
  <c r="G27" i="7"/>
  <c r="C27" i="7"/>
  <c r="AD27" i="7"/>
  <c r="R27" i="7"/>
  <c r="B27" i="7"/>
  <c r="A32" i="11"/>
  <c r="BQ27" i="7"/>
  <c r="BE27" i="7"/>
  <c r="BA27" i="7"/>
  <c r="AP27" i="7"/>
  <c r="AQ27" i="7"/>
  <c r="BC27" i="7"/>
  <c r="AM27" i="7"/>
  <c r="AL27" i="7"/>
  <c r="AW27" i="7"/>
  <c r="BL27" i="7"/>
  <c r="BN27" i="7"/>
  <c r="BH27" i="7"/>
  <c r="BB27" i="7"/>
  <c r="BM27" i="7"/>
  <c r="AX27" i="7"/>
  <c r="BR27" i="7" s="1"/>
  <c r="AR27" i="7"/>
  <c r="BG27" i="7"/>
  <c r="BI27" i="7"/>
  <c r="AO27" i="7"/>
  <c r="AZ27" i="7"/>
  <c r="BP27" i="7"/>
  <c r="BO27" i="7"/>
  <c r="AK27" i="7"/>
  <c r="BJ27" i="7"/>
  <c r="BF27" i="7"/>
  <c r="AU27" i="7"/>
  <c r="BK27" i="7"/>
  <c r="AS27" i="7"/>
  <c r="BD27" i="7"/>
  <c r="AT27" i="7"/>
  <c r="AN27" i="7"/>
  <c r="AY27" i="7"/>
  <c r="AV27" i="7"/>
  <c r="AI26" i="7"/>
  <c r="A33" i="11" l="1"/>
  <c r="BQ28" i="7"/>
  <c r="AT28" i="7"/>
  <c r="AZ28" i="7"/>
  <c r="AK28" i="7"/>
  <c r="AP28" i="7"/>
  <c r="BJ28" i="7"/>
  <c r="AR28" i="7"/>
  <c r="BG28" i="7"/>
  <c r="AL28" i="7"/>
  <c r="BI28" i="7"/>
  <c r="BD28" i="7"/>
  <c r="BA28" i="7"/>
  <c r="AX28" i="7"/>
  <c r="BN28" i="7"/>
  <c r="AU28" i="7"/>
  <c r="BK28" i="7"/>
  <c r="AW28" i="7"/>
  <c r="AO28" i="7"/>
  <c r="BP28" i="7"/>
  <c r="BE28" i="7"/>
  <c r="BB28" i="7"/>
  <c r="AV28" i="7"/>
  <c r="AN28" i="7"/>
  <c r="AY28" i="7"/>
  <c r="BO28" i="7"/>
  <c r="BH28" i="7"/>
  <c r="AM28" i="7"/>
  <c r="AS28" i="7"/>
  <c r="BM28" i="7"/>
  <c r="BF28" i="7"/>
  <c r="BL28" i="7"/>
  <c r="AQ28" i="7"/>
  <c r="BC28" i="7"/>
  <c r="A38" i="10"/>
  <c r="AH28" i="7"/>
  <c r="AG28" i="7"/>
  <c r="AC28" i="7"/>
  <c r="Y28" i="7"/>
  <c r="U28" i="7"/>
  <c r="Q28" i="7"/>
  <c r="M28" i="7"/>
  <c r="I28" i="7"/>
  <c r="E28" i="7"/>
  <c r="AF28" i="7"/>
  <c r="AB28" i="7"/>
  <c r="X28" i="7"/>
  <c r="T28" i="7"/>
  <c r="P28" i="7"/>
  <c r="L28" i="7"/>
  <c r="H28" i="7"/>
  <c r="D28" i="7"/>
  <c r="AD28" i="7"/>
  <c r="V28" i="7"/>
  <c r="R28" i="7"/>
  <c r="J28" i="7"/>
  <c r="F28" i="7"/>
  <c r="B28" i="7"/>
  <c r="AE28" i="7"/>
  <c r="AA28" i="7"/>
  <c r="W28" i="7"/>
  <c r="S28" i="7"/>
  <c r="O28" i="7"/>
  <c r="K28" i="7"/>
  <c r="G28" i="7"/>
  <c r="C28" i="7"/>
  <c r="Z28" i="7"/>
  <c r="N28" i="7"/>
  <c r="A77" i="11"/>
  <c r="CZ28" i="7"/>
  <c r="BT28" i="7"/>
  <c r="CN28" i="7"/>
  <c r="CB28" i="7"/>
  <c r="CG28" i="7"/>
  <c r="CW28" i="7"/>
  <c r="CQ28" i="7"/>
  <c r="CD28" i="7"/>
  <c r="CT28" i="7"/>
  <c r="CF28" i="7"/>
  <c r="CA28" i="7"/>
  <c r="BX28" i="7"/>
  <c r="BV28" i="7"/>
  <c r="CR28" i="7"/>
  <c r="CE28" i="7"/>
  <c r="CK28" i="7"/>
  <c r="BW28" i="7"/>
  <c r="CH28" i="7"/>
  <c r="CX28" i="7"/>
  <c r="BY28" i="7"/>
  <c r="CI28" i="7"/>
  <c r="CC28" i="7"/>
  <c r="CV28" i="7"/>
  <c r="CM28" i="7"/>
  <c r="CO28" i="7"/>
  <c r="BU28" i="7"/>
  <c r="BZ28" i="7"/>
  <c r="CL28" i="7"/>
  <c r="CY28" i="7"/>
  <c r="CJ28" i="7"/>
  <c r="CU28" i="7"/>
  <c r="CS28" i="7"/>
  <c r="CP28" i="7"/>
  <c r="AI28" i="7" l="1"/>
  <c r="A39" i="10"/>
  <c r="AH29" i="7"/>
  <c r="AG29" i="7"/>
  <c r="AC29" i="7"/>
  <c r="Y29" i="7"/>
  <c r="U29" i="7"/>
  <c r="Q29" i="7"/>
  <c r="M29" i="7"/>
  <c r="I29" i="7"/>
  <c r="E29" i="7"/>
  <c r="AF29" i="7"/>
  <c r="AB29" i="7"/>
  <c r="X29" i="7"/>
  <c r="T29" i="7"/>
  <c r="P29" i="7"/>
  <c r="L29" i="7"/>
  <c r="H29" i="7"/>
  <c r="D29" i="7"/>
  <c r="AD29" i="7"/>
  <c r="V29" i="7"/>
  <c r="R29" i="7"/>
  <c r="J29" i="7"/>
  <c r="B29" i="7"/>
  <c r="AE29" i="7"/>
  <c r="AA29" i="7"/>
  <c r="W29" i="7"/>
  <c r="S29" i="7"/>
  <c r="O29" i="7"/>
  <c r="K29" i="7"/>
  <c r="G29" i="7"/>
  <c r="C29" i="7"/>
  <c r="Z29" i="7"/>
  <c r="N29" i="7"/>
  <c r="F29" i="7"/>
  <c r="DA28" i="7"/>
  <c r="A78" i="11"/>
  <c r="CZ29" i="7"/>
  <c r="CD29" i="7"/>
  <c r="BX29" i="7"/>
  <c r="CI29" i="7"/>
  <c r="CY29" i="7"/>
  <c r="BW29" i="7"/>
  <c r="CX29" i="7"/>
  <c r="CJ29" i="7"/>
  <c r="CK29" i="7"/>
  <c r="CL29" i="7"/>
  <c r="CC29" i="7"/>
  <c r="CW29" i="7"/>
  <c r="CT29" i="7"/>
  <c r="CB29" i="7"/>
  <c r="CM29" i="7"/>
  <c r="BZ29" i="7"/>
  <c r="BT29" i="7"/>
  <c r="CN29" i="7"/>
  <c r="CA29" i="7"/>
  <c r="CO29" i="7"/>
  <c r="CV29" i="7"/>
  <c r="CE29" i="7"/>
  <c r="CQ29" i="7"/>
  <c r="CH29" i="7"/>
  <c r="BV29" i="7"/>
  <c r="CR29" i="7"/>
  <c r="CP29" i="7"/>
  <c r="BY29" i="7"/>
  <c r="CS29" i="7"/>
  <c r="BU29" i="7"/>
  <c r="CF29" i="7"/>
  <c r="CU29" i="7"/>
  <c r="CG29" i="7"/>
  <c r="BR28" i="7"/>
  <c r="A34" i="11"/>
  <c r="BQ29" i="7"/>
  <c r="AY29" i="7"/>
  <c r="AZ29" i="7"/>
  <c r="AR29" i="7"/>
  <c r="AO29" i="7"/>
  <c r="BH29" i="7"/>
  <c r="AT29" i="7"/>
  <c r="BM29" i="7"/>
  <c r="AQ29" i="7"/>
  <c r="AX29" i="7"/>
  <c r="BN29" i="7"/>
  <c r="AN29" i="7"/>
  <c r="AM29" i="7"/>
  <c r="BJ29" i="7"/>
  <c r="BG29" i="7"/>
  <c r="BL29" i="7"/>
  <c r="BC29" i="7"/>
  <c r="AV29" i="7"/>
  <c r="BP29" i="7"/>
  <c r="BA29" i="7"/>
  <c r="AU29" i="7"/>
  <c r="BB29" i="7"/>
  <c r="AP29" i="7"/>
  <c r="AL29" i="7"/>
  <c r="BO29" i="7"/>
  <c r="AW29" i="7"/>
  <c r="AK29" i="7"/>
  <c r="BE29" i="7"/>
  <c r="BK29" i="7"/>
  <c r="BF29" i="7"/>
  <c r="AS29" i="7"/>
  <c r="BD29" i="7"/>
  <c r="BI29" i="7"/>
  <c r="AI29" i="7" l="1"/>
  <c r="A35" i="11"/>
  <c r="BQ30" i="7"/>
  <c r="AU30" i="7"/>
  <c r="BO30" i="7"/>
  <c r="BB30" i="7"/>
  <c r="AV30" i="7"/>
  <c r="BH30" i="7"/>
  <c r="BJ30" i="7"/>
  <c r="BA30" i="7"/>
  <c r="AY30" i="7"/>
  <c r="AS30" i="7"/>
  <c r="AP30" i="7"/>
  <c r="BC30" i="7"/>
  <c r="BN30" i="7"/>
  <c r="AL30" i="7"/>
  <c r="AW30" i="7"/>
  <c r="BL30" i="7"/>
  <c r="AK30" i="7"/>
  <c r="BE30" i="7"/>
  <c r="AX30" i="7"/>
  <c r="BD30" i="7"/>
  <c r="BM30" i="7"/>
  <c r="BF30" i="7"/>
  <c r="AN30" i="7"/>
  <c r="BG30" i="7"/>
  <c r="AR30" i="7"/>
  <c r="AO30" i="7"/>
  <c r="AZ30" i="7"/>
  <c r="BP30" i="7"/>
  <c r="AM30" i="7"/>
  <c r="BI30" i="7"/>
  <c r="AQ30" i="7"/>
  <c r="BK30" i="7"/>
  <c r="AT30" i="7"/>
  <c r="DA29" i="7"/>
  <c r="BR29" i="7"/>
  <c r="A79" i="11"/>
  <c r="CZ30" i="7"/>
  <c r="CW30" i="7"/>
  <c r="CD30" i="7"/>
  <c r="CT30" i="7"/>
  <c r="BU30" i="7"/>
  <c r="CF30" i="7"/>
  <c r="CU30" i="7"/>
  <c r="BT30" i="7"/>
  <c r="CN30" i="7"/>
  <c r="CQ30" i="7"/>
  <c r="BW30" i="7"/>
  <c r="CH30" i="7"/>
  <c r="CX30" i="7"/>
  <c r="CK30" i="7"/>
  <c r="BX30" i="7"/>
  <c r="CI30" i="7"/>
  <c r="CY30" i="7"/>
  <c r="BV30" i="7"/>
  <c r="CR30" i="7"/>
  <c r="CJ30" i="7"/>
  <c r="BY30" i="7"/>
  <c r="BZ30" i="7"/>
  <c r="CL30" i="7"/>
  <c r="CS30" i="7"/>
  <c r="CB30" i="7"/>
  <c r="CM30" i="7"/>
  <c r="CC30" i="7"/>
  <c r="CV30" i="7"/>
  <c r="CG30" i="7"/>
  <c r="CA30" i="7"/>
  <c r="CP30" i="7"/>
  <c r="CE30" i="7"/>
  <c r="CO30" i="7"/>
  <c r="A40" i="10"/>
  <c r="AH30" i="7"/>
  <c r="AG30" i="7"/>
  <c r="AC30" i="7"/>
  <c r="Y30" i="7"/>
  <c r="U30" i="7"/>
  <c r="Q30" i="7"/>
  <c r="M30" i="7"/>
  <c r="I30" i="7"/>
  <c r="E30" i="7"/>
  <c r="AF30" i="7"/>
  <c r="AB30" i="7"/>
  <c r="X30" i="7"/>
  <c r="T30" i="7"/>
  <c r="P30" i="7"/>
  <c r="L30" i="7"/>
  <c r="H30" i="7"/>
  <c r="D30" i="7"/>
  <c r="AD30" i="7"/>
  <c r="V30" i="7"/>
  <c r="R30" i="7"/>
  <c r="J30" i="7"/>
  <c r="F30" i="7"/>
  <c r="AE30" i="7"/>
  <c r="AA30" i="7"/>
  <c r="W30" i="7"/>
  <c r="S30" i="7"/>
  <c r="O30" i="7"/>
  <c r="K30" i="7"/>
  <c r="G30" i="7"/>
  <c r="C30" i="7"/>
  <c r="Z30" i="7"/>
  <c r="N30" i="7"/>
  <c r="B30" i="7"/>
  <c r="A80" i="11" l="1"/>
  <c r="CZ31" i="7"/>
  <c r="CK31" i="7"/>
  <c r="CJ31" i="7"/>
  <c r="CA31" i="7"/>
  <c r="CP31" i="7"/>
  <c r="BV31" i="7"/>
  <c r="BX31" i="7"/>
  <c r="CI31" i="7"/>
  <c r="CY31" i="7"/>
  <c r="CU31" i="7"/>
  <c r="CC31" i="7"/>
  <c r="CO31" i="7"/>
  <c r="CV31" i="7"/>
  <c r="CD31" i="7"/>
  <c r="CT31" i="7"/>
  <c r="CN31" i="7"/>
  <c r="CB31" i="7"/>
  <c r="CM31" i="7"/>
  <c r="CR31" i="7"/>
  <c r="BY31" i="7"/>
  <c r="CS31" i="7"/>
  <c r="BW31" i="7"/>
  <c r="CH31" i="7"/>
  <c r="CX31" i="7"/>
  <c r="CE31" i="7"/>
  <c r="CQ31" i="7"/>
  <c r="CG31" i="7"/>
  <c r="DA31" i="7" s="1"/>
  <c r="CW31" i="7"/>
  <c r="BT31" i="7"/>
  <c r="BZ31" i="7"/>
  <c r="CL31" i="7"/>
  <c r="BU31" i="7"/>
  <c r="CF31" i="7"/>
  <c r="A41" i="10"/>
  <c r="AH31" i="7"/>
  <c r="AG31" i="7"/>
  <c r="AC31" i="7"/>
  <c r="Y31" i="7"/>
  <c r="U31" i="7"/>
  <c r="Q31" i="7"/>
  <c r="M31" i="7"/>
  <c r="I31" i="7"/>
  <c r="E31" i="7"/>
  <c r="AF31" i="7"/>
  <c r="AB31" i="7"/>
  <c r="X31" i="7"/>
  <c r="T31" i="7"/>
  <c r="P31" i="7"/>
  <c r="L31" i="7"/>
  <c r="H31" i="7"/>
  <c r="D31" i="7"/>
  <c r="AD31" i="7"/>
  <c r="V31" i="7"/>
  <c r="R31" i="7"/>
  <c r="J31" i="7"/>
  <c r="B31" i="7"/>
  <c r="AE31" i="7"/>
  <c r="AA31" i="7"/>
  <c r="W31" i="7"/>
  <c r="S31" i="7"/>
  <c r="O31" i="7"/>
  <c r="AI31" i="7" s="1"/>
  <c r="K31" i="7"/>
  <c r="G31" i="7"/>
  <c r="C31" i="7"/>
  <c r="Z31" i="7"/>
  <c r="N31" i="7"/>
  <c r="F31" i="7"/>
  <c r="AI30" i="7"/>
  <c r="A36" i="11"/>
  <c r="BQ31" i="7"/>
  <c r="BE31" i="7"/>
  <c r="BF31" i="7"/>
  <c r="AQ31" i="7"/>
  <c r="BC31" i="7"/>
  <c r="AL31" i="7"/>
  <c r="AW31" i="7"/>
  <c r="BL31" i="7"/>
  <c r="AY31" i="7"/>
  <c r="AP31" i="7"/>
  <c r="BJ31" i="7"/>
  <c r="AR31" i="7"/>
  <c r="BG31" i="7"/>
  <c r="AK31" i="7"/>
  <c r="AO31" i="7"/>
  <c r="AZ31" i="7"/>
  <c r="BP31" i="7"/>
  <c r="AX31" i="7"/>
  <c r="BR31" i="7" s="1"/>
  <c r="BN31" i="7"/>
  <c r="BA31" i="7"/>
  <c r="AU31" i="7"/>
  <c r="BK31" i="7"/>
  <c r="AT31" i="7"/>
  <c r="AS31" i="7"/>
  <c r="BD31" i="7"/>
  <c r="AM31" i="7"/>
  <c r="BB31" i="7"/>
  <c r="BM31" i="7"/>
  <c r="AN31" i="7"/>
  <c r="BO31" i="7"/>
  <c r="BI31" i="7"/>
  <c r="AV31" i="7"/>
  <c r="BH31" i="7"/>
  <c r="DA30" i="7"/>
  <c r="BR30" i="7"/>
  <c r="A37" i="11" l="1"/>
  <c r="BQ32" i="7"/>
  <c r="AM32" i="7"/>
  <c r="BI32" i="7"/>
  <c r="AS32" i="7"/>
  <c r="AP32" i="7"/>
  <c r="BJ32" i="7"/>
  <c r="AL32" i="7"/>
  <c r="AR32" i="7"/>
  <c r="BG32" i="7"/>
  <c r="BP32" i="7"/>
  <c r="AQ32" i="7"/>
  <c r="AO32" i="7"/>
  <c r="AT32" i="7"/>
  <c r="BM32" i="7"/>
  <c r="AW32" i="7"/>
  <c r="AX32" i="7"/>
  <c r="BN32" i="7"/>
  <c r="AZ32" i="7"/>
  <c r="AU32" i="7"/>
  <c r="BK32" i="7"/>
  <c r="BF32" i="7"/>
  <c r="BC32" i="7"/>
  <c r="AV32" i="7"/>
  <c r="BA32" i="7"/>
  <c r="BD32" i="7"/>
  <c r="BB32" i="7"/>
  <c r="BL32" i="7"/>
  <c r="AN32" i="7"/>
  <c r="AY32" i="7"/>
  <c r="BO32" i="7"/>
  <c r="BH32" i="7"/>
  <c r="AK32" i="7"/>
  <c r="BE32" i="7"/>
  <c r="A81" i="11"/>
  <c r="CZ32" i="7"/>
  <c r="CI32" i="7"/>
  <c r="BT32" i="7"/>
  <c r="CN32" i="7"/>
  <c r="CF32" i="7"/>
  <c r="CG32" i="7"/>
  <c r="CW32" i="7"/>
  <c r="CD32" i="7"/>
  <c r="CT32" i="7"/>
  <c r="CQ32" i="7"/>
  <c r="CU32" i="7"/>
  <c r="BV32" i="7"/>
  <c r="CR32" i="7"/>
  <c r="CM32" i="7"/>
  <c r="CK32" i="7"/>
  <c r="BW32" i="7"/>
  <c r="CH32" i="7"/>
  <c r="CX32" i="7"/>
  <c r="CB32" i="7"/>
  <c r="BY32" i="7"/>
  <c r="CP32" i="7"/>
  <c r="CC32" i="7"/>
  <c r="CV32" i="7"/>
  <c r="BX32" i="7"/>
  <c r="CY32" i="7"/>
  <c r="CO32" i="7"/>
  <c r="CE32" i="7"/>
  <c r="BZ32" i="7"/>
  <c r="CL32" i="7"/>
  <c r="BU32" i="7"/>
  <c r="CJ32" i="7"/>
  <c r="CS32" i="7"/>
  <c r="CA32" i="7"/>
  <c r="A42" i="10"/>
  <c r="AH32" i="7"/>
  <c r="AG32" i="7"/>
  <c r="AC32" i="7"/>
  <c r="Y32" i="7"/>
  <c r="U32" i="7"/>
  <c r="Q32" i="7"/>
  <c r="M32" i="7"/>
  <c r="I32" i="7"/>
  <c r="E32" i="7"/>
  <c r="AF32" i="7"/>
  <c r="AB32" i="7"/>
  <c r="X32" i="7"/>
  <c r="T32" i="7"/>
  <c r="P32" i="7"/>
  <c r="L32" i="7"/>
  <c r="H32" i="7"/>
  <c r="D32" i="7"/>
  <c r="Z32" i="7"/>
  <c r="V32" i="7"/>
  <c r="N32" i="7"/>
  <c r="J32" i="7"/>
  <c r="B32" i="7"/>
  <c r="AE32" i="7"/>
  <c r="AA32" i="7"/>
  <c r="W32" i="7"/>
  <c r="S32" i="7"/>
  <c r="O32" i="7"/>
  <c r="K32" i="7"/>
  <c r="G32" i="7"/>
  <c r="C32" i="7"/>
  <c r="AD32" i="7"/>
  <c r="R32" i="7"/>
  <c r="F32" i="7"/>
  <c r="AI32" i="7" l="1"/>
  <c r="DA32" i="7"/>
  <c r="BR32" i="7"/>
  <c r="A38" i="11"/>
  <c r="BQ33" i="7"/>
  <c r="AY33" i="7"/>
  <c r="AS33" i="7"/>
  <c r="BD33" i="7"/>
  <c r="AN33" i="7"/>
  <c r="BO33" i="7"/>
  <c r="AT33" i="7"/>
  <c r="BM33" i="7"/>
  <c r="BK33" i="7"/>
  <c r="AX33" i="7"/>
  <c r="BN33" i="7"/>
  <c r="AQ33" i="7"/>
  <c r="BJ33" i="7"/>
  <c r="BG33" i="7"/>
  <c r="AV33" i="7"/>
  <c r="BH33" i="7"/>
  <c r="AR33" i="7"/>
  <c r="BA33" i="7"/>
  <c r="BB33" i="7"/>
  <c r="AL33" i="7"/>
  <c r="AW33" i="7"/>
  <c r="BL33" i="7"/>
  <c r="AU33" i="7"/>
  <c r="AK33" i="7"/>
  <c r="BE33" i="7"/>
  <c r="BF33" i="7"/>
  <c r="AO33" i="7"/>
  <c r="AZ33" i="7"/>
  <c r="BP33" i="7"/>
  <c r="BC33" i="7"/>
  <c r="AM33" i="7"/>
  <c r="BI33" i="7"/>
  <c r="AP33" i="7"/>
  <c r="A82" i="11"/>
  <c r="CZ33" i="7"/>
  <c r="BX33" i="7"/>
  <c r="CI33" i="7"/>
  <c r="CY33" i="7"/>
  <c r="CA33" i="7"/>
  <c r="CJ33" i="7"/>
  <c r="CH33" i="7"/>
  <c r="CK33" i="7"/>
  <c r="CC33" i="7"/>
  <c r="CB33" i="7"/>
  <c r="CM33" i="7"/>
  <c r="CD33" i="7"/>
  <c r="BT33" i="7"/>
  <c r="CN33" i="7"/>
  <c r="CX33" i="7"/>
  <c r="CO33" i="7"/>
  <c r="CV33" i="7"/>
  <c r="BZ33" i="7"/>
  <c r="CE33" i="7"/>
  <c r="CQ33" i="7"/>
  <c r="CL33" i="7"/>
  <c r="BV33" i="7"/>
  <c r="CR33" i="7"/>
  <c r="BY33" i="7"/>
  <c r="CS33" i="7"/>
  <c r="CP33" i="7"/>
  <c r="BU33" i="7"/>
  <c r="CF33" i="7"/>
  <c r="CU33" i="7"/>
  <c r="BW33" i="7"/>
  <c r="CT33" i="7"/>
  <c r="CG33" i="7"/>
  <c r="CW33" i="7"/>
  <c r="A43" i="10"/>
  <c r="AH33" i="7"/>
  <c r="AG33" i="7"/>
  <c r="AC33" i="7"/>
  <c r="Y33" i="7"/>
  <c r="U33" i="7"/>
  <c r="Q33" i="7"/>
  <c r="M33" i="7"/>
  <c r="I33" i="7"/>
  <c r="E33" i="7"/>
  <c r="AF33" i="7"/>
  <c r="AB33" i="7"/>
  <c r="X33" i="7"/>
  <c r="T33" i="7"/>
  <c r="P33" i="7"/>
  <c r="L33" i="7"/>
  <c r="H33" i="7"/>
  <c r="D33" i="7"/>
  <c r="AD33" i="7"/>
  <c r="V33" i="7"/>
  <c r="R33" i="7"/>
  <c r="J33" i="7"/>
  <c r="F33" i="7"/>
  <c r="B33" i="7"/>
  <c r="AE33" i="7"/>
  <c r="AA33" i="7"/>
  <c r="W33" i="7"/>
  <c r="S33" i="7"/>
  <c r="O33" i="7"/>
  <c r="K33" i="7"/>
  <c r="G33" i="7"/>
  <c r="C33" i="7"/>
  <c r="Z33" i="7"/>
  <c r="N33" i="7"/>
  <c r="A39" i="11" l="1"/>
  <c r="BQ34" i="7"/>
  <c r="AN34" i="7"/>
  <c r="AY34" i="7"/>
  <c r="BO34" i="7"/>
  <c r="AV34" i="7"/>
  <c r="BH34" i="7"/>
  <c r="BA34" i="7"/>
  <c r="AS34" i="7"/>
  <c r="AQ34" i="7"/>
  <c r="BC34" i="7"/>
  <c r="AX34" i="7"/>
  <c r="AL34" i="7"/>
  <c r="AW34" i="7"/>
  <c r="BL34" i="7"/>
  <c r="AP34" i="7"/>
  <c r="AK34" i="7"/>
  <c r="BE34" i="7"/>
  <c r="BN34" i="7"/>
  <c r="BD34" i="7"/>
  <c r="BJ34" i="7"/>
  <c r="AR34" i="7"/>
  <c r="BG34" i="7"/>
  <c r="BF34" i="7"/>
  <c r="AO34" i="7"/>
  <c r="AZ34" i="7"/>
  <c r="BP34" i="7"/>
  <c r="BB34" i="7"/>
  <c r="AM34" i="7"/>
  <c r="BI34" i="7"/>
  <c r="AU34" i="7"/>
  <c r="BK34" i="7"/>
  <c r="AT34" i="7"/>
  <c r="BM34" i="7"/>
  <c r="AI33" i="7"/>
  <c r="A44" i="10"/>
  <c r="AH34" i="7"/>
  <c r="AG34" i="7"/>
  <c r="AC34" i="7"/>
  <c r="Y34" i="7"/>
  <c r="U34" i="7"/>
  <c r="Q34" i="7"/>
  <c r="M34" i="7"/>
  <c r="I34" i="7"/>
  <c r="E34" i="7"/>
  <c r="AF34" i="7"/>
  <c r="AB34" i="7"/>
  <c r="X34" i="7"/>
  <c r="T34" i="7"/>
  <c r="P34" i="7"/>
  <c r="L34" i="7"/>
  <c r="H34" i="7"/>
  <c r="D34" i="7"/>
  <c r="AD34" i="7"/>
  <c r="V34" i="7"/>
  <c r="R34" i="7"/>
  <c r="J34" i="7"/>
  <c r="F34" i="7"/>
  <c r="AE34" i="7"/>
  <c r="AA34" i="7"/>
  <c r="W34" i="7"/>
  <c r="S34" i="7"/>
  <c r="O34" i="7"/>
  <c r="K34" i="7"/>
  <c r="G34" i="7"/>
  <c r="C34" i="7"/>
  <c r="Z34" i="7"/>
  <c r="N34" i="7"/>
  <c r="B34" i="7"/>
  <c r="BR33" i="7"/>
  <c r="DA33" i="7"/>
  <c r="A83" i="11"/>
  <c r="CZ34" i="7"/>
  <c r="CD34" i="7"/>
  <c r="CT34" i="7"/>
  <c r="BY34" i="7"/>
  <c r="CW34" i="7"/>
  <c r="BU34" i="7"/>
  <c r="CF34" i="7"/>
  <c r="CU34" i="7"/>
  <c r="BT34" i="7"/>
  <c r="CN34" i="7"/>
  <c r="CS34" i="7"/>
  <c r="CQ34" i="7"/>
  <c r="BW34" i="7"/>
  <c r="CH34" i="7"/>
  <c r="CX34" i="7"/>
  <c r="CK34" i="7"/>
  <c r="BX34" i="7"/>
  <c r="CI34" i="7"/>
  <c r="CY34" i="7"/>
  <c r="BV34" i="7"/>
  <c r="CR34" i="7"/>
  <c r="CJ34" i="7"/>
  <c r="BZ34" i="7"/>
  <c r="CL34" i="7"/>
  <c r="CO34" i="7"/>
  <c r="CB34" i="7"/>
  <c r="CM34" i="7"/>
  <c r="CG34" i="7"/>
  <c r="CC34" i="7"/>
  <c r="CV34" i="7"/>
  <c r="CA34" i="7"/>
  <c r="CP34" i="7"/>
  <c r="CE34" i="7"/>
  <c r="A40" i="11" l="1"/>
  <c r="BQ35" i="7"/>
  <c r="AT35" i="7"/>
  <c r="BF35" i="7"/>
  <c r="BA35" i="7"/>
  <c r="AQ35" i="7"/>
  <c r="BC35" i="7"/>
  <c r="BE35" i="7"/>
  <c r="AL35" i="7"/>
  <c r="AW35" i="7"/>
  <c r="BL35" i="7"/>
  <c r="AY35" i="7"/>
  <c r="BH35" i="7"/>
  <c r="BI35" i="7"/>
  <c r="AP35" i="7"/>
  <c r="BJ35" i="7"/>
  <c r="BM35" i="7"/>
  <c r="AR35" i="7"/>
  <c r="BG35" i="7"/>
  <c r="AO35" i="7"/>
  <c r="AZ35" i="7"/>
  <c r="BP35" i="7"/>
  <c r="AV35" i="7"/>
  <c r="AX35" i="7"/>
  <c r="BR35" i="7" s="1"/>
  <c r="BN35" i="7"/>
  <c r="AU35" i="7"/>
  <c r="BK35" i="7"/>
  <c r="AS35" i="7"/>
  <c r="BD35" i="7"/>
  <c r="AK35" i="7"/>
  <c r="BB35" i="7"/>
  <c r="AN35" i="7"/>
  <c r="BO35" i="7"/>
  <c r="AM35" i="7"/>
  <c r="DA34" i="7"/>
  <c r="A84" i="11"/>
  <c r="CZ35" i="7"/>
  <c r="CK35" i="7"/>
  <c r="CJ35" i="7"/>
  <c r="CA35" i="7"/>
  <c r="CP35" i="7"/>
  <c r="BX35" i="7"/>
  <c r="CI35" i="7"/>
  <c r="CY35" i="7"/>
  <c r="BU35" i="7"/>
  <c r="CU35" i="7"/>
  <c r="CO35" i="7"/>
  <c r="BT35" i="7"/>
  <c r="CN35" i="7"/>
  <c r="CD35" i="7"/>
  <c r="CT35" i="7"/>
  <c r="CB35" i="7"/>
  <c r="CM35" i="7"/>
  <c r="CC35" i="7"/>
  <c r="CL35" i="7"/>
  <c r="BY35" i="7"/>
  <c r="CS35" i="7"/>
  <c r="BV35" i="7"/>
  <c r="CR35" i="7"/>
  <c r="BW35" i="7"/>
  <c r="CH35" i="7"/>
  <c r="CX35" i="7"/>
  <c r="CE35" i="7"/>
  <c r="CQ35" i="7"/>
  <c r="CG35" i="7"/>
  <c r="DA35" i="7" s="1"/>
  <c r="CW35" i="7"/>
  <c r="CV35" i="7"/>
  <c r="BZ35" i="7"/>
  <c r="CF35" i="7"/>
  <c r="A45" i="10"/>
  <c r="AH35" i="7"/>
  <c r="AG35" i="7"/>
  <c r="AC35" i="7"/>
  <c r="Y35" i="7"/>
  <c r="U35" i="7"/>
  <c r="Q35" i="7"/>
  <c r="M35" i="7"/>
  <c r="I35" i="7"/>
  <c r="E35" i="7"/>
  <c r="AF35" i="7"/>
  <c r="AB35" i="7"/>
  <c r="X35" i="7"/>
  <c r="T35" i="7"/>
  <c r="P35" i="7"/>
  <c r="L35" i="7"/>
  <c r="H35" i="7"/>
  <c r="D35" i="7"/>
  <c r="AD35" i="7"/>
  <c r="V35" i="7"/>
  <c r="R35" i="7"/>
  <c r="J35" i="7"/>
  <c r="B35" i="7"/>
  <c r="AE35" i="7"/>
  <c r="AA35" i="7"/>
  <c r="W35" i="7"/>
  <c r="S35" i="7"/>
  <c r="O35" i="7"/>
  <c r="AI35" i="7" s="1"/>
  <c r="K35" i="7"/>
  <c r="G35" i="7"/>
  <c r="C35" i="7"/>
  <c r="Z35" i="7"/>
  <c r="N35" i="7"/>
  <c r="F35" i="7"/>
  <c r="BR34" i="7"/>
  <c r="AI34" i="7"/>
  <c r="A41" i="11" l="1"/>
  <c r="BQ36" i="7"/>
  <c r="BL36" i="7"/>
  <c r="AM36" i="7"/>
  <c r="BI36" i="7"/>
  <c r="BD36" i="7"/>
  <c r="AP36" i="7"/>
  <c r="BJ36" i="7"/>
  <c r="AR36" i="7"/>
  <c r="BG36" i="7"/>
  <c r="BH36" i="7"/>
  <c r="AT36" i="7"/>
  <c r="BM36" i="7"/>
  <c r="BP36" i="7"/>
  <c r="AX36" i="7"/>
  <c r="BN36" i="7"/>
  <c r="AL36" i="7"/>
  <c r="AU36" i="7"/>
  <c r="BK36" i="7"/>
  <c r="BC36" i="7"/>
  <c r="AO36" i="7"/>
  <c r="BA36" i="7"/>
  <c r="AS36" i="7"/>
  <c r="BB36" i="7"/>
  <c r="AW36" i="7"/>
  <c r="AN36" i="7"/>
  <c r="AY36" i="7"/>
  <c r="BO36" i="7"/>
  <c r="AZ36" i="7"/>
  <c r="AK36" i="7"/>
  <c r="BE36" i="7"/>
  <c r="AV36" i="7"/>
  <c r="BF36" i="7"/>
  <c r="AQ36" i="7"/>
  <c r="A85" i="11"/>
  <c r="CZ36" i="7"/>
  <c r="BT36" i="7"/>
  <c r="CN36" i="7"/>
  <c r="BU36" i="7"/>
  <c r="CQ36" i="7"/>
  <c r="CG36" i="7"/>
  <c r="CW36" i="7"/>
  <c r="CE36" i="7"/>
  <c r="CD36" i="7"/>
  <c r="CT36" i="7"/>
  <c r="BV36" i="7"/>
  <c r="CR36" i="7"/>
  <c r="CB36" i="7"/>
  <c r="CY36" i="7"/>
  <c r="CK36" i="7"/>
  <c r="CM36" i="7"/>
  <c r="BW36" i="7"/>
  <c r="CH36" i="7"/>
  <c r="CX36" i="7"/>
  <c r="CP36" i="7"/>
  <c r="CC36" i="7"/>
  <c r="CV36" i="7"/>
  <c r="CF36" i="7"/>
  <c r="CO36" i="7"/>
  <c r="CU36" i="7"/>
  <c r="BZ36" i="7"/>
  <c r="CL36" i="7"/>
  <c r="CJ36" i="7"/>
  <c r="CI36" i="7"/>
  <c r="BY36" i="7"/>
  <c r="CS36" i="7"/>
  <c r="BX36" i="7"/>
  <c r="CA36" i="7"/>
  <c r="A46" i="10"/>
  <c r="AH36" i="7"/>
  <c r="AG36" i="7"/>
  <c r="AC36" i="7"/>
  <c r="Y36" i="7"/>
  <c r="U36" i="7"/>
  <c r="Q36" i="7"/>
  <c r="M36" i="7"/>
  <c r="I36" i="7"/>
  <c r="E36" i="7"/>
  <c r="AF36" i="7"/>
  <c r="AB36" i="7"/>
  <c r="X36" i="7"/>
  <c r="T36" i="7"/>
  <c r="P36" i="7"/>
  <c r="L36" i="7"/>
  <c r="H36" i="7"/>
  <c r="D36" i="7"/>
  <c r="AD36" i="7"/>
  <c r="V36" i="7"/>
  <c r="R36" i="7"/>
  <c r="J36" i="7"/>
  <c r="F36" i="7"/>
  <c r="AE36" i="7"/>
  <c r="AA36" i="7"/>
  <c r="W36" i="7"/>
  <c r="S36" i="7"/>
  <c r="O36" i="7"/>
  <c r="K36" i="7"/>
  <c r="G36" i="7"/>
  <c r="C36" i="7"/>
  <c r="Z36" i="7"/>
  <c r="N36" i="7"/>
  <c r="B36" i="7"/>
  <c r="AI36" i="7" l="1"/>
  <c r="BR36" i="7"/>
  <c r="DA36" i="7"/>
  <c r="A42" i="11"/>
  <c r="BQ37" i="7"/>
  <c r="AS37" i="7"/>
  <c r="BD37" i="7"/>
  <c r="AU37" i="7"/>
  <c r="AT37" i="7"/>
  <c r="BM37" i="7"/>
  <c r="AY37" i="7"/>
  <c r="AX37" i="7"/>
  <c r="BN37" i="7"/>
  <c r="AR37" i="7"/>
  <c r="BI37" i="7"/>
  <c r="AQ37" i="7"/>
  <c r="AV37" i="7"/>
  <c r="BH37" i="7"/>
  <c r="BC37" i="7"/>
  <c r="BA37" i="7"/>
  <c r="BO37" i="7"/>
  <c r="BB37" i="7"/>
  <c r="AM37" i="7"/>
  <c r="BK37" i="7"/>
  <c r="AL37" i="7"/>
  <c r="AW37" i="7"/>
  <c r="BL37" i="7"/>
  <c r="AN37" i="7"/>
  <c r="BG37" i="7"/>
  <c r="AK37" i="7"/>
  <c r="BE37" i="7"/>
  <c r="BF37" i="7"/>
  <c r="AO37" i="7"/>
  <c r="AZ37" i="7"/>
  <c r="BP37" i="7"/>
  <c r="AP37" i="7"/>
  <c r="BJ37" i="7"/>
  <c r="A47" i="10"/>
  <c r="AH37" i="7"/>
  <c r="AG37" i="7"/>
  <c r="AC37" i="7"/>
  <c r="Y37" i="7"/>
  <c r="U37" i="7"/>
  <c r="Q37" i="7"/>
  <c r="M37" i="7"/>
  <c r="I37" i="7"/>
  <c r="E37" i="7"/>
  <c r="AF37" i="7"/>
  <c r="AB37" i="7"/>
  <c r="X37" i="7"/>
  <c r="T37" i="7"/>
  <c r="P37" i="7"/>
  <c r="L37" i="7"/>
  <c r="H37" i="7"/>
  <c r="D37" i="7"/>
  <c r="AD37" i="7"/>
  <c r="V37" i="7"/>
  <c r="R37" i="7"/>
  <c r="J37" i="7"/>
  <c r="F37" i="7"/>
  <c r="AE37" i="7"/>
  <c r="AA37" i="7"/>
  <c r="W37" i="7"/>
  <c r="S37" i="7"/>
  <c r="O37" i="7"/>
  <c r="K37" i="7"/>
  <c r="G37" i="7"/>
  <c r="C37" i="7"/>
  <c r="Z37" i="7"/>
  <c r="N37" i="7"/>
  <c r="B37" i="7"/>
  <c r="A86" i="11"/>
  <c r="CZ37" i="7"/>
  <c r="BX37" i="7"/>
  <c r="CI37" i="7"/>
  <c r="CY37" i="7"/>
  <c r="CA37" i="7"/>
  <c r="CJ37" i="7"/>
  <c r="CL37" i="7"/>
  <c r="CK37" i="7"/>
  <c r="CT37" i="7"/>
  <c r="CC37" i="7"/>
  <c r="CW37" i="7"/>
  <c r="CB37" i="7"/>
  <c r="CM37" i="7"/>
  <c r="CH37" i="7"/>
  <c r="BT37" i="7"/>
  <c r="CN37" i="7"/>
  <c r="CX37" i="7"/>
  <c r="CO37" i="7"/>
  <c r="BZ37" i="7"/>
  <c r="CV37" i="7"/>
  <c r="CE37" i="7"/>
  <c r="CQ37" i="7"/>
  <c r="BW37" i="7"/>
  <c r="CP37" i="7"/>
  <c r="BV37" i="7"/>
  <c r="CR37" i="7"/>
  <c r="BY37" i="7"/>
  <c r="CS37" i="7"/>
  <c r="BU37" i="7"/>
  <c r="CF37" i="7"/>
  <c r="CU37" i="7"/>
  <c r="CD37" i="7"/>
  <c r="CG37" i="7"/>
  <c r="DA37" i="7" l="1"/>
  <c r="A87" i="11"/>
  <c r="CZ38" i="7"/>
  <c r="CD38" i="7"/>
  <c r="CT38" i="7"/>
  <c r="CG38" i="7"/>
  <c r="DA38" i="7" s="1"/>
  <c r="BU38" i="7"/>
  <c r="CF38" i="7"/>
  <c r="CU38" i="7"/>
  <c r="CW38" i="7"/>
  <c r="BT38" i="7"/>
  <c r="CN38" i="7"/>
  <c r="CQ38" i="7"/>
  <c r="BW38" i="7"/>
  <c r="CH38" i="7"/>
  <c r="CX38" i="7"/>
  <c r="CO38" i="7"/>
  <c r="BX38" i="7"/>
  <c r="CI38" i="7"/>
  <c r="CY38" i="7"/>
  <c r="BV38" i="7"/>
  <c r="CR38" i="7"/>
  <c r="BZ38" i="7"/>
  <c r="CL38" i="7"/>
  <c r="CS38" i="7"/>
  <c r="CB38" i="7"/>
  <c r="CM38" i="7"/>
  <c r="BY38" i="7"/>
  <c r="CC38" i="7"/>
  <c r="CV38" i="7"/>
  <c r="CA38" i="7"/>
  <c r="CP38" i="7"/>
  <c r="CE38" i="7"/>
  <c r="CK38" i="7"/>
  <c r="CJ38" i="7"/>
  <c r="A48" i="10"/>
  <c r="AH38" i="7"/>
  <c r="AG38" i="7"/>
  <c r="AC38" i="7"/>
  <c r="Y38" i="7"/>
  <c r="U38" i="7"/>
  <c r="Q38" i="7"/>
  <c r="M38" i="7"/>
  <c r="I38" i="7"/>
  <c r="E38" i="7"/>
  <c r="AF38" i="7"/>
  <c r="AB38" i="7"/>
  <c r="X38" i="7"/>
  <c r="T38" i="7"/>
  <c r="P38" i="7"/>
  <c r="L38" i="7"/>
  <c r="H38" i="7"/>
  <c r="D38" i="7"/>
  <c r="AD38" i="7"/>
  <c r="V38" i="7"/>
  <c r="R38" i="7"/>
  <c r="J38" i="7"/>
  <c r="B38" i="7"/>
  <c r="AE38" i="7"/>
  <c r="AA38" i="7"/>
  <c r="W38" i="7"/>
  <c r="S38" i="7"/>
  <c r="O38" i="7"/>
  <c r="AI38" i="7" s="1"/>
  <c r="K38" i="7"/>
  <c r="G38" i="7"/>
  <c r="C38" i="7"/>
  <c r="Z38" i="7"/>
  <c r="N38" i="7"/>
  <c r="F38" i="7"/>
  <c r="AI37" i="7"/>
  <c r="BR37" i="7"/>
  <c r="A43" i="11"/>
  <c r="BQ38" i="7"/>
  <c r="BN38" i="7"/>
  <c r="AN38" i="7"/>
  <c r="AY38" i="7"/>
  <c r="BO38" i="7"/>
  <c r="BB38" i="7"/>
  <c r="AV38" i="7"/>
  <c r="BH38" i="7"/>
  <c r="BA38" i="7"/>
  <c r="BM38" i="7"/>
  <c r="AQ38" i="7"/>
  <c r="BC38" i="7"/>
  <c r="BJ38" i="7"/>
  <c r="AL38" i="7"/>
  <c r="AW38" i="7"/>
  <c r="BL38" i="7"/>
  <c r="AK38" i="7"/>
  <c r="BE38" i="7"/>
  <c r="AS38" i="7"/>
  <c r="AT38" i="7"/>
  <c r="AR38" i="7"/>
  <c r="BG38" i="7"/>
  <c r="AO38" i="7"/>
  <c r="AZ38" i="7"/>
  <c r="BP38" i="7"/>
  <c r="BF38" i="7"/>
  <c r="AM38" i="7"/>
  <c r="BI38" i="7"/>
  <c r="AX38" i="7"/>
  <c r="BR38" i="7" s="1"/>
  <c r="AU38" i="7"/>
  <c r="BK38" i="7"/>
  <c r="AP38" i="7"/>
  <c r="BD38" i="7"/>
  <c r="A44" i="11" l="1"/>
  <c r="BQ39" i="7"/>
  <c r="BF39" i="7"/>
  <c r="BM39" i="7"/>
  <c r="AQ39" i="7"/>
  <c r="BC39" i="7"/>
  <c r="BE39" i="7"/>
  <c r="AL39" i="7"/>
  <c r="AW39" i="7"/>
  <c r="BL39" i="7"/>
  <c r="AY39" i="7"/>
  <c r="AT39" i="7"/>
  <c r="AP39" i="7"/>
  <c r="BJ39" i="7"/>
  <c r="AR39" i="7"/>
  <c r="BG39" i="7"/>
  <c r="AO39" i="7"/>
  <c r="AZ39" i="7"/>
  <c r="BP39" i="7"/>
  <c r="BA39" i="7"/>
  <c r="BO39" i="7"/>
  <c r="BI39" i="7"/>
  <c r="AX39" i="7"/>
  <c r="BN39" i="7"/>
  <c r="AK39" i="7"/>
  <c r="AU39" i="7"/>
  <c r="BK39" i="7"/>
  <c r="AS39" i="7"/>
  <c r="BD39" i="7"/>
  <c r="BB39" i="7"/>
  <c r="AN39" i="7"/>
  <c r="AM39" i="7"/>
  <c r="AV39" i="7"/>
  <c r="BH39" i="7"/>
  <c r="A49" i="10"/>
  <c r="AH39" i="7"/>
  <c r="AG39" i="7"/>
  <c r="AC39" i="7"/>
  <c r="Y39" i="7"/>
  <c r="U39" i="7"/>
  <c r="Q39" i="7"/>
  <c r="M39" i="7"/>
  <c r="I39" i="7"/>
  <c r="E39" i="7"/>
  <c r="AF39" i="7"/>
  <c r="AB39" i="7"/>
  <c r="X39" i="7"/>
  <c r="T39" i="7"/>
  <c r="P39" i="7"/>
  <c r="L39" i="7"/>
  <c r="H39" i="7"/>
  <c r="D39" i="7"/>
  <c r="AD39" i="7"/>
  <c r="V39" i="7"/>
  <c r="R39" i="7"/>
  <c r="J39" i="7"/>
  <c r="F39" i="7"/>
  <c r="AE39" i="7"/>
  <c r="AA39" i="7"/>
  <c r="W39" i="7"/>
  <c r="S39" i="7"/>
  <c r="O39" i="7"/>
  <c r="K39" i="7"/>
  <c r="G39" i="7"/>
  <c r="C39" i="7"/>
  <c r="Z39" i="7"/>
  <c r="N39" i="7"/>
  <c r="B39" i="7"/>
  <c r="A88" i="11"/>
  <c r="CZ39" i="7"/>
  <c r="CC39" i="7"/>
  <c r="CK39" i="7"/>
  <c r="BV39" i="7"/>
  <c r="CA39" i="7"/>
  <c r="CP39" i="7"/>
  <c r="BX39" i="7"/>
  <c r="CI39" i="7"/>
  <c r="CY39" i="7"/>
  <c r="CN39" i="7"/>
  <c r="CO39" i="7"/>
  <c r="CJ39" i="7"/>
  <c r="CD39" i="7"/>
  <c r="CT39" i="7"/>
  <c r="CR39" i="7"/>
  <c r="CB39" i="7"/>
  <c r="CM39" i="7"/>
  <c r="BU39" i="7"/>
  <c r="CU39" i="7"/>
  <c r="BY39" i="7"/>
  <c r="CS39" i="7"/>
  <c r="CV39" i="7"/>
  <c r="BW39" i="7"/>
  <c r="CH39" i="7"/>
  <c r="CX39" i="7"/>
  <c r="CE39" i="7"/>
  <c r="CQ39" i="7"/>
  <c r="CG39" i="7"/>
  <c r="CW39" i="7"/>
  <c r="BT39" i="7"/>
  <c r="BZ39" i="7"/>
  <c r="CL39" i="7"/>
  <c r="CF39" i="7"/>
  <c r="DA39" i="7" l="1"/>
  <c r="A89" i="11"/>
  <c r="CZ40" i="7"/>
  <c r="CQ40" i="7"/>
  <c r="BT40" i="7"/>
  <c r="CN40" i="7"/>
  <c r="CB40" i="7"/>
  <c r="CG40" i="7"/>
  <c r="DA40" i="7" s="1"/>
  <c r="CW40" i="7"/>
  <c r="CD40" i="7"/>
  <c r="CT40" i="7"/>
  <c r="CS40" i="7"/>
  <c r="CP40" i="7"/>
  <c r="BV40" i="7"/>
  <c r="CR40" i="7"/>
  <c r="CI40" i="7"/>
  <c r="CK40" i="7"/>
  <c r="BW40" i="7"/>
  <c r="CH40" i="7"/>
  <c r="CX40" i="7"/>
  <c r="BX40" i="7"/>
  <c r="BY40" i="7"/>
  <c r="CU40" i="7"/>
  <c r="BU40" i="7"/>
  <c r="CC40" i="7"/>
  <c r="CV40" i="7"/>
  <c r="CM40" i="7"/>
  <c r="CO40" i="7"/>
  <c r="CE40" i="7"/>
  <c r="BZ40" i="7"/>
  <c r="CL40" i="7"/>
  <c r="CF40" i="7"/>
  <c r="CJ40" i="7"/>
  <c r="CY40" i="7"/>
  <c r="CA40" i="7"/>
  <c r="AI39" i="7"/>
  <c r="BR39" i="7"/>
  <c r="A45" i="11"/>
  <c r="BQ40" i="7"/>
  <c r="AZ40" i="7"/>
  <c r="AM40" i="7"/>
  <c r="BI40" i="7"/>
  <c r="BP40" i="7"/>
  <c r="AP40" i="7"/>
  <c r="BJ40" i="7"/>
  <c r="AR40" i="7"/>
  <c r="BG40" i="7"/>
  <c r="BD40" i="7"/>
  <c r="BH40" i="7"/>
  <c r="AT40" i="7"/>
  <c r="BM40" i="7"/>
  <c r="AS40" i="7"/>
  <c r="AX40" i="7"/>
  <c r="BR40" i="7" s="1"/>
  <c r="BN40" i="7"/>
  <c r="AO40" i="7"/>
  <c r="AU40" i="7"/>
  <c r="BK40" i="7"/>
  <c r="AQ40" i="7"/>
  <c r="BA40" i="7"/>
  <c r="AV40" i="7"/>
  <c r="BB40" i="7"/>
  <c r="AW40" i="7"/>
  <c r="AN40" i="7"/>
  <c r="AY40" i="7"/>
  <c r="BO40" i="7"/>
  <c r="AL40" i="7"/>
  <c r="AK40" i="7"/>
  <c r="BE40" i="7"/>
  <c r="BF40" i="7"/>
  <c r="BL40" i="7"/>
  <c r="BC40" i="7"/>
  <c r="A50" i="10"/>
  <c r="AH40" i="7"/>
  <c r="AG40" i="7"/>
  <c r="AC40" i="7"/>
  <c r="Y40" i="7"/>
  <c r="U40" i="7"/>
  <c r="Q40" i="7"/>
  <c r="M40" i="7"/>
  <c r="I40" i="7"/>
  <c r="E40" i="7"/>
  <c r="AF40" i="7"/>
  <c r="AB40" i="7"/>
  <c r="X40" i="7"/>
  <c r="T40" i="7"/>
  <c r="P40" i="7"/>
  <c r="L40" i="7"/>
  <c r="H40" i="7"/>
  <c r="D40" i="7"/>
  <c r="AD40" i="7"/>
  <c r="V40" i="7"/>
  <c r="R40" i="7"/>
  <c r="J40" i="7"/>
  <c r="F40" i="7"/>
  <c r="AE40" i="7"/>
  <c r="AA40" i="7"/>
  <c r="W40" i="7"/>
  <c r="S40" i="7"/>
  <c r="O40" i="7"/>
  <c r="AI40" i="7" s="1"/>
  <c r="K40" i="7"/>
  <c r="G40" i="7"/>
  <c r="C40" i="7"/>
  <c r="Z40" i="7"/>
  <c r="N40" i="7"/>
  <c r="B40" i="7"/>
  <c r="A51" i="10" l="1"/>
  <c r="AH41" i="7"/>
  <c r="AG41" i="7"/>
  <c r="AC41" i="7"/>
  <c r="Y41" i="7"/>
  <c r="U41" i="7"/>
  <c r="Q41" i="7"/>
  <c r="M41" i="7"/>
  <c r="I41" i="7"/>
  <c r="E41" i="7"/>
  <c r="AF41" i="7"/>
  <c r="AB41" i="7"/>
  <c r="X41" i="7"/>
  <c r="T41" i="7"/>
  <c r="P41" i="7"/>
  <c r="L41" i="7"/>
  <c r="H41" i="7"/>
  <c r="D41" i="7"/>
  <c r="AD41" i="7"/>
  <c r="V41" i="7"/>
  <c r="R41" i="7"/>
  <c r="J41" i="7"/>
  <c r="F41" i="7"/>
  <c r="AE41" i="7"/>
  <c r="AA41" i="7"/>
  <c r="W41" i="7"/>
  <c r="S41" i="7"/>
  <c r="O41" i="7"/>
  <c r="AI41" i="7" s="1"/>
  <c r="K41" i="7"/>
  <c r="G41" i="7"/>
  <c r="C41" i="7"/>
  <c r="Z41" i="7"/>
  <c r="N41" i="7"/>
  <c r="B41" i="7"/>
  <c r="A46" i="11"/>
  <c r="BQ41" i="7"/>
  <c r="AS41" i="7"/>
  <c r="BD41" i="7"/>
  <c r="BC41" i="7"/>
  <c r="AT41" i="7"/>
  <c r="BM41" i="7"/>
  <c r="AQ41" i="7"/>
  <c r="AX41" i="7"/>
  <c r="BR41" i="7" s="1"/>
  <c r="BN41" i="7"/>
  <c r="BI41" i="7"/>
  <c r="AP41" i="7"/>
  <c r="AV41" i="7"/>
  <c r="BH41" i="7"/>
  <c r="AN41" i="7"/>
  <c r="BG41" i="7"/>
  <c r="BA41" i="7"/>
  <c r="BK41" i="7"/>
  <c r="BB41" i="7"/>
  <c r="BJ41" i="7"/>
  <c r="AY41" i="7"/>
  <c r="AL41" i="7"/>
  <c r="AW41" i="7"/>
  <c r="BL41" i="7"/>
  <c r="AR41" i="7"/>
  <c r="AK41" i="7"/>
  <c r="BE41" i="7"/>
  <c r="BF41" i="7"/>
  <c r="BO41" i="7"/>
  <c r="AO41" i="7"/>
  <c r="AZ41" i="7"/>
  <c r="BP41" i="7"/>
  <c r="AU41" i="7"/>
  <c r="AM41" i="7"/>
  <c r="A90" i="11"/>
  <c r="CZ41" i="7"/>
  <c r="BX41" i="7"/>
  <c r="CI41" i="7"/>
  <c r="CY41" i="7"/>
  <c r="CA41" i="7"/>
  <c r="CJ41" i="7"/>
  <c r="BZ41" i="7"/>
  <c r="CK41" i="7"/>
  <c r="BW41" i="7"/>
  <c r="CB41" i="7"/>
  <c r="CM41" i="7"/>
  <c r="CL41" i="7"/>
  <c r="BT41" i="7"/>
  <c r="CN41" i="7"/>
  <c r="CH41" i="7"/>
  <c r="CO41" i="7"/>
  <c r="CV41" i="7"/>
  <c r="CW41" i="7"/>
  <c r="CD41" i="7"/>
  <c r="CE41" i="7"/>
  <c r="CQ41" i="7"/>
  <c r="CT41" i="7"/>
  <c r="BV41" i="7"/>
  <c r="CR41" i="7"/>
  <c r="CX41" i="7"/>
  <c r="BY41" i="7"/>
  <c r="CS41" i="7"/>
  <c r="CP41" i="7"/>
  <c r="BU41" i="7"/>
  <c r="CF41" i="7"/>
  <c r="CU41" i="7"/>
  <c r="CC41" i="7"/>
  <c r="CG41" i="7"/>
  <c r="DA41" i="7" s="1"/>
  <c r="A91" i="11" l="1"/>
  <c r="CZ42" i="7"/>
  <c r="BY42" i="7"/>
  <c r="CD42" i="7"/>
  <c r="CT42" i="7"/>
  <c r="CS42" i="7"/>
  <c r="BU42" i="7"/>
  <c r="CF42" i="7"/>
  <c r="CU42" i="7"/>
  <c r="CW42" i="7"/>
  <c r="BT42" i="7"/>
  <c r="CN42" i="7"/>
  <c r="CG42" i="7"/>
  <c r="CO42" i="7"/>
  <c r="BW42" i="7"/>
  <c r="CH42" i="7"/>
  <c r="CX42" i="7"/>
  <c r="BX42" i="7"/>
  <c r="CI42" i="7"/>
  <c r="CY42" i="7"/>
  <c r="BV42" i="7"/>
  <c r="CR42" i="7"/>
  <c r="CK42" i="7"/>
  <c r="BZ42" i="7"/>
  <c r="CL42" i="7"/>
  <c r="CB42" i="7"/>
  <c r="CM42" i="7"/>
  <c r="CC42" i="7"/>
  <c r="CV42" i="7"/>
  <c r="CA42" i="7"/>
  <c r="CP42" i="7"/>
  <c r="CE42" i="7"/>
  <c r="CQ42" i="7"/>
  <c r="CJ42" i="7"/>
  <c r="A52" i="10"/>
  <c r="AH42" i="7"/>
  <c r="AG42" i="7"/>
  <c r="AC42" i="7"/>
  <c r="Y42" i="7"/>
  <c r="U42" i="7"/>
  <c r="Q42" i="7"/>
  <c r="M42" i="7"/>
  <c r="I42" i="7"/>
  <c r="E42" i="7"/>
  <c r="AF42" i="7"/>
  <c r="AB42" i="7"/>
  <c r="X42" i="7"/>
  <c r="T42" i="7"/>
  <c r="P42" i="7"/>
  <c r="L42" i="7"/>
  <c r="H42" i="7"/>
  <c r="D42" i="7"/>
  <c r="AD42" i="7"/>
  <c r="V42" i="7"/>
  <c r="N42" i="7"/>
  <c r="J42" i="7"/>
  <c r="B42" i="7"/>
  <c r="AE42" i="7"/>
  <c r="AA42" i="7"/>
  <c r="W42" i="7"/>
  <c r="S42" i="7"/>
  <c r="O42" i="7"/>
  <c r="K42" i="7"/>
  <c r="G42" i="7"/>
  <c r="C42" i="7"/>
  <c r="Z42" i="7"/>
  <c r="R42" i="7"/>
  <c r="F42" i="7"/>
  <c r="A47" i="11"/>
  <c r="BQ42" i="7"/>
  <c r="BF42" i="7"/>
  <c r="AN42" i="7"/>
  <c r="AY42" i="7"/>
  <c r="BO42" i="7"/>
  <c r="BJ42" i="7"/>
  <c r="AV42" i="7"/>
  <c r="BH42" i="7"/>
  <c r="BA42" i="7"/>
  <c r="BM42" i="7"/>
  <c r="AQ42" i="7"/>
  <c r="BC42" i="7"/>
  <c r="AL42" i="7"/>
  <c r="AW42" i="7"/>
  <c r="BL42" i="7"/>
  <c r="AK42" i="7"/>
  <c r="BE42" i="7"/>
  <c r="BD42" i="7"/>
  <c r="AR42" i="7"/>
  <c r="BG42" i="7"/>
  <c r="AP42" i="7"/>
  <c r="AO42" i="7"/>
  <c r="AZ42" i="7"/>
  <c r="BP42" i="7"/>
  <c r="AX42" i="7"/>
  <c r="AM42" i="7"/>
  <c r="BI42" i="7"/>
  <c r="AU42" i="7"/>
  <c r="BK42" i="7"/>
  <c r="BB42" i="7"/>
  <c r="AS42" i="7"/>
  <c r="BN42" i="7"/>
  <c r="AT42" i="7"/>
  <c r="A53" i="10" l="1"/>
  <c r="A54" i="10" s="1"/>
  <c r="A55" i="10" s="1"/>
  <c r="A56" i="10" s="1"/>
  <c r="A57" i="10" s="1"/>
  <c r="A58" i="10" s="1"/>
  <c r="A59" i="10" s="1"/>
  <c r="A60" i="10" s="1"/>
  <c r="A61" i="10" s="1"/>
  <c r="A62" i="10" s="1"/>
  <c r="A63" i="10" s="1"/>
  <c r="A64" i="10" s="1"/>
  <c r="A65" i="10" s="1"/>
  <c r="A66" i="10" s="1"/>
  <c r="A67" i="10" s="1"/>
  <c r="A68" i="10" s="1"/>
  <c r="A69" i="10" s="1"/>
  <c r="A70" i="10" s="1"/>
  <c r="A71" i="10" s="1"/>
  <c r="A72" i="10" s="1"/>
  <c r="A73" i="10" s="1"/>
  <c r="A74" i="10" s="1"/>
  <c r="A75" i="10" s="1"/>
  <c r="A76" i="10" s="1"/>
  <c r="A77" i="10" s="1"/>
  <c r="A78" i="10" s="1"/>
  <c r="A79" i="10" s="1"/>
  <c r="A80" i="10" s="1"/>
  <c r="A81" i="10" s="1"/>
  <c r="A82" i="10" s="1"/>
  <c r="A83" i="10" s="1"/>
  <c r="A84" i="10" s="1"/>
  <c r="A85" i="10" s="1"/>
  <c r="A86" i="10" s="1"/>
  <c r="A87" i="10" s="1"/>
  <c r="A88" i="10" s="1"/>
  <c r="A89" i="10" s="1"/>
  <c r="A90" i="10" s="1"/>
  <c r="A91" i="10" s="1"/>
  <c r="A92" i="10" s="1"/>
  <c r="A93" i="10" s="1"/>
  <c r="A94" i="10" s="1"/>
  <c r="A95" i="10" s="1"/>
  <c r="A96" i="10" s="1"/>
  <c r="A97" i="10" s="1"/>
  <c r="A98" i="10" s="1"/>
  <c r="A99" i="10" s="1"/>
  <c r="A100" i="10" s="1"/>
  <c r="A101" i="10" s="1"/>
  <c r="A102" i="10" s="1"/>
  <c r="A103" i="10" s="1"/>
  <c r="A104" i="10" s="1"/>
  <c r="A105" i="10" s="1"/>
  <c r="A106" i="10" s="1"/>
  <c r="A107" i="10" s="1"/>
  <c r="A108" i="10" s="1"/>
  <c r="A109" i="10" s="1"/>
  <c r="A110" i="10" s="1"/>
  <c r="A111" i="10" s="1"/>
  <c r="A112" i="10" s="1"/>
  <c r="A113" i="10" s="1"/>
  <c r="A114" i="10" s="1"/>
  <c r="A115" i="10" s="1"/>
  <c r="A116" i="10" s="1"/>
  <c r="A117" i="10" s="1"/>
  <c r="A118" i="10" s="1"/>
  <c r="A119" i="10" s="1"/>
  <c r="A120" i="10" s="1"/>
  <c r="A121" i="10" s="1"/>
  <c r="A122" i="10" s="1"/>
  <c r="A123" i="10" s="1"/>
  <c r="A124" i="10" s="1"/>
  <c r="A125" i="10" s="1"/>
  <c r="A126" i="10" s="1"/>
  <c r="A127" i="10" s="1"/>
  <c r="A128" i="10" s="1"/>
  <c r="A129" i="10" s="1"/>
  <c r="A130" i="10" s="1"/>
  <c r="A131" i="10" s="1"/>
  <c r="A132" i="10" s="1"/>
  <c r="A133" i="10" s="1"/>
  <c r="A134" i="10" s="1"/>
  <c r="A135" i="10" s="1"/>
  <c r="A136" i="10" s="1"/>
  <c r="A137" i="10" s="1"/>
  <c r="A138" i="10" s="1"/>
  <c r="A139" i="10" s="1"/>
  <c r="A140" i="10" s="1"/>
  <c r="A141" i="10" s="1"/>
  <c r="A142" i="10" s="1"/>
  <c r="A143" i="10" s="1"/>
  <c r="A144" i="10" s="1"/>
  <c r="A145" i="10" s="1"/>
  <c r="A146" i="10" s="1"/>
  <c r="A147" i="10" s="1"/>
  <c r="A148" i="10" s="1"/>
  <c r="A149" i="10" s="1"/>
  <c r="A150" i="10" s="1"/>
  <c r="A151" i="10" s="1"/>
  <c r="A152" i="10" s="1"/>
  <c r="A153" i="10" s="1"/>
  <c r="A154" i="10" s="1"/>
  <c r="A155" i="10" s="1"/>
  <c r="A156" i="10" s="1"/>
  <c r="A157" i="10" s="1"/>
  <c r="A158" i="10" s="1"/>
  <c r="A159" i="10" s="1"/>
  <c r="A160" i="10" s="1"/>
  <c r="A161" i="10" s="1"/>
  <c r="A162" i="10" s="1"/>
  <c r="AH43" i="7"/>
  <c r="AH44" i="7" s="1"/>
  <c r="AH45" i="7" s="1"/>
  <c r="AH46" i="7" s="1"/>
  <c r="AG43" i="7"/>
  <c r="AG44" i="7" s="1"/>
  <c r="AG45" i="7" s="1"/>
  <c r="AG46" i="7" s="1"/>
  <c r="AG47" i="7" s="1"/>
  <c r="AG48" i="7" s="1"/>
  <c r="AG49" i="7" s="1"/>
  <c r="AG50" i="7" s="1"/>
  <c r="AG51" i="7" s="1"/>
  <c r="AG52" i="7" s="1"/>
  <c r="AG53" i="7" s="1"/>
  <c r="AG54" i="7" s="1"/>
  <c r="AG55" i="7" s="1"/>
  <c r="AG56" i="7" s="1"/>
  <c r="AG57" i="7" s="1"/>
  <c r="AG58" i="7" s="1"/>
  <c r="AG59" i="7" s="1"/>
  <c r="AG60" i="7" s="1"/>
  <c r="AG61" i="7" s="1"/>
  <c r="AG62" i="7" s="1"/>
  <c r="AG63" i="7" s="1"/>
  <c r="AG64" i="7" s="1"/>
  <c r="AG65" i="7" s="1"/>
  <c r="AG66" i="7" s="1"/>
  <c r="AG67" i="7" s="1"/>
  <c r="AG68" i="7" s="1"/>
  <c r="AG69" i="7" s="1"/>
  <c r="AG70" i="7" s="1"/>
  <c r="AG71" i="7" s="1"/>
  <c r="AG72" i="7" s="1"/>
  <c r="AG73" i="7" s="1"/>
  <c r="AC43" i="7"/>
  <c r="AC44" i="7" s="1"/>
  <c r="AC45" i="7" s="1"/>
  <c r="AC46" i="7" s="1"/>
  <c r="AC47" i="7" s="1"/>
  <c r="AC48" i="7" s="1"/>
  <c r="AC49" i="7" s="1"/>
  <c r="AC50" i="7" s="1"/>
  <c r="AC51" i="7" s="1"/>
  <c r="AC52" i="7" s="1"/>
  <c r="AC53" i="7" s="1"/>
  <c r="AC54" i="7" s="1"/>
  <c r="AC55" i="7" s="1"/>
  <c r="AC56" i="7" s="1"/>
  <c r="AC57" i="7" s="1"/>
  <c r="AC58" i="7" s="1"/>
  <c r="AC59" i="7" s="1"/>
  <c r="AC60" i="7" s="1"/>
  <c r="AC61" i="7" s="1"/>
  <c r="AC62" i="7" s="1"/>
  <c r="AC63" i="7" s="1"/>
  <c r="AC64" i="7" s="1"/>
  <c r="AC65" i="7" s="1"/>
  <c r="AC66" i="7" s="1"/>
  <c r="AC67" i="7" s="1"/>
  <c r="AC68" i="7" s="1"/>
  <c r="AC69" i="7" s="1"/>
  <c r="AC70" i="7" s="1"/>
  <c r="AC71" i="7" s="1"/>
  <c r="AC72" i="7" s="1"/>
  <c r="AC73" i="7" s="1"/>
  <c r="Y43" i="7"/>
  <c r="Y44" i="7" s="1"/>
  <c r="Y45" i="7" s="1"/>
  <c r="Y46" i="7" s="1"/>
  <c r="Y47" i="7" s="1"/>
  <c r="Y48" i="7" s="1"/>
  <c r="Y49" i="7" s="1"/>
  <c r="Y50" i="7" s="1"/>
  <c r="Y51" i="7" s="1"/>
  <c r="Y52" i="7" s="1"/>
  <c r="Y53" i="7" s="1"/>
  <c r="Y54" i="7" s="1"/>
  <c r="Y55" i="7" s="1"/>
  <c r="Y56" i="7" s="1"/>
  <c r="Y57" i="7" s="1"/>
  <c r="Y58" i="7" s="1"/>
  <c r="Y59" i="7" s="1"/>
  <c r="Y60" i="7" s="1"/>
  <c r="Y61" i="7" s="1"/>
  <c r="Y62" i="7" s="1"/>
  <c r="Y63" i="7" s="1"/>
  <c r="Y64" i="7" s="1"/>
  <c r="Y65" i="7" s="1"/>
  <c r="Y66" i="7" s="1"/>
  <c r="Y67" i="7" s="1"/>
  <c r="Y68" i="7" s="1"/>
  <c r="Y69" i="7" s="1"/>
  <c r="Y70" i="7" s="1"/>
  <c r="Y71" i="7" s="1"/>
  <c r="Y72" i="7" s="1"/>
  <c r="Y73" i="7" s="1"/>
  <c r="U43" i="7"/>
  <c r="U44" i="7" s="1"/>
  <c r="U45" i="7" s="1"/>
  <c r="U46" i="7" s="1"/>
  <c r="U47" i="7" s="1"/>
  <c r="U48" i="7" s="1"/>
  <c r="U49" i="7" s="1"/>
  <c r="U50" i="7" s="1"/>
  <c r="U51" i="7" s="1"/>
  <c r="U52" i="7" s="1"/>
  <c r="U53" i="7" s="1"/>
  <c r="U54" i="7" s="1"/>
  <c r="U55" i="7" s="1"/>
  <c r="U56" i="7" s="1"/>
  <c r="U57" i="7" s="1"/>
  <c r="U58" i="7" s="1"/>
  <c r="U59" i="7" s="1"/>
  <c r="U60" i="7" s="1"/>
  <c r="U61" i="7" s="1"/>
  <c r="U62" i="7" s="1"/>
  <c r="U63" i="7" s="1"/>
  <c r="U64" i="7" s="1"/>
  <c r="U65" i="7" s="1"/>
  <c r="U66" i="7" s="1"/>
  <c r="U67" i="7" s="1"/>
  <c r="U68" i="7" s="1"/>
  <c r="U69" i="7" s="1"/>
  <c r="U70" i="7" s="1"/>
  <c r="U71" i="7" s="1"/>
  <c r="U72" i="7" s="1"/>
  <c r="U73" i="7" s="1"/>
  <c r="Q43" i="7"/>
  <c r="Q44" i="7" s="1"/>
  <c r="Q45" i="7" s="1"/>
  <c r="Q46" i="7" s="1"/>
  <c r="Q47" i="7" s="1"/>
  <c r="Q48" i="7" s="1"/>
  <c r="Q49" i="7" s="1"/>
  <c r="Q50" i="7" s="1"/>
  <c r="Q51" i="7" s="1"/>
  <c r="Q52" i="7" s="1"/>
  <c r="Q53" i="7" s="1"/>
  <c r="Q54" i="7" s="1"/>
  <c r="Q55" i="7" s="1"/>
  <c r="Q56" i="7" s="1"/>
  <c r="Q57" i="7" s="1"/>
  <c r="Q58" i="7" s="1"/>
  <c r="Q59" i="7" s="1"/>
  <c r="Q60" i="7" s="1"/>
  <c r="Q61" i="7" s="1"/>
  <c r="Q62" i="7" s="1"/>
  <c r="Q63" i="7" s="1"/>
  <c r="Q64" i="7" s="1"/>
  <c r="Q65" i="7" s="1"/>
  <c r="Q66" i="7" s="1"/>
  <c r="Q67" i="7" s="1"/>
  <c r="Q68" i="7" s="1"/>
  <c r="Q69" i="7" s="1"/>
  <c r="Q70" i="7" s="1"/>
  <c r="Q71" i="7" s="1"/>
  <c r="Q72" i="7" s="1"/>
  <c r="Q73" i="7" s="1"/>
  <c r="M43" i="7"/>
  <c r="M44" i="7" s="1"/>
  <c r="M45" i="7" s="1"/>
  <c r="M46" i="7" s="1"/>
  <c r="M47" i="7" s="1"/>
  <c r="M48" i="7" s="1"/>
  <c r="M49" i="7" s="1"/>
  <c r="M50" i="7" s="1"/>
  <c r="M51" i="7" s="1"/>
  <c r="M52" i="7" s="1"/>
  <c r="M53" i="7" s="1"/>
  <c r="M54" i="7" s="1"/>
  <c r="M55" i="7" s="1"/>
  <c r="M56" i="7" s="1"/>
  <c r="M57" i="7" s="1"/>
  <c r="M58" i="7" s="1"/>
  <c r="M59" i="7" s="1"/>
  <c r="M60" i="7" s="1"/>
  <c r="M61" i="7" s="1"/>
  <c r="M62" i="7" s="1"/>
  <c r="M63" i="7" s="1"/>
  <c r="M64" i="7" s="1"/>
  <c r="M65" i="7" s="1"/>
  <c r="M66" i="7" s="1"/>
  <c r="M67" i="7" s="1"/>
  <c r="M68" i="7" s="1"/>
  <c r="M69" i="7" s="1"/>
  <c r="M70" i="7" s="1"/>
  <c r="M71" i="7" s="1"/>
  <c r="M72" i="7" s="1"/>
  <c r="M73" i="7" s="1"/>
  <c r="I43" i="7"/>
  <c r="I44" i="7" s="1"/>
  <c r="I45" i="7" s="1"/>
  <c r="I46" i="7" s="1"/>
  <c r="I47" i="7" s="1"/>
  <c r="I48" i="7" s="1"/>
  <c r="I49" i="7" s="1"/>
  <c r="I50" i="7" s="1"/>
  <c r="I51" i="7" s="1"/>
  <c r="I52" i="7" s="1"/>
  <c r="I53" i="7" s="1"/>
  <c r="I54" i="7" s="1"/>
  <c r="I55" i="7" s="1"/>
  <c r="I56" i="7" s="1"/>
  <c r="I57" i="7" s="1"/>
  <c r="I58" i="7" s="1"/>
  <c r="I59" i="7" s="1"/>
  <c r="I60" i="7" s="1"/>
  <c r="I61" i="7" s="1"/>
  <c r="I62" i="7" s="1"/>
  <c r="I63" i="7" s="1"/>
  <c r="I64" i="7" s="1"/>
  <c r="I65" i="7" s="1"/>
  <c r="I66" i="7" s="1"/>
  <c r="I67" i="7" s="1"/>
  <c r="I68" i="7" s="1"/>
  <c r="I69" i="7" s="1"/>
  <c r="I70" i="7" s="1"/>
  <c r="I71" i="7" s="1"/>
  <c r="I72" i="7" s="1"/>
  <c r="I73" i="7" s="1"/>
  <c r="E43" i="7"/>
  <c r="E44" i="7" s="1"/>
  <c r="E45" i="7" s="1"/>
  <c r="E46" i="7" s="1"/>
  <c r="E47" i="7" s="1"/>
  <c r="E48" i="7" s="1"/>
  <c r="E49" i="7" s="1"/>
  <c r="E50" i="7" s="1"/>
  <c r="E51" i="7" s="1"/>
  <c r="E52" i="7" s="1"/>
  <c r="E53" i="7" s="1"/>
  <c r="E54" i="7" s="1"/>
  <c r="E55" i="7" s="1"/>
  <c r="E56" i="7" s="1"/>
  <c r="E57" i="7" s="1"/>
  <c r="E58" i="7" s="1"/>
  <c r="E59" i="7" s="1"/>
  <c r="E60" i="7" s="1"/>
  <c r="E61" i="7" s="1"/>
  <c r="E62" i="7" s="1"/>
  <c r="E63" i="7" s="1"/>
  <c r="E64" i="7" s="1"/>
  <c r="E65" i="7" s="1"/>
  <c r="E66" i="7" s="1"/>
  <c r="E67" i="7" s="1"/>
  <c r="E68" i="7" s="1"/>
  <c r="E69" i="7" s="1"/>
  <c r="E70" i="7" s="1"/>
  <c r="E71" i="7" s="1"/>
  <c r="E72" i="7" s="1"/>
  <c r="E73" i="7" s="1"/>
  <c r="AF43" i="7"/>
  <c r="AF44" i="7" s="1"/>
  <c r="AF45" i="7" s="1"/>
  <c r="AF46" i="7" s="1"/>
  <c r="AF47" i="7" s="1"/>
  <c r="AF48" i="7" s="1"/>
  <c r="AF49" i="7" s="1"/>
  <c r="AF50" i="7" s="1"/>
  <c r="AF51" i="7" s="1"/>
  <c r="AF52" i="7" s="1"/>
  <c r="AF53" i="7" s="1"/>
  <c r="AF54" i="7" s="1"/>
  <c r="AF55" i="7" s="1"/>
  <c r="AF56" i="7" s="1"/>
  <c r="AF57" i="7" s="1"/>
  <c r="AF58" i="7" s="1"/>
  <c r="AF59" i="7" s="1"/>
  <c r="AF60" i="7" s="1"/>
  <c r="AF61" i="7" s="1"/>
  <c r="AF62" i="7" s="1"/>
  <c r="AF63" i="7" s="1"/>
  <c r="AF64" i="7" s="1"/>
  <c r="AF65" i="7" s="1"/>
  <c r="AF66" i="7" s="1"/>
  <c r="AF67" i="7" s="1"/>
  <c r="AF68" i="7" s="1"/>
  <c r="AF69" i="7" s="1"/>
  <c r="AF70" i="7" s="1"/>
  <c r="AF71" i="7" s="1"/>
  <c r="AF72" i="7" s="1"/>
  <c r="AF73" i="7" s="1"/>
  <c r="AB43" i="7"/>
  <c r="AB44" i="7" s="1"/>
  <c r="AB45" i="7" s="1"/>
  <c r="AB46" i="7" s="1"/>
  <c r="AB47" i="7" s="1"/>
  <c r="AB48" i="7" s="1"/>
  <c r="AB49" i="7" s="1"/>
  <c r="AB50" i="7" s="1"/>
  <c r="AB51" i="7" s="1"/>
  <c r="AB52" i="7" s="1"/>
  <c r="AB53" i="7" s="1"/>
  <c r="AB54" i="7" s="1"/>
  <c r="AB55" i="7" s="1"/>
  <c r="AB56" i="7" s="1"/>
  <c r="AB57" i="7" s="1"/>
  <c r="AB58" i="7" s="1"/>
  <c r="AB59" i="7" s="1"/>
  <c r="AB60" i="7" s="1"/>
  <c r="AB61" i="7" s="1"/>
  <c r="AB62" i="7" s="1"/>
  <c r="AB63" i="7" s="1"/>
  <c r="AB64" i="7" s="1"/>
  <c r="AB65" i="7" s="1"/>
  <c r="AB66" i="7" s="1"/>
  <c r="AB67" i="7" s="1"/>
  <c r="AB68" i="7" s="1"/>
  <c r="AB69" i="7" s="1"/>
  <c r="AB70" i="7" s="1"/>
  <c r="AB71" i="7" s="1"/>
  <c r="AB72" i="7" s="1"/>
  <c r="AB73" i="7" s="1"/>
  <c r="X43" i="7"/>
  <c r="X44" i="7" s="1"/>
  <c r="X45" i="7" s="1"/>
  <c r="X46" i="7" s="1"/>
  <c r="X47" i="7" s="1"/>
  <c r="X48" i="7" s="1"/>
  <c r="X49" i="7" s="1"/>
  <c r="X50" i="7" s="1"/>
  <c r="X51" i="7" s="1"/>
  <c r="X52" i="7" s="1"/>
  <c r="X53" i="7" s="1"/>
  <c r="X54" i="7" s="1"/>
  <c r="X55" i="7" s="1"/>
  <c r="X56" i="7" s="1"/>
  <c r="X57" i="7" s="1"/>
  <c r="X58" i="7" s="1"/>
  <c r="X59" i="7" s="1"/>
  <c r="X60" i="7" s="1"/>
  <c r="X61" i="7" s="1"/>
  <c r="X62" i="7" s="1"/>
  <c r="X63" i="7" s="1"/>
  <c r="X64" i="7" s="1"/>
  <c r="X65" i="7" s="1"/>
  <c r="X66" i="7" s="1"/>
  <c r="X67" i="7" s="1"/>
  <c r="X68" i="7" s="1"/>
  <c r="X69" i="7" s="1"/>
  <c r="X70" i="7" s="1"/>
  <c r="X71" i="7" s="1"/>
  <c r="X72" i="7" s="1"/>
  <c r="X73" i="7" s="1"/>
  <c r="T43" i="7"/>
  <c r="T44" i="7" s="1"/>
  <c r="T45" i="7" s="1"/>
  <c r="T46" i="7" s="1"/>
  <c r="T47" i="7" s="1"/>
  <c r="T48" i="7" s="1"/>
  <c r="T49" i="7" s="1"/>
  <c r="T50" i="7" s="1"/>
  <c r="T51" i="7" s="1"/>
  <c r="T52" i="7" s="1"/>
  <c r="T53" i="7" s="1"/>
  <c r="T54" i="7" s="1"/>
  <c r="T55" i="7" s="1"/>
  <c r="T56" i="7" s="1"/>
  <c r="T57" i="7" s="1"/>
  <c r="T58" i="7" s="1"/>
  <c r="T59" i="7" s="1"/>
  <c r="T60" i="7" s="1"/>
  <c r="T61" i="7" s="1"/>
  <c r="T62" i="7" s="1"/>
  <c r="T63" i="7" s="1"/>
  <c r="T64" i="7" s="1"/>
  <c r="T65" i="7" s="1"/>
  <c r="T66" i="7" s="1"/>
  <c r="T67" i="7" s="1"/>
  <c r="T68" i="7" s="1"/>
  <c r="T69" i="7" s="1"/>
  <c r="T70" i="7" s="1"/>
  <c r="T71" i="7" s="1"/>
  <c r="T72" i="7" s="1"/>
  <c r="T73" i="7" s="1"/>
  <c r="P43" i="7"/>
  <c r="P44" i="7" s="1"/>
  <c r="P45" i="7" s="1"/>
  <c r="P46" i="7" s="1"/>
  <c r="P47" i="7" s="1"/>
  <c r="P48" i="7" s="1"/>
  <c r="P49" i="7" s="1"/>
  <c r="P50" i="7" s="1"/>
  <c r="P51" i="7" s="1"/>
  <c r="P52" i="7" s="1"/>
  <c r="P53" i="7" s="1"/>
  <c r="P54" i="7" s="1"/>
  <c r="P55" i="7" s="1"/>
  <c r="P56" i="7" s="1"/>
  <c r="P57" i="7" s="1"/>
  <c r="P58" i="7" s="1"/>
  <c r="P59" i="7" s="1"/>
  <c r="P60" i="7" s="1"/>
  <c r="P61" i="7" s="1"/>
  <c r="P62" i="7" s="1"/>
  <c r="P63" i="7" s="1"/>
  <c r="P64" i="7" s="1"/>
  <c r="P65" i="7" s="1"/>
  <c r="P66" i="7" s="1"/>
  <c r="P67" i="7" s="1"/>
  <c r="P68" i="7" s="1"/>
  <c r="P69" i="7" s="1"/>
  <c r="P70" i="7" s="1"/>
  <c r="P71" i="7" s="1"/>
  <c r="P72" i="7" s="1"/>
  <c r="P73" i="7" s="1"/>
  <c r="L43" i="7"/>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L67" i="7" s="1"/>
  <c r="L68" i="7" s="1"/>
  <c r="L69" i="7" s="1"/>
  <c r="L70" i="7" s="1"/>
  <c r="L71" i="7" s="1"/>
  <c r="L72" i="7" s="1"/>
  <c r="L73" i="7" s="1"/>
  <c r="H43" i="7"/>
  <c r="H44" i="7" s="1"/>
  <c r="H45" i="7" s="1"/>
  <c r="H46" i="7" s="1"/>
  <c r="H47" i="7" s="1"/>
  <c r="H48" i="7" s="1"/>
  <c r="H49" i="7" s="1"/>
  <c r="H50" i="7" s="1"/>
  <c r="H51" i="7" s="1"/>
  <c r="H52" i="7" s="1"/>
  <c r="H53" i="7" s="1"/>
  <c r="H54" i="7" s="1"/>
  <c r="H55" i="7" s="1"/>
  <c r="H56" i="7" s="1"/>
  <c r="H57" i="7" s="1"/>
  <c r="H58" i="7" s="1"/>
  <c r="H59" i="7" s="1"/>
  <c r="H60" i="7" s="1"/>
  <c r="H61" i="7" s="1"/>
  <c r="H62" i="7" s="1"/>
  <c r="H63" i="7" s="1"/>
  <c r="H64" i="7" s="1"/>
  <c r="H65" i="7" s="1"/>
  <c r="H66" i="7" s="1"/>
  <c r="H67" i="7" s="1"/>
  <c r="H68" i="7" s="1"/>
  <c r="H69" i="7" s="1"/>
  <c r="H70" i="7" s="1"/>
  <c r="H71" i="7" s="1"/>
  <c r="H72" i="7" s="1"/>
  <c r="H73" i="7" s="1"/>
  <c r="D43" i="7"/>
  <c r="D44" i="7" s="1"/>
  <c r="D45" i="7" s="1"/>
  <c r="D46" i="7" s="1"/>
  <c r="D47" i="7" s="1"/>
  <c r="D48" i="7" s="1"/>
  <c r="D49" i="7" s="1"/>
  <c r="D50" i="7" s="1"/>
  <c r="D51" i="7" s="1"/>
  <c r="D52" i="7" s="1"/>
  <c r="D53" i="7" s="1"/>
  <c r="D54" i="7" s="1"/>
  <c r="D55" i="7" s="1"/>
  <c r="D56" i="7" s="1"/>
  <c r="D57" i="7" s="1"/>
  <c r="D58" i="7" s="1"/>
  <c r="D59" i="7" s="1"/>
  <c r="D60" i="7" s="1"/>
  <c r="D61" i="7" s="1"/>
  <c r="D62" i="7" s="1"/>
  <c r="D63" i="7" s="1"/>
  <c r="D64" i="7" s="1"/>
  <c r="D65" i="7" s="1"/>
  <c r="D66" i="7" s="1"/>
  <c r="D67" i="7" s="1"/>
  <c r="D68" i="7" s="1"/>
  <c r="D69" i="7" s="1"/>
  <c r="D70" i="7" s="1"/>
  <c r="D71" i="7" s="1"/>
  <c r="D72" i="7" s="1"/>
  <c r="D73" i="7" s="1"/>
  <c r="F43" i="7"/>
  <c r="F44" i="7" s="1"/>
  <c r="F45" i="7" s="1"/>
  <c r="F46" i="7" s="1"/>
  <c r="F47" i="7" s="1"/>
  <c r="F48" i="7" s="1"/>
  <c r="F49" i="7" s="1"/>
  <c r="F50" i="7" s="1"/>
  <c r="F51" i="7" s="1"/>
  <c r="F52" i="7" s="1"/>
  <c r="F53" i="7" s="1"/>
  <c r="F54" i="7" s="1"/>
  <c r="F55" i="7" s="1"/>
  <c r="F56" i="7" s="1"/>
  <c r="F57" i="7" s="1"/>
  <c r="F58" i="7" s="1"/>
  <c r="F59" i="7" s="1"/>
  <c r="F60" i="7" s="1"/>
  <c r="F61" i="7" s="1"/>
  <c r="F62" i="7" s="1"/>
  <c r="F63" i="7" s="1"/>
  <c r="F64" i="7" s="1"/>
  <c r="F65" i="7" s="1"/>
  <c r="F66" i="7" s="1"/>
  <c r="F67" i="7" s="1"/>
  <c r="F68" i="7" s="1"/>
  <c r="F69" i="7" s="1"/>
  <c r="F70" i="7" s="1"/>
  <c r="F71" i="7" s="1"/>
  <c r="F72" i="7" s="1"/>
  <c r="F73" i="7" s="1"/>
  <c r="AE43" i="7"/>
  <c r="AE44" i="7" s="1"/>
  <c r="AE45" i="7" s="1"/>
  <c r="AE46" i="7" s="1"/>
  <c r="AE47" i="7" s="1"/>
  <c r="AE48" i="7" s="1"/>
  <c r="AE49" i="7" s="1"/>
  <c r="AE50" i="7" s="1"/>
  <c r="AE51" i="7" s="1"/>
  <c r="AE52" i="7" s="1"/>
  <c r="AE53" i="7" s="1"/>
  <c r="AE54" i="7" s="1"/>
  <c r="AE55" i="7" s="1"/>
  <c r="AE56" i="7" s="1"/>
  <c r="AE57" i="7" s="1"/>
  <c r="AE58" i="7" s="1"/>
  <c r="AE59" i="7" s="1"/>
  <c r="AE60" i="7" s="1"/>
  <c r="AE61" i="7" s="1"/>
  <c r="AE62" i="7" s="1"/>
  <c r="AE63" i="7" s="1"/>
  <c r="AE64" i="7" s="1"/>
  <c r="AE65" i="7" s="1"/>
  <c r="AE66" i="7" s="1"/>
  <c r="AE67" i="7" s="1"/>
  <c r="AE68" i="7" s="1"/>
  <c r="AE69" i="7" s="1"/>
  <c r="AE70" i="7" s="1"/>
  <c r="AE71" i="7" s="1"/>
  <c r="AE72" i="7" s="1"/>
  <c r="AE73" i="7" s="1"/>
  <c r="AA43" i="7"/>
  <c r="AA44" i="7" s="1"/>
  <c r="AA45" i="7" s="1"/>
  <c r="AA46" i="7" s="1"/>
  <c r="AA47" i="7" s="1"/>
  <c r="AA48" i="7" s="1"/>
  <c r="AA49" i="7" s="1"/>
  <c r="AA50" i="7" s="1"/>
  <c r="AA51" i="7" s="1"/>
  <c r="AA52" i="7" s="1"/>
  <c r="AA53" i="7" s="1"/>
  <c r="AA54" i="7" s="1"/>
  <c r="AA55" i="7" s="1"/>
  <c r="AA56" i="7" s="1"/>
  <c r="AA57" i="7" s="1"/>
  <c r="AA58" i="7" s="1"/>
  <c r="AA59" i="7" s="1"/>
  <c r="AA60" i="7" s="1"/>
  <c r="AA61" i="7" s="1"/>
  <c r="AA62" i="7" s="1"/>
  <c r="AA63" i="7" s="1"/>
  <c r="AA64" i="7" s="1"/>
  <c r="AA65" i="7" s="1"/>
  <c r="AA66" i="7" s="1"/>
  <c r="AA67" i="7" s="1"/>
  <c r="AA68" i="7" s="1"/>
  <c r="AA69" i="7" s="1"/>
  <c r="AA70" i="7" s="1"/>
  <c r="AA71" i="7" s="1"/>
  <c r="AA72" i="7" s="1"/>
  <c r="AA73" i="7" s="1"/>
  <c r="W43" i="7"/>
  <c r="W44" i="7" s="1"/>
  <c r="W45" i="7" s="1"/>
  <c r="W46" i="7" s="1"/>
  <c r="W47" i="7" s="1"/>
  <c r="W48" i="7" s="1"/>
  <c r="W49" i="7" s="1"/>
  <c r="W50" i="7" s="1"/>
  <c r="W51" i="7" s="1"/>
  <c r="W52" i="7" s="1"/>
  <c r="W53" i="7" s="1"/>
  <c r="W54" i="7" s="1"/>
  <c r="W55" i="7" s="1"/>
  <c r="W56" i="7" s="1"/>
  <c r="W57" i="7" s="1"/>
  <c r="W58" i="7" s="1"/>
  <c r="W59" i="7" s="1"/>
  <c r="W60" i="7" s="1"/>
  <c r="W61" i="7" s="1"/>
  <c r="W62" i="7" s="1"/>
  <c r="W63" i="7" s="1"/>
  <c r="W64" i="7" s="1"/>
  <c r="W65" i="7" s="1"/>
  <c r="W66" i="7" s="1"/>
  <c r="W67" i="7" s="1"/>
  <c r="W68" i="7" s="1"/>
  <c r="W69" i="7" s="1"/>
  <c r="W70" i="7" s="1"/>
  <c r="W71" i="7" s="1"/>
  <c r="W72" i="7" s="1"/>
  <c r="W73" i="7" s="1"/>
  <c r="S43" i="7"/>
  <c r="S44" i="7" s="1"/>
  <c r="S45" i="7" s="1"/>
  <c r="S46" i="7" s="1"/>
  <c r="S47" i="7" s="1"/>
  <c r="S48" i="7" s="1"/>
  <c r="S49" i="7" s="1"/>
  <c r="S50" i="7" s="1"/>
  <c r="S51" i="7" s="1"/>
  <c r="S52" i="7" s="1"/>
  <c r="S53" i="7" s="1"/>
  <c r="S54" i="7" s="1"/>
  <c r="S55" i="7" s="1"/>
  <c r="S56" i="7" s="1"/>
  <c r="S57" i="7" s="1"/>
  <c r="S58" i="7" s="1"/>
  <c r="S59" i="7" s="1"/>
  <c r="S60" i="7" s="1"/>
  <c r="S61" i="7" s="1"/>
  <c r="S62" i="7" s="1"/>
  <c r="S63" i="7" s="1"/>
  <c r="S64" i="7" s="1"/>
  <c r="S65" i="7" s="1"/>
  <c r="S66" i="7" s="1"/>
  <c r="S67" i="7" s="1"/>
  <c r="S68" i="7" s="1"/>
  <c r="S69" i="7" s="1"/>
  <c r="S70" i="7" s="1"/>
  <c r="S71" i="7" s="1"/>
  <c r="S72" i="7" s="1"/>
  <c r="S73" i="7" s="1"/>
  <c r="O43" i="7"/>
  <c r="K43" i="7"/>
  <c r="K44" i="7" s="1"/>
  <c r="K45" i="7" s="1"/>
  <c r="K46" i="7" s="1"/>
  <c r="K47" i="7" s="1"/>
  <c r="K48" i="7" s="1"/>
  <c r="K49" i="7" s="1"/>
  <c r="K50" i="7" s="1"/>
  <c r="K51" i="7" s="1"/>
  <c r="K52" i="7" s="1"/>
  <c r="K53" i="7" s="1"/>
  <c r="K54" i="7" s="1"/>
  <c r="K55" i="7" s="1"/>
  <c r="K56" i="7" s="1"/>
  <c r="K57" i="7" s="1"/>
  <c r="K58" i="7" s="1"/>
  <c r="K59" i="7" s="1"/>
  <c r="K60" i="7" s="1"/>
  <c r="K61" i="7" s="1"/>
  <c r="K62" i="7" s="1"/>
  <c r="K63" i="7" s="1"/>
  <c r="K64" i="7" s="1"/>
  <c r="K65" i="7" s="1"/>
  <c r="K66" i="7" s="1"/>
  <c r="K67" i="7" s="1"/>
  <c r="K68" i="7" s="1"/>
  <c r="K69" i="7" s="1"/>
  <c r="K70" i="7" s="1"/>
  <c r="K71" i="7" s="1"/>
  <c r="K72" i="7" s="1"/>
  <c r="K73" i="7" s="1"/>
  <c r="G43" i="7"/>
  <c r="G44" i="7" s="1"/>
  <c r="G45" i="7" s="1"/>
  <c r="G46" i="7" s="1"/>
  <c r="G47" i="7" s="1"/>
  <c r="G48" i="7" s="1"/>
  <c r="G49" i="7" s="1"/>
  <c r="G50" i="7" s="1"/>
  <c r="G51" i="7" s="1"/>
  <c r="G52" i="7" s="1"/>
  <c r="G53" i="7" s="1"/>
  <c r="G54" i="7" s="1"/>
  <c r="G55" i="7" s="1"/>
  <c r="G56" i="7" s="1"/>
  <c r="G57" i="7" s="1"/>
  <c r="G58" i="7" s="1"/>
  <c r="G59" i="7" s="1"/>
  <c r="G60" i="7" s="1"/>
  <c r="G61" i="7" s="1"/>
  <c r="G62" i="7" s="1"/>
  <c r="G63" i="7" s="1"/>
  <c r="G64" i="7" s="1"/>
  <c r="G65" i="7" s="1"/>
  <c r="G66" i="7" s="1"/>
  <c r="G67" i="7" s="1"/>
  <c r="G68" i="7" s="1"/>
  <c r="G69" i="7" s="1"/>
  <c r="G70" i="7" s="1"/>
  <c r="G71" i="7" s="1"/>
  <c r="G72" i="7" s="1"/>
  <c r="G73" i="7" s="1"/>
  <c r="C43" i="7"/>
  <c r="C44" i="7" s="1"/>
  <c r="C45" i="7" s="1"/>
  <c r="C46" i="7" s="1"/>
  <c r="C47" i="7" s="1"/>
  <c r="C48" i="7" s="1"/>
  <c r="C49" i="7" s="1"/>
  <c r="C50" i="7" s="1"/>
  <c r="C51" i="7" s="1"/>
  <c r="C52" i="7" s="1"/>
  <c r="C53" i="7" s="1"/>
  <c r="C54" i="7" s="1"/>
  <c r="C55" i="7" s="1"/>
  <c r="C56" i="7" s="1"/>
  <c r="C57" i="7" s="1"/>
  <c r="C58" i="7" s="1"/>
  <c r="C59" i="7" s="1"/>
  <c r="C60" i="7" s="1"/>
  <c r="C61" i="7" s="1"/>
  <c r="C62" i="7" s="1"/>
  <c r="C63" i="7" s="1"/>
  <c r="C64" i="7" s="1"/>
  <c r="C65" i="7" s="1"/>
  <c r="C66" i="7" s="1"/>
  <c r="C67" i="7" s="1"/>
  <c r="C68" i="7" s="1"/>
  <c r="C69" i="7" s="1"/>
  <c r="C70" i="7" s="1"/>
  <c r="C71" i="7" s="1"/>
  <c r="C72" i="7" s="1"/>
  <c r="C73" i="7" s="1"/>
  <c r="AD43" i="7"/>
  <c r="AD44" i="7" s="1"/>
  <c r="AD45" i="7" s="1"/>
  <c r="AD46" i="7" s="1"/>
  <c r="AD47" i="7" s="1"/>
  <c r="AD48" i="7" s="1"/>
  <c r="AD49" i="7" s="1"/>
  <c r="AD50" i="7" s="1"/>
  <c r="AD51" i="7" s="1"/>
  <c r="AD52" i="7" s="1"/>
  <c r="AD53" i="7" s="1"/>
  <c r="AD54" i="7" s="1"/>
  <c r="AD55" i="7" s="1"/>
  <c r="AD56" i="7" s="1"/>
  <c r="AD57" i="7" s="1"/>
  <c r="AD58" i="7" s="1"/>
  <c r="AD59" i="7" s="1"/>
  <c r="AD60" i="7" s="1"/>
  <c r="AD61" i="7" s="1"/>
  <c r="AD62" i="7" s="1"/>
  <c r="AD63" i="7" s="1"/>
  <c r="AD64" i="7" s="1"/>
  <c r="AD65" i="7" s="1"/>
  <c r="AD66" i="7" s="1"/>
  <c r="AD67" i="7" s="1"/>
  <c r="AD68" i="7" s="1"/>
  <c r="AD69" i="7" s="1"/>
  <c r="AD70" i="7" s="1"/>
  <c r="AD71" i="7" s="1"/>
  <c r="AD72" i="7" s="1"/>
  <c r="AD73" i="7" s="1"/>
  <c r="Z43" i="7"/>
  <c r="Z44" i="7" s="1"/>
  <c r="Z45" i="7" s="1"/>
  <c r="Z46" i="7" s="1"/>
  <c r="Z47" i="7" s="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V43" i="7"/>
  <c r="V44" i="7" s="1"/>
  <c r="V45" i="7" s="1"/>
  <c r="V46" i="7" s="1"/>
  <c r="V47" i="7" s="1"/>
  <c r="V48" i="7" s="1"/>
  <c r="V49" i="7" s="1"/>
  <c r="V50" i="7" s="1"/>
  <c r="V51" i="7" s="1"/>
  <c r="V52" i="7" s="1"/>
  <c r="V53" i="7" s="1"/>
  <c r="V54" i="7" s="1"/>
  <c r="V55" i="7" s="1"/>
  <c r="V56" i="7" s="1"/>
  <c r="V57" i="7" s="1"/>
  <c r="V58" i="7" s="1"/>
  <c r="V59" i="7" s="1"/>
  <c r="V60" i="7" s="1"/>
  <c r="V61" i="7" s="1"/>
  <c r="V62" i="7" s="1"/>
  <c r="V63" i="7" s="1"/>
  <c r="V64" i="7" s="1"/>
  <c r="V65" i="7" s="1"/>
  <c r="V66" i="7" s="1"/>
  <c r="V67" i="7" s="1"/>
  <c r="V68" i="7" s="1"/>
  <c r="V69" i="7" s="1"/>
  <c r="V70" i="7" s="1"/>
  <c r="V71" i="7" s="1"/>
  <c r="V72" i="7" s="1"/>
  <c r="V73" i="7" s="1"/>
  <c r="R43" i="7"/>
  <c r="R44" i="7" s="1"/>
  <c r="R45" i="7" s="1"/>
  <c r="R46" i="7" s="1"/>
  <c r="R47" i="7" s="1"/>
  <c r="R48" i="7" s="1"/>
  <c r="R49" i="7" s="1"/>
  <c r="R50" i="7" s="1"/>
  <c r="R51" i="7" s="1"/>
  <c r="R52" i="7" s="1"/>
  <c r="R53" i="7" s="1"/>
  <c r="R54" i="7" s="1"/>
  <c r="R55" i="7" s="1"/>
  <c r="R56" i="7" s="1"/>
  <c r="R57" i="7" s="1"/>
  <c r="R58" i="7" s="1"/>
  <c r="R59" i="7" s="1"/>
  <c r="R60" i="7" s="1"/>
  <c r="R61" i="7" s="1"/>
  <c r="R62" i="7" s="1"/>
  <c r="R63" i="7" s="1"/>
  <c r="R64" i="7" s="1"/>
  <c r="R65" i="7" s="1"/>
  <c r="R66" i="7" s="1"/>
  <c r="R67" i="7" s="1"/>
  <c r="R68" i="7" s="1"/>
  <c r="R69" i="7" s="1"/>
  <c r="R70" i="7" s="1"/>
  <c r="R71" i="7" s="1"/>
  <c r="R72" i="7" s="1"/>
  <c r="R73" i="7" s="1"/>
  <c r="N43" i="7"/>
  <c r="N44" i="7" s="1"/>
  <c r="N45" i="7" s="1"/>
  <c r="N46" i="7" s="1"/>
  <c r="N47" i="7" s="1"/>
  <c r="N48" i="7" s="1"/>
  <c r="N49" i="7" s="1"/>
  <c r="N50" i="7" s="1"/>
  <c r="N51" i="7" s="1"/>
  <c r="N52" i="7" s="1"/>
  <c r="N53" i="7" s="1"/>
  <c r="N54" i="7" s="1"/>
  <c r="N55" i="7" s="1"/>
  <c r="N56" i="7" s="1"/>
  <c r="N57" i="7" s="1"/>
  <c r="N58" i="7" s="1"/>
  <c r="N59" i="7" s="1"/>
  <c r="N60" i="7" s="1"/>
  <c r="N61" i="7" s="1"/>
  <c r="N62" i="7" s="1"/>
  <c r="N63" i="7" s="1"/>
  <c r="N64" i="7" s="1"/>
  <c r="N65" i="7" s="1"/>
  <c r="N66" i="7" s="1"/>
  <c r="N67" i="7" s="1"/>
  <c r="N68" i="7" s="1"/>
  <c r="N69" i="7" s="1"/>
  <c r="N70" i="7" s="1"/>
  <c r="N71" i="7" s="1"/>
  <c r="N72" i="7" s="1"/>
  <c r="N73" i="7" s="1"/>
  <c r="J43" i="7"/>
  <c r="J44" i="7" s="1"/>
  <c r="J45" i="7" s="1"/>
  <c r="J46" i="7" s="1"/>
  <c r="J47" i="7" s="1"/>
  <c r="J48" i="7" s="1"/>
  <c r="J49" i="7" s="1"/>
  <c r="J50" i="7" s="1"/>
  <c r="J51" i="7" s="1"/>
  <c r="J52" i="7" s="1"/>
  <c r="J53" i="7" s="1"/>
  <c r="J54" i="7" s="1"/>
  <c r="J55" i="7" s="1"/>
  <c r="J56" i="7" s="1"/>
  <c r="J57" i="7" s="1"/>
  <c r="J58" i="7" s="1"/>
  <c r="J59" i="7" s="1"/>
  <c r="J60" i="7" s="1"/>
  <c r="J61" i="7" s="1"/>
  <c r="J62" i="7" s="1"/>
  <c r="J63" i="7" s="1"/>
  <c r="J64" i="7" s="1"/>
  <c r="J65" i="7" s="1"/>
  <c r="J66" i="7" s="1"/>
  <c r="J67" i="7" s="1"/>
  <c r="J68" i="7" s="1"/>
  <c r="J69" i="7" s="1"/>
  <c r="J70" i="7" s="1"/>
  <c r="J71" i="7" s="1"/>
  <c r="J72" i="7" s="1"/>
  <c r="J73" i="7" s="1"/>
  <c r="B43" i="7"/>
  <c r="B44" i="7" s="1"/>
  <c r="B45" i="7" s="1"/>
  <c r="B46" i="7" s="1"/>
  <c r="B47" i="7" s="1"/>
  <c r="B48" i="7" s="1"/>
  <c r="B49" i="7" s="1"/>
  <c r="B50" i="7" s="1"/>
  <c r="B51" i="7" s="1"/>
  <c r="B52" i="7" s="1"/>
  <c r="B53" i="7" s="1"/>
  <c r="AI42" i="7"/>
  <c r="DA42" i="7"/>
  <c r="CZ43" i="7"/>
  <c r="CZ44" i="7" s="1"/>
  <c r="CZ45" i="7" s="1"/>
  <c r="CZ46" i="7" s="1"/>
  <c r="CR43" i="7"/>
  <c r="CR44" i="7" s="1"/>
  <c r="CR45" i="7" s="1"/>
  <c r="CR46" i="7" s="1"/>
  <c r="CR47" i="7" s="1"/>
  <c r="CR48" i="7" s="1"/>
  <c r="CR49" i="7" s="1"/>
  <c r="CR50" i="7" s="1"/>
  <c r="CR51" i="7" s="1"/>
  <c r="CR52" i="7" s="1"/>
  <c r="CR53" i="7" s="1"/>
  <c r="CR54" i="7" s="1"/>
  <c r="CR55" i="7" s="1"/>
  <c r="CR56" i="7" s="1"/>
  <c r="CR57" i="7" s="1"/>
  <c r="CR58" i="7" s="1"/>
  <c r="CR59" i="7" s="1"/>
  <c r="CR60" i="7" s="1"/>
  <c r="CR61" i="7" s="1"/>
  <c r="CR62" i="7" s="1"/>
  <c r="CR63" i="7" s="1"/>
  <c r="CR64" i="7" s="1"/>
  <c r="CR65" i="7" s="1"/>
  <c r="CR66" i="7" s="1"/>
  <c r="CR67" i="7" s="1"/>
  <c r="CR68" i="7" s="1"/>
  <c r="CR69" i="7" s="1"/>
  <c r="CR70" i="7" s="1"/>
  <c r="CR71" i="7" s="1"/>
  <c r="CR72" i="7" s="1"/>
  <c r="CR73" i="7" s="1"/>
  <c r="CK43" i="7"/>
  <c r="CK44" i="7" s="1"/>
  <c r="CK45" i="7" s="1"/>
  <c r="CK46" i="7" s="1"/>
  <c r="CK47" i="7" s="1"/>
  <c r="CK48" i="7" s="1"/>
  <c r="CK49" i="7" s="1"/>
  <c r="CK50" i="7" s="1"/>
  <c r="CK51" i="7" s="1"/>
  <c r="CK52" i="7" s="1"/>
  <c r="CK53" i="7" s="1"/>
  <c r="CK54" i="7" s="1"/>
  <c r="CK55" i="7" s="1"/>
  <c r="CK56" i="7" s="1"/>
  <c r="CK57" i="7" s="1"/>
  <c r="CK58" i="7" s="1"/>
  <c r="CK59" i="7" s="1"/>
  <c r="CK60" i="7" s="1"/>
  <c r="CK61" i="7" s="1"/>
  <c r="CK62" i="7" s="1"/>
  <c r="CK63" i="7" s="1"/>
  <c r="CK64" i="7" s="1"/>
  <c r="CK65" i="7" s="1"/>
  <c r="CK66" i="7" s="1"/>
  <c r="CK67" i="7" s="1"/>
  <c r="CK68" i="7" s="1"/>
  <c r="CK69" i="7" s="1"/>
  <c r="CK70" i="7" s="1"/>
  <c r="CK71" i="7" s="1"/>
  <c r="CK72" i="7" s="1"/>
  <c r="CK73" i="7" s="1"/>
  <c r="CA43" i="7"/>
  <c r="CA44" i="7" s="1"/>
  <c r="CA45" i="7" s="1"/>
  <c r="CA46" i="7" s="1"/>
  <c r="CA47" i="7" s="1"/>
  <c r="CA48" i="7" s="1"/>
  <c r="CA49" i="7" s="1"/>
  <c r="CA50" i="7" s="1"/>
  <c r="CA51" i="7" s="1"/>
  <c r="CA52" i="7" s="1"/>
  <c r="CA53" i="7" s="1"/>
  <c r="CA54" i="7" s="1"/>
  <c r="CA55" i="7" s="1"/>
  <c r="CA56" i="7" s="1"/>
  <c r="CA57" i="7" s="1"/>
  <c r="CA58" i="7" s="1"/>
  <c r="CA59" i="7" s="1"/>
  <c r="CA60" i="7" s="1"/>
  <c r="CA61" i="7" s="1"/>
  <c r="CA62" i="7" s="1"/>
  <c r="CA63" i="7" s="1"/>
  <c r="CA64" i="7" s="1"/>
  <c r="CA65" i="7" s="1"/>
  <c r="CA66" i="7" s="1"/>
  <c r="CA67" i="7" s="1"/>
  <c r="CA68" i="7" s="1"/>
  <c r="CA69" i="7" s="1"/>
  <c r="CA70" i="7" s="1"/>
  <c r="CA71" i="7" s="1"/>
  <c r="CA72" i="7" s="1"/>
  <c r="CA73" i="7" s="1"/>
  <c r="CP43" i="7"/>
  <c r="CP44" i="7" s="1"/>
  <c r="CP45" i="7" s="1"/>
  <c r="CP46" i="7" s="1"/>
  <c r="CP47" i="7" s="1"/>
  <c r="CP48" i="7" s="1"/>
  <c r="CP49" i="7" s="1"/>
  <c r="CP50" i="7" s="1"/>
  <c r="CP51" i="7" s="1"/>
  <c r="CP52" i="7" s="1"/>
  <c r="CP53" i="7" s="1"/>
  <c r="CP54" i="7" s="1"/>
  <c r="CP55" i="7" s="1"/>
  <c r="CP56" i="7" s="1"/>
  <c r="CP57" i="7" s="1"/>
  <c r="CP58" i="7" s="1"/>
  <c r="CP59" i="7" s="1"/>
  <c r="CP60" i="7" s="1"/>
  <c r="CP61" i="7" s="1"/>
  <c r="CP62" i="7" s="1"/>
  <c r="CP63" i="7" s="1"/>
  <c r="CP64" i="7" s="1"/>
  <c r="CP65" i="7" s="1"/>
  <c r="CP66" i="7" s="1"/>
  <c r="CP67" i="7" s="1"/>
  <c r="CP68" i="7" s="1"/>
  <c r="CP69" i="7" s="1"/>
  <c r="CP70" i="7" s="1"/>
  <c r="CP71" i="7" s="1"/>
  <c r="CP72" i="7" s="1"/>
  <c r="CP73" i="7" s="1"/>
  <c r="BX43" i="7"/>
  <c r="BX44" i="7" s="1"/>
  <c r="BX45" i="7" s="1"/>
  <c r="BX46" i="7" s="1"/>
  <c r="BX47" i="7" s="1"/>
  <c r="BX48" i="7" s="1"/>
  <c r="BX49" i="7" s="1"/>
  <c r="BX50" i="7" s="1"/>
  <c r="BX51" i="7" s="1"/>
  <c r="BX52" i="7" s="1"/>
  <c r="BX53" i="7" s="1"/>
  <c r="BX54" i="7" s="1"/>
  <c r="BX55" i="7" s="1"/>
  <c r="BX56" i="7" s="1"/>
  <c r="BX57" i="7" s="1"/>
  <c r="BX58" i="7" s="1"/>
  <c r="BX59" i="7" s="1"/>
  <c r="BX60" i="7" s="1"/>
  <c r="BX61" i="7" s="1"/>
  <c r="BX62" i="7" s="1"/>
  <c r="BX63" i="7" s="1"/>
  <c r="BX64" i="7" s="1"/>
  <c r="BX65" i="7" s="1"/>
  <c r="BX66" i="7" s="1"/>
  <c r="BX67" i="7" s="1"/>
  <c r="BX68" i="7" s="1"/>
  <c r="BX69" i="7" s="1"/>
  <c r="BX70" i="7" s="1"/>
  <c r="BX71" i="7" s="1"/>
  <c r="BX72" i="7" s="1"/>
  <c r="BX73" i="7" s="1"/>
  <c r="CI43" i="7"/>
  <c r="CI44" i="7" s="1"/>
  <c r="CI45" i="7" s="1"/>
  <c r="CI46" i="7" s="1"/>
  <c r="CI47" i="7" s="1"/>
  <c r="CI48" i="7" s="1"/>
  <c r="CI49" i="7" s="1"/>
  <c r="CI50" i="7" s="1"/>
  <c r="CI51" i="7" s="1"/>
  <c r="CI52" i="7" s="1"/>
  <c r="CI53" i="7" s="1"/>
  <c r="CI54" i="7" s="1"/>
  <c r="CI55" i="7" s="1"/>
  <c r="CI56" i="7" s="1"/>
  <c r="CI57" i="7" s="1"/>
  <c r="CI58" i="7" s="1"/>
  <c r="CI59" i="7" s="1"/>
  <c r="CI60" i="7" s="1"/>
  <c r="CI61" i="7" s="1"/>
  <c r="CI62" i="7" s="1"/>
  <c r="CI63" i="7" s="1"/>
  <c r="CI64" i="7" s="1"/>
  <c r="CI65" i="7" s="1"/>
  <c r="CI66" i="7" s="1"/>
  <c r="CI67" i="7" s="1"/>
  <c r="CI68" i="7" s="1"/>
  <c r="CI69" i="7" s="1"/>
  <c r="CI70" i="7" s="1"/>
  <c r="CI71" i="7" s="1"/>
  <c r="CI72" i="7" s="1"/>
  <c r="CI73" i="7" s="1"/>
  <c r="CY43" i="7"/>
  <c r="CY44" i="7" s="1"/>
  <c r="CY45" i="7" s="1"/>
  <c r="CY46" i="7" s="1"/>
  <c r="CY47" i="7" s="1"/>
  <c r="CY48" i="7" s="1"/>
  <c r="CY49" i="7" s="1"/>
  <c r="CY50" i="7" s="1"/>
  <c r="CY51" i="7" s="1"/>
  <c r="CY52" i="7" s="1"/>
  <c r="CY53" i="7" s="1"/>
  <c r="CY54" i="7" s="1"/>
  <c r="CY55" i="7" s="1"/>
  <c r="CY56" i="7" s="1"/>
  <c r="CY57" i="7" s="1"/>
  <c r="CY58" i="7" s="1"/>
  <c r="CY59" i="7" s="1"/>
  <c r="CY60" i="7" s="1"/>
  <c r="CY61" i="7" s="1"/>
  <c r="CY62" i="7" s="1"/>
  <c r="CY63" i="7" s="1"/>
  <c r="CY64" i="7" s="1"/>
  <c r="CY65" i="7" s="1"/>
  <c r="CY66" i="7" s="1"/>
  <c r="CY67" i="7" s="1"/>
  <c r="CY68" i="7" s="1"/>
  <c r="CY69" i="7" s="1"/>
  <c r="CY70" i="7" s="1"/>
  <c r="CY71" i="7" s="1"/>
  <c r="CY72" i="7" s="1"/>
  <c r="CY73" i="7" s="1"/>
  <c r="CN43" i="7"/>
  <c r="CN44" i="7" s="1"/>
  <c r="CN45" i="7" s="1"/>
  <c r="CN46" i="7" s="1"/>
  <c r="CN47" i="7" s="1"/>
  <c r="CN48" i="7" s="1"/>
  <c r="CN49" i="7" s="1"/>
  <c r="CN50" i="7" s="1"/>
  <c r="CN51" i="7" s="1"/>
  <c r="CN52" i="7" s="1"/>
  <c r="CN53" i="7" s="1"/>
  <c r="CN54" i="7" s="1"/>
  <c r="CN55" i="7" s="1"/>
  <c r="CN56" i="7" s="1"/>
  <c r="CN57" i="7" s="1"/>
  <c r="CN58" i="7" s="1"/>
  <c r="CN59" i="7" s="1"/>
  <c r="CN60" i="7" s="1"/>
  <c r="CN61" i="7" s="1"/>
  <c r="CN62" i="7" s="1"/>
  <c r="CN63" i="7" s="1"/>
  <c r="CN64" i="7" s="1"/>
  <c r="CN65" i="7" s="1"/>
  <c r="CN66" i="7" s="1"/>
  <c r="CN67" i="7" s="1"/>
  <c r="CN68" i="7" s="1"/>
  <c r="CN69" i="7" s="1"/>
  <c r="CN70" i="7" s="1"/>
  <c r="CN71" i="7" s="1"/>
  <c r="CN72" i="7" s="1"/>
  <c r="CN73" i="7" s="1"/>
  <c r="BZ43" i="7"/>
  <c r="BZ44" i="7" s="1"/>
  <c r="BZ45" i="7" s="1"/>
  <c r="BZ46" i="7" s="1"/>
  <c r="BZ47" i="7" s="1"/>
  <c r="BZ48" i="7" s="1"/>
  <c r="BZ49" i="7" s="1"/>
  <c r="BZ50" i="7" s="1"/>
  <c r="BZ51" i="7" s="1"/>
  <c r="BZ52" i="7" s="1"/>
  <c r="BZ53" i="7" s="1"/>
  <c r="BZ54" i="7" s="1"/>
  <c r="BZ55" i="7" s="1"/>
  <c r="BZ56" i="7" s="1"/>
  <c r="BZ57" i="7" s="1"/>
  <c r="BZ58" i="7" s="1"/>
  <c r="BZ59" i="7" s="1"/>
  <c r="BZ60" i="7" s="1"/>
  <c r="BZ61" i="7" s="1"/>
  <c r="BZ62" i="7" s="1"/>
  <c r="BZ63" i="7" s="1"/>
  <c r="BZ64" i="7" s="1"/>
  <c r="BZ65" i="7" s="1"/>
  <c r="BZ66" i="7" s="1"/>
  <c r="BZ67" i="7" s="1"/>
  <c r="BZ68" i="7" s="1"/>
  <c r="BZ69" i="7" s="1"/>
  <c r="BZ70" i="7" s="1"/>
  <c r="BZ71" i="7" s="1"/>
  <c r="BZ72" i="7" s="1"/>
  <c r="BZ73" i="7" s="1"/>
  <c r="BU43" i="7"/>
  <c r="BU44" i="7" s="1"/>
  <c r="BU45" i="7" s="1"/>
  <c r="BU46" i="7" s="1"/>
  <c r="BU47" i="7" s="1"/>
  <c r="BU48" i="7" s="1"/>
  <c r="BU49" i="7" s="1"/>
  <c r="BU50" i="7" s="1"/>
  <c r="BU51" i="7" s="1"/>
  <c r="BU52" i="7" s="1"/>
  <c r="BU53" i="7" s="1"/>
  <c r="BU54" i="7" s="1"/>
  <c r="BU55" i="7" s="1"/>
  <c r="BU56" i="7" s="1"/>
  <c r="BU57" i="7" s="1"/>
  <c r="BU58" i="7" s="1"/>
  <c r="BU59" i="7" s="1"/>
  <c r="BU60" i="7" s="1"/>
  <c r="BU61" i="7" s="1"/>
  <c r="BU62" i="7" s="1"/>
  <c r="BU63" i="7" s="1"/>
  <c r="BU64" i="7" s="1"/>
  <c r="BU65" i="7" s="1"/>
  <c r="BU66" i="7" s="1"/>
  <c r="BU67" i="7" s="1"/>
  <c r="BU68" i="7" s="1"/>
  <c r="BU69" i="7" s="1"/>
  <c r="BU70" i="7" s="1"/>
  <c r="BU71" i="7" s="1"/>
  <c r="BU72" i="7" s="1"/>
  <c r="BU73" i="7" s="1"/>
  <c r="CU43" i="7"/>
  <c r="CU44" i="7" s="1"/>
  <c r="CU45" i="7" s="1"/>
  <c r="CU46" i="7" s="1"/>
  <c r="CU47" i="7" s="1"/>
  <c r="CU48" i="7" s="1"/>
  <c r="CU49" i="7" s="1"/>
  <c r="CU50" i="7" s="1"/>
  <c r="CU51" i="7" s="1"/>
  <c r="CU52" i="7" s="1"/>
  <c r="CU53" i="7" s="1"/>
  <c r="CU54" i="7" s="1"/>
  <c r="CU55" i="7" s="1"/>
  <c r="CU56" i="7" s="1"/>
  <c r="CU57" i="7" s="1"/>
  <c r="CU58" i="7" s="1"/>
  <c r="CU59" i="7" s="1"/>
  <c r="CU60" i="7" s="1"/>
  <c r="CU61" i="7" s="1"/>
  <c r="CU62" i="7" s="1"/>
  <c r="CU63" i="7" s="1"/>
  <c r="CU64" i="7" s="1"/>
  <c r="CU65" i="7" s="1"/>
  <c r="CU66" i="7" s="1"/>
  <c r="CU67" i="7" s="1"/>
  <c r="CU68" i="7" s="1"/>
  <c r="CU69" i="7" s="1"/>
  <c r="CU70" i="7" s="1"/>
  <c r="CU71" i="7" s="1"/>
  <c r="CU72" i="7" s="1"/>
  <c r="CU73" i="7" s="1"/>
  <c r="CO43" i="7"/>
  <c r="CO44" i="7" s="1"/>
  <c r="CO45" i="7" s="1"/>
  <c r="CO46" i="7" s="1"/>
  <c r="CO47" i="7" s="1"/>
  <c r="CO48" i="7" s="1"/>
  <c r="CO49" i="7" s="1"/>
  <c r="CO50" i="7" s="1"/>
  <c r="CO51" i="7" s="1"/>
  <c r="CO52" i="7" s="1"/>
  <c r="CO53" i="7" s="1"/>
  <c r="CO54" i="7" s="1"/>
  <c r="CO55" i="7" s="1"/>
  <c r="CO56" i="7" s="1"/>
  <c r="CO57" i="7" s="1"/>
  <c r="CO58" i="7" s="1"/>
  <c r="CO59" i="7" s="1"/>
  <c r="CO60" i="7" s="1"/>
  <c r="CO61" i="7" s="1"/>
  <c r="CO62" i="7" s="1"/>
  <c r="CO63" i="7" s="1"/>
  <c r="CO64" i="7" s="1"/>
  <c r="CO65" i="7" s="1"/>
  <c r="CO66" i="7" s="1"/>
  <c r="CO67" i="7" s="1"/>
  <c r="CO68" i="7" s="1"/>
  <c r="CO69" i="7" s="1"/>
  <c r="CO70" i="7" s="1"/>
  <c r="CO71" i="7" s="1"/>
  <c r="CO72" i="7" s="1"/>
  <c r="CO73" i="7" s="1"/>
  <c r="BV43" i="7"/>
  <c r="BV44" i="7" s="1"/>
  <c r="BV45" i="7" s="1"/>
  <c r="BV46" i="7" s="1"/>
  <c r="BV47" i="7" s="1"/>
  <c r="BV48" i="7" s="1"/>
  <c r="BV49" i="7" s="1"/>
  <c r="BV50" i="7" s="1"/>
  <c r="BV51" i="7" s="1"/>
  <c r="BV52" i="7" s="1"/>
  <c r="BV53" i="7" s="1"/>
  <c r="BV54" i="7" s="1"/>
  <c r="BV55" i="7" s="1"/>
  <c r="BV56" i="7" s="1"/>
  <c r="BV57" i="7" s="1"/>
  <c r="BV58" i="7" s="1"/>
  <c r="BV59" i="7" s="1"/>
  <c r="BV60" i="7" s="1"/>
  <c r="BV61" i="7" s="1"/>
  <c r="BV62" i="7" s="1"/>
  <c r="BV63" i="7" s="1"/>
  <c r="BV64" i="7" s="1"/>
  <c r="BV65" i="7" s="1"/>
  <c r="BV66" i="7" s="1"/>
  <c r="BV67" i="7" s="1"/>
  <c r="BV68" i="7" s="1"/>
  <c r="BV69" i="7" s="1"/>
  <c r="BV70" i="7" s="1"/>
  <c r="BV71" i="7" s="1"/>
  <c r="BV72" i="7" s="1"/>
  <c r="BV73" i="7" s="1"/>
  <c r="CD43" i="7"/>
  <c r="CD44" i="7" s="1"/>
  <c r="CD45" i="7" s="1"/>
  <c r="CD46" i="7" s="1"/>
  <c r="CD47" i="7" s="1"/>
  <c r="CD48" i="7" s="1"/>
  <c r="CD49" i="7" s="1"/>
  <c r="CD50" i="7" s="1"/>
  <c r="CD51" i="7" s="1"/>
  <c r="CD52" i="7" s="1"/>
  <c r="CD53" i="7" s="1"/>
  <c r="CD54" i="7" s="1"/>
  <c r="CD55" i="7" s="1"/>
  <c r="CD56" i="7" s="1"/>
  <c r="CD57" i="7" s="1"/>
  <c r="CD58" i="7" s="1"/>
  <c r="CD59" i="7" s="1"/>
  <c r="CD60" i="7" s="1"/>
  <c r="CD61" i="7" s="1"/>
  <c r="CD62" i="7" s="1"/>
  <c r="CD63" i="7" s="1"/>
  <c r="CD64" i="7" s="1"/>
  <c r="CD65" i="7" s="1"/>
  <c r="CD66" i="7" s="1"/>
  <c r="CD67" i="7" s="1"/>
  <c r="CD68" i="7" s="1"/>
  <c r="CD69" i="7" s="1"/>
  <c r="CD70" i="7" s="1"/>
  <c r="CD71" i="7" s="1"/>
  <c r="CD72" i="7" s="1"/>
  <c r="CD73" i="7" s="1"/>
  <c r="CT43" i="7"/>
  <c r="CT44" i="7" s="1"/>
  <c r="CT45" i="7" s="1"/>
  <c r="CT46" i="7" s="1"/>
  <c r="CT47" i="7" s="1"/>
  <c r="CT48" i="7" s="1"/>
  <c r="CT49" i="7" s="1"/>
  <c r="CT50" i="7" s="1"/>
  <c r="CT51" i="7" s="1"/>
  <c r="CT52" i="7" s="1"/>
  <c r="CT53" i="7" s="1"/>
  <c r="CT54" i="7" s="1"/>
  <c r="CT55" i="7" s="1"/>
  <c r="CT56" i="7" s="1"/>
  <c r="CT57" i="7" s="1"/>
  <c r="CT58" i="7" s="1"/>
  <c r="CT59" i="7" s="1"/>
  <c r="CT60" i="7" s="1"/>
  <c r="CT61" i="7" s="1"/>
  <c r="CT62" i="7" s="1"/>
  <c r="CT63" i="7" s="1"/>
  <c r="CT64" i="7" s="1"/>
  <c r="CT65" i="7" s="1"/>
  <c r="CT66" i="7" s="1"/>
  <c r="CT67" i="7" s="1"/>
  <c r="CT68" i="7" s="1"/>
  <c r="CT69" i="7" s="1"/>
  <c r="CT70" i="7" s="1"/>
  <c r="CT71" i="7" s="1"/>
  <c r="CT72" i="7" s="1"/>
  <c r="CT73" i="7" s="1"/>
  <c r="CV43" i="7"/>
  <c r="CV44" i="7" s="1"/>
  <c r="CV45" i="7" s="1"/>
  <c r="CV46" i="7" s="1"/>
  <c r="CV47" i="7" s="1"/>
  <c r="CV48" i="7" s="1"/>
  <c r="CV49" i="7" s="1"/>
  <c r="CV50" i="7" s="1"/>
  <c r="CV51" i="7" s="1"/>
  <c r="CV52" i="7" s="1"/>
  <c r="CV53" i="7" s="1"/>
  <c r="CV54" i="7" s="1"/>
  <c r="CV55" i="7" s="1"/>
  <c r="CV56" i="7" s="1"/>
  <c r="CV57" i="7" s="1"/>
  <c r="CV58" i="7" s="1"/>
  <c r="CV59" i="7" s="1"/>
  <c r="CV60" i="7" s="1"/>
  <c r="CV61" i="7" s="1"/>
  <c r="CV62" i="7" s="1"/>
  <c r="CV63" i="7" s="1"/>
  <c r="CV64" i="7" s="1"/>
  <c r="CV65" i="7" s="1"/>
  <c r="CV66" i="7" s="1"/>
  <c r="CV67" i="7" s="1"/>
  <c r="CV68" i="7" s="1"/>
  <c r="CV69" i="7" s="1"/>
  <c r="CV70" i="7" s="1"/>
  <c r="CV71" i="7" s="1"/>
  <c r="CV72" i="7" s="1"/>
  <c r="CV73" i="7" s="1"/>
  <c r="CB43" i="7"/>
  <c r="CB44" i="7" s="1"/>
  <c r="CB45" i="7" s="1"/>
  <c r="CB46" i="7" s="1"/>
  <c r="CB47" i="7" s="1"/>
  <c r="CB48" i="7" s="1"/>
  <c r="CB49" i="7" s="1"/>
  <c r="CB50" i="7" s="1"/>
  <c r="CB51" i="7" s="1"/>
  <c r="CB52" i="7" s="1"/>
  <c r="CB53" i="7" s="1"/>
  <c r="CB54" i="7" s="1"/>
  <c r="CB55" i="7" s="1"/>
  <c r="CB56" i="7" s="1"/>
  <c r="CB57" i="7" s="1"/>
  <c r="CB58" i="7" s="1"/>
  <c r="CB59" i="7" s="1"/>
  <c r="CB60" i="7" s="1"/>
  <c r="CB61" i="7" s="1"/>
  <c r="CB62" i="7" s="1"/>
  <c r="CB63" i="7" s="1"/>
  <c r="CB64" i="7" s="1"/>
  <c r="CB65" i="7" s="1"/>
  <c r="CB66" i="7" s="1"/>
  <c r="CB67" i="7" s="1"/>
  <c r="CB68" i="7" s="1"/>
  <c r="CB69" i="7" s="1"/>
  <c r="CB70" i="7" s="1"/>
  <c r="CB71" i="7" s="1"/>
  <c r="CB72" i="7" s="1"/>
  <c r="CB73" i="7" s="1"/>
  <c r="CM43" i="7"/>
  <c r="CM44" i="7" s="1"/>
  <c r="CM45" i="7" s="1"/>
  <c r="CM46" i="7" s="1"/>
  <c r="CM47" i="7" s="1"/>
  <c r="CM48" i="7" s="1"/>
  <c r="CM49" i="7" s="1"/>
  <c r="CM50" i="7" s="1"/>
  <c r="CM51" i="7" s="1"/>
  <c r="CM52" i="7" s="1"/>
  <c r="CM53" i="7" s="1"/>
  <c r="CM54" i="7" s="1"/>
  <c r="CM55" i="7" s="1"/>
  <c r="CM56" i="7" s="1"/>
  <c r="CM57" i="7" s="1"/>
  <c r="CM58" i="7" s="1"/>
  <c r="CM59" i="7" s="1"/>
  <c r="CM60" i="7" s="1"/>
  <c r="CM61" i="7" s="1"/>
  <c r="CM62" i="7" s="1"/>
  <c r="CM63" i="7" s="1"/>
  <c r="CM64" i="7" s="1"/>
  <c r="CM65" i="7" s="1"/>
  <c r="CM66" i="7" s="1"/>
  <c r="CM67" i="7" s="1"/>
  <c r="CM68" i="7" s="1"/>
  <c r="CM69" i="7" s="1"/>
  <c r="CM70" i="7" s="1"/>
  <c r="CM71" i="7" s="1"/>
  <c r="CM72" i="7" s="1"/>
  <c r="CM73" i="7" s="1"/>
  <c r="CL43" i="7"/>
  <c r="CL44" i="7" s="1"/>
  <c r="CL45" i="7" s="1"/>
  <c r="CL46" i="7" s="1"/>
  <c r="CL47" i="7" s="1"/>
  <c r="CL48" i="7" s="1"/>
  <c r="CL49" i="7" s="1"/>
  <c r="CL50" i="7" s="1"/>
  <c r="CL51" i="7" s="1"/>
  <c r="CL52" i="7" s="1"/>
  <c r="CL53" i="7" s="1"/>
  <c r="CL54" i="7" s="1"/>
  <c r="CL55" i="7" s="1"/>
  <c r="CL56" i="7" s="1"/>
  <c r="CL57" i="7" s="1"/>
  <c r="CL58" i="7" s="1"/>
  <c r="CL59" i="7" s="1"/>
  <c r="CL60" i="7" s="1"/>
  <c r="CL61" i="7" s="1"/>
  <c r="CL62" i="7" s="1"/>
  <c r="CL63" i="7" s="1"/>
  <c r="CL64" i="7" s="1"/>
  <c r="CL65" i="7" s="1"/>
  <c r="CL66" i="7" s="1"/>
  <c r="CL67" i="7" s="1"/>
  <c r="CL68" i="7" s="1"/>
  <c r="CL69" i="7" s="1"/>
  <c r="CL70" i="7" s="1"/>
  <c r="CL71" i="7" s="1"/>
  <c r="CL72" i="7" s="1"/>
  <c r="CL73" i="7" s="1"/>
  <c r="BT43" i="7"/>
  <c r="BT44" i="7" s="1"/>
  <c r="BT45" i="7" s="1"/>
  <c r="BT46" i="7" s="1"/>
  <c r="BT47" i="7" s="1"/>
  <c r="BT48" i="7" s="1"/>
  <c r="BT49" i="7" s="1"/>
  <c r="BT50" i="7" s="1"/>
  <c r="BT51" i="7" s="1"/>
  <c r="BT52" i="7" s="1"/>
  <c r="BT53" i="7" s="1"/>
  <c r="BY43" i="7"/>
  <c r="BY44" i="7" s="1"/>
  <c r="BY45" i="7" s="1"/>
  <c r="BY46" i="7" s="1"/>
  <c r="BY47" i="7" s="1"/>
  <c r="BY48" i="7" s="1"/>
  <c r="BY49" i="7" s="1"/>
  <c r="BY50" i="7" s="1"/>
  <c r="BY51" i="7" s="1"/>
  <c r="BY52" i="7" s="1"/>
  <c r="BY53" i="7" s="1"/>
  <c r="BY54" i="7" s="1"/>
  <c r="BY55" i="7" s="1"/>
  <c r="BY56" i="7" s="1"/>
  <c r="BY57" i="7" s="1"/>
  <c r="BY58" i="7" s="1"/>
  <c r="BY59" i="7" s="1"/>
  <c r="BY60" i="7" s="1"/>
  <c r="BY61" i="7" s="1"/>
  <c r="BY62" i="7" s="1"/>
  <c r="BY63" i="7" s="1"/>
  <c r="BY64" i="7" s="1"/>
  <c r="BY65" i="7" s="1"/>
  <c r="BY66" i="7" s="1"/>
  <c r="BY67" i="7" s="1"/>
  <c r="BY68" i="7" s="1"/>
  <c r="BY69" i="7" s="1"/>
  <c r="BY70" i="7" s="1"/>
  <c r="BY71" i="7" s="1"/>
  <c r="BY72" i="7" s="1"/>
  <c r="BY73" i="7" s="1"/>
  <c r="CS43" i="7"/>
  <c r="CS44" i="7" s="1"/>
  <c r="CS45" i="7" s="1"/>
  <c r="CS46" i="7" s="1"/>
  <c r="CS47" i="7" s="1"/>
  <c r="CS48" i="7" s="1"/>
  <c r="CS49" i="7" s="1"/>
  <c r="CS50" i="7" s="1"/>
  <c r="CS51" i="7" s="1"/>
  <c r="CS52" i="7" s="1"/>
  <c r="CS53" i="7" s="1"/>
  <c r="CS54" i="7" s="1"/>
  <c r="CS55" i="7" s="1"/>
  <c r="CS56" i="7" s="1"/>
  <c r="CS57" i="7" s="1"/>
  <c r="CS58" i="7" s="1"/>
  <c r="CS59" i="7" s="1"/>
  <c r="CS60" i="7" s="1"/>
  <c r="CS61" i="7" s="1"/>
  <c r="CS62" i="7" s="1"/>
  <c r="CS63" i="7" s="1"/>
  <c r="CS64" i="7" s="1"/>
  <c r="CS65" i="7" s="1"/>
  <c r="CS66" i="7" s="1"/>
  <c r="CS67" i="7" s="1"/>
  <c r="CS68" i="7" s="1"/>
  <c r="CS69" i="7" s="1"/>
  <c r="CS70" i="7" s="1"/>
  <c r="CS71" i="7" s="1"/>
  <c r="CS72" i="7" s="1"/>
  <c r="CS73" i="7" s="1"/>
  <c r="CJ43" i="7"/>
  <c r="CJ44" i="7" s="1"/>
  <c r="CJ45" i="7" s="1"/>
  <c r="CJ46" i="7" s="1"/>
  <c r="CJ47" i="7" s="1"/>
  <c r="CJ48" i="7" s="1"/>
  <c r="CJ49" i="7" s="1"/>
  <c r="CJ50" i="7" s="1"/>
  <c r="CJ51" i="7" s="1"/>
  <c r="CJ52" i="7" s="1"/>
  <c r="CJ53" i="7" s="1"/>
  <c r="CJ54" i="7" s="1"/>
  <c r="CJ55" i="7" s="1"/>
  <c r="CJ56" i="7" s="1"/>
  <c r="CJ57" i="7" s="1"/>
  <c r="CJ58" i="7" s="1"/>
  <c r="CJ59" i="7" s="1"/>
  <c r="CJ60" i="7" s="1"/>
  <c r="CJ61" i="7" s="1"/>
  <c r="CJ62" i="7" s="1"/>
  <c r="CJ63" i="7" s="1"/>
  <c r="CJ64" i="7" s="1"/>
  <c r="CJ65" i="7" s="1"/>
  <c r="CJ66" i="7" s="1"/>
  <c r="CJ67" i="7" s="1"/>
  <c r="CJ68" i="7" s="1"/>
  <c r="CJ69" i="7" s="1"/>
  <c r="CJ70" i="7" s="1"/>
  <c r="CJ71" i="7" s="1"/>
  <c r="CJ72" i="7" s="1"/>
  <c r="CJ73" i="7" s="1"/>
  <c r="BW43" i="7"/>
  <c r="BW44" i="7" s="1"/>
  <c r="BW45" i="7" s="1"/>
  <c r="BW46" i="7" s="1"/>
  <c r="BW47" i="7" s="1"/>
  <c r="BW48" i="7" s="1"/>
  <c r="BW49" i="7" s="1"/>
  <c r="BW50" i="7" s="1"/>
  <c r="BW51" i="7" s="1"/>
  <c r="BW52" i="7" s="1"/>
  <c r="BW53" i="7" s="1"/>
  <c r="BW54" i="7" s="1"/>
  <c r="BW55" i="7" s="1"/>
  <c r="BW56" i="7" s="1"/>
  <c r="BW57" i="7" s="1"/>
  <c r="BW58" i="7" s="1"/>
  <c r="BW59" i="7" s="1"/>
  <c r="BW60" i="7" s="1"/>
  <c r="BW61" i="7" s="1"/>
  <c r="BW62" i="7" s="1"/>
  <c r="BW63" i="7" s="1"/>
  <c r="BW64" i="7" s="1"/>
  <c r="BW65" i="7" s="1"/>
  <c r="BW66" i="7" s="1"/>
  <c r="BW67" i="7" s="1"/>
  <c r="BW68" i="7" s="1"/>
  <c r="BW69" i="7" s="1"/>
  <c r="BW70" i="7" s="1"/>
  <c r="BW71" i="7" s="1"/>
  <c r="BW72" i="7" s="1"/>
  <c r="BW73" i="7" s="1"/>
  <c r="CH43" i="7"/>
  <c r="CH44" i="7" s="1"/>
  <c r="CH45" i="7" s="1"/>
  <c r="CH46" i="7" s="1"/>
  <c r="CH47" i="7" s="1"/>
  <c r="CH48" i="7" s="1"/>
  <c r="CH49" i="7" s="1"/>
  <c r="CH50" i="7" s="1"/>
  <c r="CH51" i="7" s="1"/>
  <c r="CH52" i="7" s="1"/>
  <c r="CH53" i="7" s="1"/>
  <c r="CH54" i="7" s="1"/>
  <c r="CH55" i="7" s="1"/>
  <c r="CH56" i="7" s="1"/>
  <c r="CH57" i="7" s="1"/>
  <c r="CH58" i="7" s="1"/>
  <c r="CH59" i="7" s="1"/>
  <c r="CH60" i="7" s="1"/>
  <c r="CH61" i="7" s="1"/>
  <c r="CH62" i="7" s="1"/>
  <c r="CH63" i="7" s="1"/>
  <c r="CH64" i="7" s="1"/>
  <c r="CH65" i="7" s="1"/>
  <c r="CH66" i="7" s="1"/>
  <c r="CH67" i="7" s="1"/>
  <c r="CH68" i="7" s="1"/>
  <c r="CH69" i="7" s="1"/>
  <c r="CH70" i="7" s="1"/>
  <c r="CH71" i="7" s="1"/>
  <c r="CH72" i="7" s="1"/>
  <c r="CH73" i="7" s="1"/>
  <c r="CX43" i="7"/>
  <c r="CX44" i="7" s="1"/>
  <c r="CX45" i="7" s="1"/>
  <c r="CX46" i="7" s="1"/>
  <c r="CX47" i="7" s="1"/>
  <c r="CX48" i="7" s="1"/>
  <c r="CX49" i="7" s="1"/>
  <c r="CX50" i="7" s="1"/>
  <c r="CX51" i="7" s="1"/>
  <c r="CX52" i="7" s="1"/>
  <c r="CX53" i="7" s="1"/>
  <c r="CX54" i="7" s="1"/>
  <c r="CX55" i="7" s="1"/>
  <c r="CX56" i="7" s="1"/>
  <c r="CX57" i="7" s="1"/>
  <c r="CX58" i="7" s="1"/>
  <c r="CX59" i="7" s="1"/>
  <c r="CX60" i="7" s="1"/>
  <c r="CX61" i="7" s="1"/>
  <c r="CX62" i="7" s="1"/>
  <c r="CX63" i="7" s="1"/>
  <c r="CX64" i="7" s="1"/>
  <c r="CX65" i="7" s="1"/>
  <c r="CX66" i="7" s="1"/>
  <c r="CX67" i="7" s="1"/>
  <c r="CX68" i="7" s="1"/>
  <c r="CX69" i="7" s="1"/>
  <c r="CX70" i="7" s="1"/>
  <c r="CX71" i="7" s="1"/>
  <c r="CX72" i="7" s="1"/>
  <c r="CX73" i="7" s="1"/>
  <c r="CE43" i="7"/>
  <c r="CE44" i="7" s="1"/>
  <c r="CE45" i="7" s="1"/>
  <c r="CE46" i="7" s="1"/>
  <c r="CE47" i="7" s="1"/>
  <c r="CE48" i="7" s="1"/>
  <c r="CE49" i="7" s="1"/>
  <c r="CE50" i="7" s="1"/>
  <c r="CE51" i="7" s="1"/>
  <c r="CE52" i="7" s="1"/>
  <c r="CE53" i="7" s="1"/>
  <c r="CE54" i="7" s="1"/>
  <c r="CE55" i="7" s="1"/>
  <c r="CE56" i="7" s="1"/>
  <c r="CE57" i="7" s="1"/>
  <c r="CE58" i="7" s="1"/>
  <c r="CE59" i="7" s="1"/>
  <c r="CE60" i="7" s="1"/>
  <c r="CE61" i="7" s="1"/>
  <c r="CE62" i="7" s="1"/>
  <c r="CE63" i="7" s="1"/>
  <c r="CE64" i="7" s="1"/>
  <c r="CE65" i="7" s="1"/>
  <c r="CE66" i="7" s="1"/>
  <c r="CE67" i="7" s="1"/>
  <c r="CE68" i="7" s="1"/>
  <c r="CE69" i="7" s="1"/>
  <c r="CE70" i="7" s="1"/>
  <c r="CE71" i="7" s="1"/>
  <c r="CE72" i="7" s="1"/>
  <c r="CE73" i="7" s="1"/>
  <c r="CQ43" i="7"/>
  <c r="CQ44" i="7" s="1"/>
  <c r="CQ45" i="7" s="1"/>
  <c r="CQ46" i="7" s="1"/>
  <c r="CQ47" i="7" s="1"/>
  <c r="CQ48" i="7" s="1"/>
  <c r="CQ49" i="7" s="1"/>
  <c r="CQ50" i="7" s="1"/>
  <c r="CQ51" i="7" s="1"/>
  <c r="CQ52" i="7" s="1"/>
  <c r="CQ53" i="7" s="1"/>
  <c r="CQ54" i="7" s="1"/>
  <c r="CQ55" i="7" s="1"/>
  <c r="CQ56" i="7" s="1"/>
  <c r="CQ57" i="7" s="1"/>
  <c r="CQ58" i="7" s="1"/>
  <c r="CQ59" i="7" s="1"/>
  <c r="CQ60" i="7" s="1"/>
  <c r="CQ61" i="7" s="1"/>
  <c r="CQ62" i="7" s="1"/>
  <c r="CQ63" i="7" s="1"/>
  <c r="CQ64" i="7" s="1"/>
  <c r="CQ65" i="7" s="1"/>
  <c r="CQ66" i="7" s="1"/>
  <c r="CQ67" i="7" s="1"/>
  <c r="CQ68" i="7" s="1"/>
  <c r="CQ69" i="7" s="1"/>
  <c r="CQ70" i="7" s="1"/>
  <c r="CQ71" i="7" s="1"/>
  <c r="CQ72" i="7" s="1"/>
  <c r="CQ73" i="7" s="1"/>
  <c r="CC43" i="7"/>
  <c r="CC44" i="7" s="1"/>
  <c r="CC45" i="7" s="1"/>
  <c r="CC46" i="7" s="1"/>
  <c r="CC47" i="7" s="1"/>
  <c r="CC48" i="7" s="1"/>
  <c r="CC49" i="7" s="1"/>
  <c r="CC50" i="7" s="1"/>
  <c r="CC51" i="7" s="1"/>
  <c r="CC52" i="7" s="1"/>
  <c r="CC53" i="7" s="1"/>
  <c r="CC54" i="7" s="1"/>
  <c r="CC55" i="7" s="1"/>
  <c r="CC56" i="7" s="1"/>
  <c r="CC57" i="7" s="1"/>
  <c r="CC58" i="7" s="1"/>
  <c r="CC59" i="7" s="1"/>
  <c r="CC60" i="7" s="1"/>
  <c r="CC61" i="7" s="1"/>
  <c r="CC62" i="7" s="1"/>
  <c r="CC63" i="7" s="1"/>
  <c r="CC64" i="7" s="1"/>
  <c r="CC65" i="7" s="1"/>
  <c r="CC66" i="7" s="1"/>
  <c r="CC67" i="7" s="1"/>
  <c r="CC68" i="7" s="1"/>
  <c r="CC69" i="7" s="1"/>
  <c r="CC70" i="7" s="1"/>
  <c r="CC71" i="7" s="1"/>
  <c r="CC72" i="7" s="1"/>
  <c r="CC73" i="7" s="1"/>
  <c r="CG43" i="7"/>
  <c r="CW43" i="7"/>
  <c r="CW44" i="7" s="1"/>
  <c r="CW45" i="7" s="1"/>
  <c r="CW46" i="7" s="1"/>
  <c r="CW47" i="7" s="1"/>
  <c r="CW48" i="7" s="1"/>
  <c r="CW49" i="7" s="1"/>
  <c r="CW50" i="7" s="1"/>
  <c r="CW51" i="7" s="1"/>
  <c r="CW52" i="7" s="1"/>
  <c r="CW53" i="7" s="1"/>
  <c r="CW54" i="7" s="1"/>
  <c r="CW55" i="7" s="1"/>
  <c r="CW56" i="7" s="1"/>
  <c r="CW57" i="7" s="1"/>
  <c r="CW58" i="7" s="1"/>
  <c r="CW59" i="7" s="1"/>
  <c r="CW60" i="7" s="1"/>
  <c r="CW61" i="7" s="1"/>
  <c r="CW62" i="7" s="1"/>
  <c r="CW63" i="7" s="1"/>
  <c r="CW64" i="7" s="1"/>
  <c r="CW65" i="7" s="1"/>
  <c r="CW66" i="7" s="1"/>
  <c r="CW67" i="7" s="1"/>
  <c r="CW68" i="7" s="1"/>
  <c r="CW69" i="7" s="1"/>
  <c r="CW70" i="7" s="1"/>
  <c r="CW71" i="7" s="1"/>
  <c r="CW72" i="7" s="1"/>
  <c r="CW73" i="7" s="1"/>
  <c r="CF43" i="7"/>
  <c r="CF44" i="7" s="1"/>
  <c r="CF45" i="7" s="1"/>
  <c r="CF46" i="7" s="1"/>
  <c r="CF47" i="7" s="1"/>
  <c r="CF48" i="7" s="1"/>
  <c r="CF49" i="7" s="1"/>
  <c r="CF50" i="7" s="1"/>
  <c r="CF51" i="7" s="1"/>
  <c r="CF52" i="7" s="1"/>
  <c r="CF53" i="7" s="1"/>
  <c r="CF54" i="7" s="1"/>
  <c r="CF55" i="7" s="1"/>
  <c r="CF56" i="7" s="1"/>
  <c r="CF57" i="7" s="1"/>
  <c r="CF58" i="7" s="1"/>
  <c r="CF59" i="7" s="1"/>
  <c r="CF60" i="7" s="1"/>
  <c r="CF61" i="7" s="1"/>
  <c r="CF62" i="7" s="1"/>
  <c r="CF63" i="7" s="1"/>
  <c r="CF64" i="7" s="1"/>
  <c r="CF65" i="7" s="1"/>
  <c r="CF66" i="7" s="1"/>
  <c r="CF67" i="7" s="1"/>
  <c r="CF68" i="7" s="1"/>
  <c r="CF69" i="7" s="1"/>
  <c r="CF70" i="7" s="1"/>
  <c r="CF71" i="7" s="1"/>
  <c r="CF72" i="7" s="1"/>
  <c r="CF73" i="7" s="1"/>
  <c r="BR42" i="7"/>
  <c r="BQ43" i="7"/>
  <c r="BQ44" i="7" s="1"/>
  <c r="BQ45" i="7" s="1"/>
  <c r="BQ46" i="7" s="1"/>
  <c r="BF43" i="7"/>
  <c r="BF44" i="7" s="1"/>
  <c r="BF45" i="7" s="1"/>
  <c r="BF46" i="7" s="1"/>
  <c r="BF47" i="7" s="1"/>
  <c r="BF48" i="7" s="1"/>
  <c r="BF49" i="7" s="1"/>
  <c r="BF50" i="7" s="1"/>
  <c r="BF51" i="7" s="1"/>
  <c r="BF52" i="7" s="1"/>
  <c r="BF53" i="7" s="1"/>
  <c r="BF54" i="7" s="1"/>
  <c r="BF55" i="7" s="1"/>
  <c r="BF56" i="7" s="1"/>
  <c r="BF57" i="7" s="1"/>
  <c r="BF58" i="7" s="1"/>
  <c r="BF59" i="7" s="1"/>
  <c r="BF60" i="7" s="1"/>
  <c r="BF61" i="7" s="1"/>
  <c r="BF62" i="7" s="1"/>
  <c r="BF63" i="7" s="1"/>
  <c r="BF64" i="7" s="1"/>
  <c r="BF65" i="7" s="1"/>
  <c r="BF66" i="7" s="1"/>
  <c r="BF67" i="7" s="1"/>
  <c r="BF68" i="7" s="1"/>
  <c r="BF69" i="7" s="1"/>
  <c r="BF70" i="7" s="1"/>
  <c r="BF71" i="7" s="1"/>
  <c r="BF72" i="7" s="1"/>
  <c r="BF73" i="7" s="1"/>
  <c r="BM43" i="7"/>
  <c r="BM44" i="7" s="1"/>
  <c r="BM45" i="7" s="1"/>
  <c r="BM46" i="7" s="1"/>
  <c r="BM47" i="7" s="1"/>
  <c r="BM48" i="7" s="1"/>
  <c r="BM49" i="7" s="1"/>
  <c r="BM50" i="7" s="1"/>
  <c r="BM51" i="7" s="1"/>
  <c r="BM52" i="7" s="1"/>
  <c r="BM53" i="7" s="1"/>
  <c r="BM54" i="7" s="1"/>
  <c r="BM55" i="7" s="1"/>
  <c r="BM56" i="7" s="1"/>
  <c r="BM57" i="7" s="1"/>
  <c r="BM58" i="7" s="1"/>
  <c r="BM59" i="7" s="1"/>
  <c r="BM60" i="7" s="1"/>
  <c r="BM61" i="7" s="1"/>
  <c r="BM62" i="7" s="1"/>
  <c r="BM63" i="7" s="1"/>
  <c r="BM64" i="7" s="1"/>
  <c r="BM65" i="7" s="1"/>
  <c r="BM66" i="7" s="1"/>
  <c r="BM67" i="7" s="1"/>
  <c r="BM68" i="7" s="1"/>
  <c r="BM69" i="7" s="1"/>
  <c r="BM70" i="7" s="1"/>
  <c r="BM71" i="7" s="1"/>
  <c r="BM72" i="7" s="1"/>
  <c r="BM73" i="7" s="1"/>
  <c r="AQ43" i="7"/>
  <c r="AQ44" i="7" s="1"/>
  <c r="AQ45" i="7" s="1"/>
  <c r="AQ46" i="7" s="1"/>
  <c r="AQ47" i="7" s="1"/>
  <c r="AQ48" i="7" s="1"/>
  <c r="AQ49" i="7" s="1"/>
  <c r="AQ50" i="7" s="1"/>
  <c r="AQ51" i="7" s="1"/>
  <c r="AQ52" i="7" s="1"/>
  <c r="AQ53" i="7" s="1"/>
  <c r="AQ54" i="7" s="1"/>
  <c r="AQ55" i="7" s="1"/>
  <c r="AQ56" i="7" s="1"/>
  <c r="AQ57" i="7" s="1"/>
  <c r="AQ58" i="7" s="1"/>
  <c r="AQ59" i="7" s="1"/>
  <c r="AQ60" i="7" s="1"/>
  <c r="AQ61" i="7" s="1"/>
  <c r="AQ62" i="7" s="1"/>
  <c r="AQ63" i="7" s="1"/>
  <c r="AQ64" i="7" s="1"/>
  <c r="AQ65" i="7" s="1"/>
  <c r="AQ66" i="7" s="1"/>
  <c r="AQ67" i="7" s="1"/>
  <c r="AQ68" i="7" s="1"/>
  <c r="AQ69" i="7" s="1"/>
  <c r="AQ70" i="7" s="1"/>
  <c r="AQ71" i="7" s="1"/>
  <c r="AQ72" i="7" s="1"/>
  <c r="AQ73" i="7" s="1"/>
  <c r="BC43" i="7"/>
  <c r="BC44" i="7" s="1"/>
  <c r="BC45" i="7" s="1"/>
  <c r="BC46" i="7" s="1"/>
  <c r="BC47" i="7" s="1"/>
  <c r="BC48" i="7" s="1"/>
  <c r="BC49" i="7" s="1"/>
  <c r="BC50" i="7" s="1"/>
  <c r="BC51" i="7" s="1"/>
  <c r="BC52" i="7" s="1"/>
  <c r="BC53" i="7" s="1"/>
  <c r="BC54" i="7" s="1"/>
  <c r="BC55" i="7" s="1"/>
  <c r="BC56" i="7" s="1"/>
  <c r="BC57" i="7" s="1"/>
  <c r="BC58" i="7" s="1"/>
  <c r="BC59" i="7" s="1"/>
  <c r="BC60" i="7" s="1"/>
  <c r="BC61" i="7" s="1"/>
  <c r="BC62" i="7" s="1"/>
  <c r="BC63" i="7" s="1"/>
  <c r="BC64" i="7" s="1"/>
  <c r="BC65" i="7" s="1"/>
  <c r="BC66" i="7" s="1"/>
  <c r="BC67" i="7" s="1"/>
  <c r="BC68" i="7" s="1"/>
  <c r="BC69" i="7" s="1"/>
  <c r="BC70" i="7" s="1"/>
  <c r="BC71" i="7" s="1"/>
  <c r="BC72" i="7" s="1"/>
  <c r="BC73" i="7" s="1"/>
  <c r="BI43" i="7"/>
  <c r="BI44" i="7" s="1"/>
  <c r="BI45" i="7" s="1"/>
  <c r="BI46" i="7" s="1"/>
  <c r="BI47" i="7" s="1"/>
  <c r="BI48" i="7" s="1"/>
  <c r="BI49" i="7" s="1"/>
  <c r="BI50" i="7" s="1"/>
  <c r="BI51" i="7" s="1"/>
  <c r="BI52" i="7" s="1"/>
  <c r="BI53" i="7" s="1"/>
  <c r="BI54" i="7" s="1"/>
  <c r="BI55" i="7" s="1"/>
  <c r="BI56" i="7" s="1"/>
  <c r="BI57" i="7" s="1"/>
  <c r="BI58" i="7" s="1"/>
  <c r="BI59" i="7" s="1"/>
  <c r="BI60" i="7" s="1"/>
  <c r="BI61" i="7" s="1"/>
  <c r="BI62" i="7" s="1"/>
  <c r="BI63" i="7" s="1"/>
  <c r="BI64" i="7" s="1"/>
  <c r="BI65" i="7" s="1"/>
  <c r="BI66" i="7" s="1"/>
  <c r="BI67" i="7" s="1"/>
  <c r="BI68" i="7" s="1"/>
  <c r="BI69" i="7" s="1"/>
  <c r="BI70" i="7" s="1"/>
  <c r="BI71" i="7" s="1"/>
  <c r="BI72" i="7" s="1"/>
  <c r="BI73" i="7" s="1"/>
  <c r="AL43" i="7"/>
  <c r="AL44" i="7" s="1"/>
  <c r="AL45" i="7" s="1"/>
  <c r="AL46" i="7" s="1"/>
  <c r="AL47" i="7" s="1"/>
  <c r="AL48" i="7" s="1"/>
  <c r="AL49" i="7" s="1"/>
  <c r="AL50" i="7" s="1"/>
  <c r="AL51" i="7" s="1"/>
  <c r="AL52" i="7" s="1"/>
  <c r="AL53" i="7" s="1"/>
  <c r="AL54" i="7" s="1"/>
  <c r="AL55" i="7" s="1"/>
  <c r="AL56" i="7" s="1"/>
  <c r="AL57" i="7" s="1"/>
  <c r="AL58" i="7" s="1"/>
  <c r="AL59" i="7" s="1"/>
  <c r="AL60" i="7" s="1"/>
  <c r="AL61" i="7" s="1"/>
  <c r="AL62" i="7" s="1"/>
  <c r="AL63" i="7" s="1"/>
  <c r="AL64" i="7" s="1"/>
  <c r="AL65" i="7" s="1"/>
  <c r="AL66" i="7" s="1"/>
  <c r="AL67" i="7" s="1"/>
  <c r="AL68" i="7" s="1"/>
  <c r="AL69" i="7" s="1"/>
  <c r="AL70" i="7" s="1"/>
  <c r="AL71" i="7" s="1"/>
  <c r="AL72" i="7" s="1"/>
  <c r="AL73" i="7" s="1"/>
  <c r="AW43" i="7"/>
  <c r="AW44" i="7" s="1"/>
  <c r="AW45" i="7" s="1"/>
  <c r="AW46" i="7" s="1"/>
  <c r="AW47" i="7" s="1"/>
  <c r="AW48" i="7" s="1"/>
  <c r="AW49" i="7" s="1"/>
  <c r="AW50" i="7" s="1"/>
  <c r="AW51" i="7" s="1"/>
  <c r="AW52" i="7" s="1"/>
  <c r="AW53" i="7" s="1"/>
  <c r="AW54" i="7" s="1"/>
  <c r="AW55" i="7" s="1"/>
  <c r="AW56" i="7" s="1"/>
  <c r="AW57" i="7" s="1"/>
  <c r="AW58" i="7" s="1"/>
  <c r="AW59" i="7" s="1"/>
  <c r="AW60" i="7" s="1"/>
  <c r="AW61" i="7" s="1"/>
  <c r="AW62" i="7" s="1"/>
  <c r="AW63" i="7" s="1"/>
  <c r="AW64" i="7" s="1"/>
  <c r="AW65" i="7" s="1"/>
  <c r="AW66" i="7" s="1"/>
  <c r="AW67" i="7" s="1"/>
  <c r="AW68" i="7" s="1"/>
  <c r="AW69" i="7" s="1"/>
  <c r="AW70" i="7" s="1"/>
  <c r="AW71" i="7" s="1"/>
  <c r="AW72" i="7" s="1"/>
  <c r="AW73" i="7" s="1"/>
  <c r="BL43" i="7"/>
  <c r="BL44" i="7" s="1"/>
  <c r="BL45" i="7" s="1"/>
  <c r="BL46" i="7" s="1"/>
  <c r="BL47" i="7" s="1"/>
  <c r="BL48" i="7" s="1"/>
  <c r="BL49" i="7" s="1"/>
  <c r="BL50" i="7" s="1"/>
  <c r="BL51" i="7" s="1"/>
  <c r="BL52" i="7" s="1"/>
  <c r="BL53" i="7" s="1"/>
  <c r="BL54" i="7" s="1"/>
  <c r="BL55" i="7" s="1"/>
  <c r="BL56" i="7" s="1"/>
  <c r="BL57" i="7" s="1"/>
  <c r="BL58" i="7" s="1"/>
  <c r="BL59" i="7" s="1"/>
  <c r="BL60" i="7" s="1"/>
  <c r="BL61" i="7" s="1"/>
  <c r="BL62" i="7" s="1"/>
  <c r="BL63" i="7" s="1"/>
  <c r="BL64" i="7" s="1"/>
  <c r="BL65" i="7" s="1"/>
  <c r="BL66" i="7" s="1"/>
  <c r="BL67" i="7" s="1"/>
  <c r="BL68" i="7" s="1"/>
  <c r="BL69" i="7" s="1"/>
  <c r="BL70" i="7" s="1"/>
  <c r="BL71" i="7" s="1"/>
  <c r="BL72" i="7" s="1"/>
  <c r="BL73" i="7" s="1"/>
  <c r="BO43" i="7"/>
  <c r="BO44" i="7" s="1"/>
  <c r="BO45" i="7" s="1"/>
  <c r="BO46" i="7" s="1"/>
  <c r="BO47" i="7" s="1"/>
  <c r="BO48" i="7" s="1"/>
  <c r="BO49" i="7" s="1"/>
  <c r="BO50" i="7" s="1"/>
  <c r="BO51" i="7" s="1"/>
  <c r="BO52" i="7" s="1"/>
  <c r="BO53" i="7" s="1"/>
  <c r="BO54" i="7" s="1"/>
  <c r="BO55" i="7" s="1"/>
  <c r="BO56" i="7" s="1"/>
  <c r="BO57" i="7" s="1"/>
  <c r="BO58" i="7" s="1"/>
  <c r="BO59" i="7" s="1"/>
  <c r="BO60" i="7" s="1"/>
  <c r="BO61" i="7" s="1"/>
  <c r="BO62" i="7" s="1"/>
  <c r="BO63" i="7" s="1"/>
  <c r="BO64" i="7" s="1"/>
  <c r="BO65" i="7" s="1"/>
  <c r="BO66" i="7" s="1"/>
  <c r="BO67" i="7" s="1"/>
  <c r="BO68" i="7" s="1"/>
  <c r="BO69" i="7" s="1"/>
  <c r="BO70" i="7" s="1"/>
  <c r="BO71" i="7" s="1"/>
  <c r="BO72" i="7" s="1"/>
  <c r="BO73" i="7" s="1"/>
  <c r="AM43" i="7"/>
  <c r="AM44" i="7" s="1"/>
  <c r="AM45" i="7" s="1"/>
  <c r="AM46" i="7" s="1"/>
  <c r="AM47" i="7" s="1"/>
  <c r="AM48" i="7" s="1"/>
  <c r="AM49" i="7" s="1"/>
  <c r="AM50" i="7" s="1"/>
  <c r="AM51" i="7" s="1"/>
  <c r="AM52" i="7" s="1"/>
  <c r="AM53" i="7" s="1"/>
  <c r="AM54" i="7" s="1"/>
  <c r="AM55" i="7" s="1"/>
  <c r="AM56" i="7" s="1"/>
  <c r="AM57" i="7" s="1"/>
  <c r="AM58" i="7" s="1"/>
  <c r="AM59" i="7" s="1"/>
  <c r="AM60" i="7" s="1"/>
  <c r="AM61" i="7" s="1"/>
  <c r="AM62" i="7" s="1"/>
  <c r="AM63" i="7" s="1"/>
  <c r="AM64" i="7" s="1"/>
  <c r="AM65" i="7" s="1"/>
  <c r="AM66" i="7" s="1"/>
  <c r="AM67" i="7" s="1"/>
  <c r="AM68" i="7" s="1"/>
  <c r="AM69" i="7" s="1"/>
  <c r="AM70" i="7" s="1"/>
  <c r="AM71" i="7" s="1"/>
  <c r="AM72" i="7" s="1"/>
  <c r="AM73" i="7" s="1"/>
  <c r="AP43" i="7"/>
  <c r="AP44" i="7" s="1"/>
  <c r="AP45" i="7" s="1"/>
  <c r="AP46" i="7" s="1"/>
  <c r="AP47" i="7" s="1"/>
  <c r="AP48" i="7" s="1"/>
  <c r="AP49" i="7" s="1"/>
  <c r="AP50" i="7" s="1"/>
  <c r="AP51" i="7" s="1"/>
  <c r="AP52" i="7" s="1"/>
  <c r="AP53" i="7" s="1"/>
  <c r="AP54" i="7" s="1"/>
  <c r="AP55" i="7" s="1"/>
  <c r="AP56" i="7" s="1"/>
  <c r="AP57" i="7" s="1"/>
  <c r="AP58" i="7" s="1"/>
  <c r="AP59" i="7" s="1"/>
  <c r="AP60" i="7" s="1"/>
  <c r="AP61" i="7" s="1"/>
  <c r="AP62" i="7" s="1"/>
  <c r="AP63" i="7" s="1"/>
  <c r="AP64" i="7" s="1"/>
  <c r="AP65" i="7" s="1"/>
  <c r="AP66" i="7" s="1"/>
  <c r="AP67" i="7" s="1"/>
  <c r="AP68" i="7" s="1"/>
  <c r="AP69" i="7" s="1"/>
  <c r="AP70" i="7" s="1"/>
  <c r="AP71" i="7" s="1"/>
  <c r="AP72" i="7" s="1"/>
  <c r="AP73" i="7" s="1"/>
  <c r="BJ43" i="7"/>
  <c r="BJ44" i="7" s="1"/>
  <c r="BJ45" i="7" s="1"/>
  <c r="BJ46" i="7" s="1"/>
  <c r="BJ47" i="7" s="1"/>
  <c r="BJ48" i="7" s="1"/>
  <c r="BJ49" i="7" s="1"/>
  <c r="BJ50" i="7" s="1"/>
  <c r="BJ51" i="7" s="1"/>
  <c r="BJ52" i="7" s="1"/>
  <c r="BJ53" i="7" s="1"/>
  <c r="BJ54" i="7" s="1"/>
  <c r="BJ55" i="7" s="1"/>
  <c r="BJ56" i="7" s="1"/>
  <c r="BJ57" i="7" s="1"/>
  <c r="BJ58" i="7" s="1"/>
  <c r="BJ59" i="7" s="1"/>
  <c r="BJ60" i="7" s="1"/>
  <c r="BJ61" i="7" s="1"/>
  <c r="BJ62" i="7" s="1"/>
  <c r="BJ63" i="7" s="1"/>
  <c r="BJ64" i="7" s="1"/>
  <c r="BJ65" i="7" s="1"/>
  <c r="BJ66" i="7" s="1"/>
  <c r="BJ67" i="7" s="1"/>
  <c r="BJ68" i="7" s="1"/>
  <c r="BJ69" i="7" s="1"/>
  <c r="BJ70" i="7" s="1"/>
  <c r="BJ71" i="7" s="1"/>
  <c r="BJ72" i="7" s="1"/>
  <c r="BJ73" i="7" s="1"/>
  <c r="AK43" i="7"/>
  <c r="AK44" i="7" s="1"/>
  <c r="AK45" i="7" s="1"/>
  <c r="AK46" i="7" s="1"/>
  <c r="AK47" i="7" s="1"/>
  <c r="AK48" i="7" s="1"/>
  <c r="AK49" i="7" s="1"/>
  <c r="AK50" i="7" s="1"/>
  <c r="AK51" i="7" s="1"/>
  <c r="AK52" i="7" s="1"/>
  <c r="AK53" i="7" s="1"/>
  <c r="AR43" i="7"/>
  <c r="AR44" i="7" s="1"/>
  <c r="AR45" i="7" s="1"/>
  <c r="AR46" i="7" s="1"/>
  <c r="AR47" i="7" s="1"/>
  <c r="AR48" i="7" s="1"/>
  <c r="AR49" i="7" s="1"/>
  <c r="AR50" i="7" s="1"/>
  <c r="AR51" i="7" s="1"/>
  <c r="AR52" i="7" s="1"/>
  <c r="AR53" i="7" s="1"/>
  <c r="AR54" i="7" s="1"/>
  <c r="AR55" i="7" s="1"/>
  <c r="AR56" i="7" s="1"/>
  <c r="AR57" i="7" s="1"/>
  <c r="AR58" i="7" s="1"/>
  <c r="AR59" i="7" s="1"/>
  <c r="AR60" i="7" s="1"/>
  <c r="AR61" i="7" s="1"/>
  <c r="AR62" i="7" s="1"/>
  <c r="AR63" i="7" s="1"/>
  <c r="AR64" i="7" s="1"/>
  <c r="AR65" i="7" s="1"/>
  <c r="AR66" i="7" s="1"/>
  <c r="AR67" i="7" s="1"/>
  <c r="AR68" i="7" s="1"/>
  <c r="AR69" i="7" s="1"/>
  <c r="AR70" i="7" s="1"/>
  <c r="AR71" i="7" s="1"/>
  <c r="AR72" i="7" s="1"/>
  <c r="AR73" i="7" s="1"/>
  <c r="BG43" i="7"/>
  <c r="BG44" i="7" s="1"/>
  <c r="BG45" i="7" s="1"/>
  <c r="BG46" i="7" s="1"/>
  <c r="BG47" i="7" s="1"/>
  <c r="BG48" i="7" s="1"/>
  <c r="BG49" i="7" s="1"/>
  <c r="BG50" i="7" s="1"/>
  <c r="BG51" i="7" s="1"/>
  <c r="BG52" i="7" s="1"/>
  <c r="BG53" i="7" s="1"/>
  <c r="BG54" i="7" s="1"/>
  <c r="BG55" i="7" s="1"/>
  <c r="BG56" i="7" s="1"/>
  <c r="BG57" i="7" s="1"/>
  <c r="BG58" i="7" s="1"/>
  <c r="BG59" i="7" s="1"/>
  <c r="BG60" i="7" s="1"/>
  <c r="BG61" i="7" s="1"/>
  <c r="BG62" i="7" s="1"/>
  <c r="BG63" i="7" s="1"/>
  <c r="BG64" i="7" s="1"/>
  <c r="BG65" i="7" s="1"/>
  <c r="BG66" i="7" s="1"/>
  <c r="BG67" i="7" s="1"/>
  <c r="BG68" i="7" s="1"/>
  <c r="BG69" i="7" s="1"/>
  <c r="BG70" i="7" s="1"/>
  <c r="BG71" i="7" s="1"/>
  <c r="BG72" i="7" s="1"/>
  <c r="BG73" i="7" s="1"/>
  <c r="AO43" i="7"/>
  <c r="AO44" i="7" s="1"/>
  <c r="AO45" i="7" s="1"/>
  <c r="AO46" i="7" s="1"/>
  <c r="AO47" i="7" s="1"/>
  <c r="AO48" i="7" s="1"/>
  <c r="AO49" i="7" s="1"/>
  <c r="AO50" i="7" s="1"/>
  <c r="AO51" i="7" s="1"/>
  <c r="AO52" i="7" s="1"/>
  <c r="AO53" i="7" s="1"/>
  <c r="AO54" i="7" s="1"/>
  <c r="AO55" i="7" s="1"/>
  <c r="AO56" i="7" s="1"/>
  <c r="AO57" i="7" s="1"/>
  <c r="AO58" i="7" s="1"/>
  <c r="AO59" i="7" s="1"/>
  <c r="AO60" i="7" s="1"/>
  <c r="AO61" i="7" s="1"/>
  <c r="AO62" i="7" s="1"/>
  <c r="AO63" i="7" s="1"/>
  <c r="AO64" i="7" s="1"/>
  <c r="AO65" i="7" s="1"/>
  <c r="AO66" i="7" s="1"/>
  <c r="AO67" i="7" s="1"/>
  <c r="AO68" i="7" s="1"/>
  <c r="AO69" i="7" s="1"/>
  <c r="AO70" i="7" s="1"/>
  <c r="AO71" i="7" s="1"/>
  <c r="AO72" i="7" s="1"/>
  <c r="AO73" i="7" s="1"/>
  <c r="AZ43" i="7"/>
  <c r="AZ44" i="7" s="1"/>
  <c r="AZ45" i="7" s="1"/>
  <c r="AZ46" i="7" s="1"/>
  <c r="AZ47" i="7" s="1"/>
  <c r="AZ48" i="7" s="1"/>
  <c r="AZ49" i="7" s="1"/>
  <c r="AZ50" i="7" s="1"/>
  <c r="AZ51" i="7" s="1"/>
  <c r="AZ52" i="7" s="1"/>
  <c r="AZ53" i="7" s="1"/>
  <c r="AZ54" i="7" s="1"/>
  <c r="AZ55" i="7" s="1"/>
  <c r="AZ56" i="7" s="1"/>
  <c r="AZ57" i="7" s="1"/>
  <c r="AZ58" i="7" s="1"/>
  <c r="AZ59" i="7" s="1"/>
  <c r="AZ60" i="7" s="1"/>
  <c r="AZ61" i="7" s="1"/>
  <c r="AZ62" i="7" s="1"/>
  <c r="AZ63" i="7" s="1"/>
  <c r="AZ64" i="7" s="1"/>
  <c r="AZ65" i="7" s="1"/>
  <c r="AZ66" i="7" s="1"/>
  <c r="AZ67" i="7" s="1"/>
  <c r="AZ68" i="7" s="1"/>
  <c r="AZ69" i="7" s="1"/>
  <c r="AZ70" i="7" s="1"/>
  <c r="AZ71" i="7" s="1"/>
  <c r="AZ72" i="7" s="1"/>
  <c r="AZ73" i="7" s="1"/>
  <c r="BP43" i="7"/>
  <c r="BP44" i="7" s="1"/>
  <c r="BP45" i="7" s="1"/>
  <c r="BP46" i="7" s="1"/>
  <c r="BP47" i="7" s="1"/>
  <c r="BP48" i="7" s="1"/>
  <c r="BP49" i="7" s="1"/>
  <c r="BP50" i="7" s="1"/>
  <c r="BP51" i="7" s="1"/>
  <c r="BP52" i="7" s="1"/>
  <c r="BP53" i="7" s="1"/>
  <c r="BP54" i="7" s="1"/>
  <c r="BP55" i="7" s="1"/>
  <c r="BP56" i="7" s="1"/>
  <c r="BP57" i="7" s="1"/>
  <c r="BP58" i="7" s="1"/>
  <c r="BP59" i="7" s="1"/>
  <c r="BP60" i="7" s="1"/>
  <c r="BP61" i="7" s="1"/>
  <c r="BP62" i="7" s="1"/>
  <c r="BP63" i="7" s="1"/>
  <c r="BP64" i="7" s="1"/>
  <c r="BP65" i="7" s="1"/>
  <c r="BP66" i="7" s="1"/>
  <c r="BP67" i="7" s="1"/>
  <c r="BP68" i="7" s="1"/>
  <c r="BP69" i="7" s="1"/>
  <c r="BP70" i="7" s="1"/>
  <c r="BP71" i="7" s="1"/>
  <c r="BP72" i="7" s="1"/>
  <c r="BP73" i="7" s="1"/>
  <c r="BA43" i="7"/>
  <c r="BA44" i="7" s="1"/>
  <c r="BA45" i="7" s="1"/>
  <c r="BA46" i="7" s="1"/>
  <c r="BA47" i="7" s="1"/>
  <c r="BA48" i="7" s="1"/>
  <c r="BA49" i="7" s="1"/>
  <c r="BA50" i="7" s="1"/>
  <c r="BA51" i="7" s="1"/>
  <c r="BA52" i="7" s="1"/>
  <c r="BA53" i="7" s="1"/>
  <c r="BA54" i="7" s="1"/>
  <c r="BA55" i="7" s="1"/>
  <c r="BA56" i="7" s="1"/>
  <c r="BA57" i="7" s="1"/>
  <c r="BA58" i="7" s="1"/>
  <c r="BA59" i="7" s="1"/>
  <c r="BA60" i="7" s="1"/>
  <c r="BA61" i="7" s="1"/>
  <c r="BA62" i="7" s="1"/>
  <c r="BA63" i="7" s="1"/>
  <c r="BA64" i="7" s="1"/>
  <c r="BA65" i="7" s="1"/>
  <c r="BA66" i="7" s="1"/>
  <c r="BA67" i="7" s="1"/>
  <c r="BA68" i="7" s="1"/>
  <c r="BA69" i="7" s="1"/>
  <c r="BA70" i="7" s="1"/>
  <c r="BA71" i="7" s="1"/>
  <c r="BA72" i="7" s="1"/>
  <c r="BA73" i="7" s="1"/>
  <c r="BH43" i="7"/>
  <c r="BH44" i="7" s="1"/>
  <c r="BH45" i="7" s="1"/>
  <c r="BH46" i="7" s="1"/>
  <c r="BH47" i="7" s="1"/>
  <c r="BH48" i="7" s="1"/>
  <c r="BH49" i="7" s="1"/>
  <c r="BH50" i="7" s="1"/>
  <c r="BH51" i="7" s="1"/>
  <c r="BH52" i="7" s="1"/>
  <c r="BH53" i="7" s="1"/>
  <c r="BH54" i="7" s="1"/>
  <c r="BH55" i="7" s="1"/>
  <c r="BH56" i="7" s="1"/>
  <c r="BH57" i="7" s="1"/>
  <c r="BH58" i="7" s="1"/>
  <c r="BH59" i="7" s="1"/>
  <c r="BH60" i="7" s="1"/>
  <c r="BH61" i="7" s="1"/>
  <c r="BH62" i="7" s="1"/>
  <c r="BH63" i="7" s="1"/>
  <c r="BH64" i="7" s="1"/>
  <c r="BH65" i="7" s="1"/>
  <c r="BH66" i="7" s="1"/>
  <c r="BH67" i="7" s="1"/>
  <c r="BH68" i="7" s="1"/>
  <c r="BH69" i="7" s="1"/>
  <c r="BH70" i="7" s="1"/>
  <c r="BH71" i="7" s="1"/>
  <c r="BH72" i="7" s="1"/>
  <c r="BH73" i="7" s="1"/>
  <c r="BE43" i="7"/>
  <c r="BE44" i="7" s="1"/>
  <c r="BE45" i="7" s="1"/>
  <c r="BE46" i="7" s="1"/>
  <c r="BE47" i="7" s="1"/>
  <c r="BE48" i="7" s="1"/>
  <c r="BE49" i="7" s="1"/>
  <c r="BE50" i="7" s="1"/>
  <c r="BE51" i="7" s="1"/>
  <c r="BE52" i="7" s="1"/>
  <c r="BE53" i="7" s="1"/>
  <c r="BE54" i="7" s="1"/>
  <c r="BE55" i="7" s="1"/>
  <c r="BE56" i="7" s="1"/>
  <c r="BE57" i="7" s="1"/>
  <c r="BE58" i="7" s="1"/>
  <c r="BE59" i="7" s="1"/>
  <c r="BE60" i="7" s="1"/>
  <c r="BE61" i="7" s="1"/>
  <c r="BE62" i="7" s="1"/>
  <c r="BE63" i="7" s="1"/>
  <c r="BE64" i="7" s="1"/>
  <c r="BE65" i="7" s="1"/>
  <c r="BE66" i="7" s="1"/>
  <c r="BE67" i="7" s="1"/>
  <c r="BE68" i="7" s="1"/>
  <c r="BE69" i="7" s="1"/>
  <c r="BE70" i="7" s="1"/>
  <c r="BE71" i="7" s="1"/>
  <c r="BE72" i="7" s="1"/>
  <c r="BE73" i="7" s="1"/>
  <c r="AX43" i="7"/>
  <c r="BN43" i="7"/>
  <c r="BN44" i="7" s="1"/>
  <c r="BN45" i="7" s="1"/>
  <c r="BN46" i="7" s="1"/>
  <c r="BN47" i="7" s="1"/>
  <c r="BN48" i="7" s="1"/>
  <c r="BN49" i="7" s="1"/>
  <c r="BN50" i="7" s="1"/>
  <c r="BN51" i="7" s="1"/>
  <c r="BN52" i="7" s="1"/>
  <c r="BN53" i="7" s="1"/>
  <c r="BN54" i="7" s="1"/>
  <c r="BN55" i="7" s="1"/>
  <c r="BN56" i="7" s="1"/>
  <c r="BN57" i="7" s="1"/>
  <c r="BN58" i="7" s="1"/>
  <c r="BN59" i="7" s="1"/>
  <c r="BN60" i="7" s="1"/>
  <c r="BN61" i="7" s="1"/>
  <c r="BN62" i="7" s="1"/>
  <c r="BN63" i="7" s="1"/>
  <c r="BN64" i="7" s="1"/>
  <c r="BN65" i="7" s="1"/>
  <c r="BN66" i="7" s="1"/>
  <c r="BN67" i="7" s="1"/>
  <c r="BN68" i="7" s="1"/>
  <c r="BN69" i="7" s="1"/>
  <c r="BN70" i="7" s="1"/>
  <c r="BN71" i="7" s="1"/>
  <c r="BN72" i="7" s="1"/>
  <c r="BN73" i="7" s="1"/>
  <c r="AT43" i="7"/>
  <c r="AT44" i="7" s="1"/>
  <c r="AT45" i="7" s="1"/>
  <c r="AT46" i="7" s="1"/>
  <c r="AT47" i="7" s="1"/>
  <c r="AT48" i="7" s="1"/>
  <c r="AT49" i="7" s="1"/>
  <c r="AT50" i="7" s="1"/>
  <c r="AT51" i="7" s="1"/>
  <c r="AT52" i="7" s="1"/>
  <c r="AT53" i="7" s="1"/>
  <c r="AT54" i="7" s="1"/>
  <c r="AT55" i="7" s="1"/>
  <c r="AT56" i="7" s="1"/>
  <c r="AT57" i="7" s="1"/>
  <c r="AT58" i="7" s="1"/>
  <c r="AT59" i="7" s="1"/>
  <c r="AT60" i="7" s="1"/>
  <c r="AT61" i="7" s="1"/>
  <c r="AT62" i="7" s="1"/>
  <c r="AT63" i="7" s="1"/>
  <c r="AT64" i="7" s="1"/>
  <c r="AT65" i="7" s="1"/>
  <c r="AT66" i="7" s="1"/>
  <c r="AT67" i="7" s="1"/>
  <c r="AT68" i="7" s="1"/>
  <c r="AT69" i="7" s="1"/>
  <c r="AT70" i="7" s="1"/>
  <c r="AT71" i="7" s="1"/>
  <c r="AT72" i="7" s="1"/>
  <c r="AT73" i="7" s="1"/>
  <c r="AU43" i="7"/>
  <c r="AU44" i="7" s="1"/>
  <c r="AU45" i="7" s="1"/>
  <c r="AU46" i="7" s="1"/>
  <c r="AU47" i="7" s="1"/>
  <c r="AU48" i="7" s="1"/>
  <c r="AU49" i="7" s="1"/>
  <c r="AU50" i="7" s="1"/>
  <c r="AU51" i="7" s="1"/>
  <c r="AU52" i="7" s="1"/>
  <c r="AU53" i="7" s="1"/>
  <c r="AU54" i="7" s="1"/>
  <c r="AU55" i="7" s="1"/>
  <c r="AU56" i="7" s="1"/>
  <c r="AU57" i="7" s="1"/>
  <c r="AU58" i="7" s="1"/>
  <c r="AU59" i="7" s="1"/>
  <c r="AU60" i="7" s="1"/>
  <c r="AU61" i="7" s="1"/>
  <c r="AU62" i="7" s="1"/>
  <c r="AU63" i="7" s="1"/>
  <c r="AU64" i="7" s="1"/>
  <c r="AU65" i="7" s="1"/>
  <c r="AU66" i="7" s="1"/>
  <c r="AU67" i="7" s="1"/>
  <c r="AU68" i="7" s="1"/>
  <c r="AU69" i="7" s="1"/>
  <c r="AU70" i="7" s="1"/>
  <c r="AU71" i="7" s="1"/>
  <c r="AU72" i="7" s="1"/>
  <c r="AU73" i="7" s="1"/>
  <c r="BK43" i="7"/>
  <c r="BK44" i="7" s="1"/>
  <c r="BK45" i="7" s="1"/>
  <c r="BK46" i="7" s="1"/>
  <c r="BK47" i="7" s="1"/>
  <c r="BK48" i="7" s="1"/>
  <c r="BK49" i="7" s="1"/>
  <c r="BK50" i="7" s="1"/>
  <c r="BK51" i="7" s="1"/>
  <c r="BK52" i="7" s="1"/>
  <c r="BK53" i="7" s="1"/>
  <c r="BK54" i="7" s="1"/>
  <c r="BK55" i="7" s="1"/>
  <c r="BK56" i="7" s="1"/>
  <c r="BK57" i="7" s="1"/>
  <c r="BK58" i="7" s="1"/>
  <c r="BK59" i="7" s="1"/>
  <c r="BK60" i="7" s="1"/>
  <c r="BK61" i="7" s="1"/>
  <c r="BK62" i="7" s="1"/>
  <c r="BK63" i="7" s="1"/>
  <c r="BK64" i="7" s="1"/>
  <c r="BK65" i="7" s="1"/>
  <c r="BK66" i="7" s="1"/>
  <c r="BK67" i="7" s="1"/>
  <c r="BK68" i="7" s="1"/>
  <c r="BK69" i="7" s="1"/>
  <c r="BK70" i="7" s="1"/>
  <c r="BK71" i="7" s="1"/>
  <c r="BK72" i="7" s="1"/>
  <c r="BK73" i="7" s="1"/>
  <c r="AS43" i="7"/>
  <c r="AS44" i="7" s="1"/>
  <c r="AS45" i="7" s="1"/>
  <c r="AS46" i="7" s="1"/>
  <c r="AS47" i="7" s="1"/>
  <c r="AS48" i="7" s="1"/>
  <c r="AS49" i="7" s="1"/>
  <c r="AS50" i="7" s="1"/>
  <c r="AS51" i="7" s="1"/>
  <c r="AS52" i="7" s="1"/>
  <c r="AS53" i="7" s="1"/>
  <c r="AS54" i="7" s="1"/>
  <c r="AS55" i="7" s="1"/>
  <c r="AS56" i="7" s="1"/>
  <c r="AS57" i="7" s="1"/>
  <c r="AS58" i="7" s="1"/>
  <c r="AS59" i="7" s="1"/>
  <c r="AS60" i="7" s="1"/>
  <c r="AS61" i="7" s="1"/>
  <c r="AS62" i="7" s="1"/>
  <c r="AS63" i="7" s="1"/>
  <c r="AS64" i="7" s="1"/>
  <c r="AS65" i="7" s="1"/>
  <c r="AS66" i="7" s="1"/>
  <c r="AS67" i="7" s="1"/>
  <c r="AS68" i="7" s="1"/>
  <c r="AS69" i="7" s="1"/>
  <c r="AS70" i="7" s="1"/>
  <c r="AS71" i="7" s="1"/>
  <c r="AS72" i="7" s="1"/>
  <c r="AS73" i="7" s="1"/>
  <c r="BD43" i="7"/>
  <c r="BD44" i="7" s="1"/>
  <c r="BD45" i="7" s="1"/>
  <c r="BD46" i="7" s="1"/>
  <c r="BD47" i="7" s="1"/>
  <c r="BD48" i="7" s="1"/>
  <c r="BD49" i="7" s="1"/>
  <c r="BD50" i="7" s="1"/>
  <c r="BD51" i="7" s="1"/>
  <c r="BD52" i="7" s="1"/>
  <c r="BD53" i="7" s="1"/>
  <c r="BD54" i="7" s="1"/>
  <c r="BD55" i="7" s="1"/>
  <c r="BD56" i="7" s="1"/>
  <c r="BD57" i="7" s="1"/>
  <c r="BD58" i="7" s="1"/>
  <c r="BD59" i="7" s="1"/>
  <c r="BD60" i="7" s="1"/>
  <c r="BD61" i="7" s="1"/>
  <c r="BD62" i="7" s="1"/>
  <c r="BD63" i="7" s="1"/>
  <c r="BD64" i="7" s="1"/>
  <c r="BD65" i="7" s="1"/>
  <c r="BD66" i="7" s="1"/>
  <c r="BD67" i="7" s="1"/>
  <c r="BD68" i="7" s="1"/>
  <c r="BD69" i="7" s="1"/>
  <c r="BD70" i="7" s="1"/>
  <c r="BD71" i="7" s="1"/>
  <c r="BD72" i="7" s="1"/>
  <c r="BD73" i="7" s="1"/>
  <c r="BB43" i="7"/>
  <c r="BB44" i="7" s="1"/>
  <c r="BB45" i="7" s="1"/>
  <c r="BB46" i="7" s="1"/>
  <c r="BB47" i="7" s="1"/>
  <c r="BB48" i="7" s="1"/>
  <c r="BB49" i="7" s="1"/>
  <c r="BB50" i="7" s="1"/>
  <c r="BB51" i="7" s="1"/>
  <c r="BB52" i="7" s="1"/>
  <c r="BB53" i="7" s="1"/>
  <c r="BB54" i="7" s="1"/>
  <c r="BB55" i="7" s="1"/>
  <c r="BB56" i="7" s="1"/>
  <c r="BB57" i="7" s="1"/>
  <c r="BB58" i="7" s="1"/>
  <c r="BB59" i="7" s="1"/>
  <c r="BB60" i="7" s="1"/>
  <c r="BB61" i="7" s="1"/>
  <c r="BB62" i="7" s="1"/>
  <c r="BB63" i="7" s="1"/>
  <c r="BB64" i="7" s="1"/>
  <c r="BB65" i="7" s="1"/>
  <c r="BB66" i="7" s="1"/>
  <c r="BB67" i="7" s="1"/>
  <c r="BB68" i="7" s="1"/>
  <c r="BB69" i="7" s="1"/>
  <c r="BB70" i="7" s="1"/>
  <c r="BB71" i="7" s="1"/>
  <c r="BB72" i="7" s="1"/>
  <c r="BB73" i="7" s="1"/>
  <c r="AN43" i="7"/>
  <c r="AN44" i="7" s="1"/>
  <c r="AN45" i="7" s="1"/>
  <c r="AN46" i="7" s="1"/>
  <c r="AN47" i="7" s="1"/>
  <c r="AN48" i="7" s="1"/>
  <c r="AN49" i="7" s="1"/>
  <c r="AN50" i="7" s="1"/>
  <c r="AN51" i="7" s="1"/>
  <c r="AN52" i="7" s="1"/>
  <c r="AN53" i="7" s="1"/>
  <c r="AN54" i="7" s="1"/>
  <c r="AN55" i="7" s="1"/>
  <c r="AN56" i="7" s="1"/>
  <c r="AN57" i="7" s="1"/>
  <c r="AN58" i="7" s="1"/>
  <c r="AN59" i="7" s="1"/>
  <c r="AN60" i="7" s="1"/>
  <c r="AN61" i="7" s="1"/>
  <c r="AN62" i="7" s="1"/>
  <c r="AN63" i="7" s="1"/>
  <c r="AN64" i="7" s="1"/>
  <c r="AN65" i="7" s="1"/>
  <c r="AN66" i="7" s="1"/>
  <c r="AN67" i="7" s="1"/>
  <c r="AN68" i="7" s="1"/>
  <c r="AN69" i="7" s="1"/>
  <c r="AN70" i="7" s="1"/>
  <c r="AN71" i="7" s="1"/>
  <c r="AN72" i="7" s="1"/>
  <c r="AN73" i="7" s="1"/>
  <c r="AY43" i="7"/>
  <c r="AY44" i="7" s="1"/>
  <c r="AY45" i="7" s="1"/>
  <c r="AY46" i="7" s="1"/>
  <c r="AY47" i="7" s="1"/>
  <c r="AY48" i="7" s="1"/>
  <c r="AY49" i="7" s="1"/>
  <c r="AY50" i="7" s="1"/>
  <c r="AY51" i="7" s="1"/>
  <c r="AY52" i="7" s="1"/>
  <c r="AY53" i="7" s="1"/>
  <c r="AY54" i="7" s="1"/>
  <c r="AY55" i="7" s="1"/>
  <c r="AY56" i="7" s="1"/>
  <c r="AY57" i="7" s="1"/>
  <c r="AY58" i="7" s="1"/>
  <c r="AY59" i="7" s="1"/>
  <c r="AY60" i="7" s="1"/>
  <c r="AY61" i="7" s="1"/>
  <c r="AY62" i="7" s="1"/>
  <c r="AY63" i="7" s="1"/>
  <c r="AY64" i="7" s="1"/>
  <c r="AY65" i="7" s="1"/>
  <c r="AY66" i="7" s="1"/>
  <c r="AY67" i="7" s="1"/>
  <c r="AY68" i="7" s="1"/>
  <c r="AY69" i="7" s="1"/>
  <c r="AY70" i="7" s="1"/>
  <c r="AY71" i="7" s="1"/>
  <c r="AY72" i="7" s="1"/>
  <c r="AY73" i="7" s="1"/>
  <c r="AV43" i="7"/>
  <c r="AV44" i="7" s="1"/>
  <c r="AV45" i="7" s="1"/>
  <c r="AV46" i="7" s="1"/>
  <c r="AV47" i="7" s="1"/>
  <c r="AV48" i="7" s="1"/>
  <c r="AV49" i="7" s="1"/>
  <c r="AV50" i="7" s="1"/>
  <c r="AV51" i="7" s="1"/>
  <c r="AV52" i="7" s="1"/>
  <c r="AV53" i="7" s="1"/>
  <c r="AV54" i="7" s="1"/>
  <c r="AV55" i="7" s="1"/>
  <c r="AV56" i="7" s="1"/>
  <c r="AV57" i="7" s="1"/>
  <c r="AV58" i="7" s="1"/>
  <c r="AV59" i="7" s="1"/>
  <c r="AV60" i="7" s="1"/>
  <c r="AV61" i="7" s="1"/>
  <c r="AV62" i="7" s="1"/>
  <c r="AV63" i="7" s="1"/>
  <c r="AV64" i="7" s="1"/>
  <c r="AV65" i="7" s="1"/>
  <c r="AV66" i="7" s="1"/>
  <c r="AV67" i="7" s="1"/>
  <c r="AV68" i="7" s="1"/>
  <c r="AV69" i="7" s="1"/>
  <c r="AV70" i="7" s="1"/>
  <c r="AV71" i="7" s="1"/>
  <c r="AV72" i="7" s="1"/>
  <c r="AV73" i="7" s="1"/>
  <c r="DA43" i="7" l="1"/>
  <c r="CG44" i="7"/>
  <c r="BR43" i="7"/>
  <c r="AX44" i="7"/>
  <c r="AI43" i="7"/>
  <c r="O44" i="7"/>
  <c r="BT54" i="7"/>
  <c r="BT55" i="7" s="1"/>
  <c r="BT56" i="7" s="1"/>
  <c r="BT57" i="7" s="1"/>
  <c r="BT58" i="7" s="1"/>
  <c r="BT59" i="7" s="1"/>
  <c r="BT60" i="7" s="1"/>
  <c r="BT61" i="7" s="1"/>
  <c r="BT62" i="7" s="1"/>
  <c r="BT63" i="7" s="1"/>
  <c r="BT64" i="7" s="1"/>
  <c r="BT65" i="7" s="1"/>
  <c r="BT66" i="7" s="1"/>
  <c r="BT67" i="7" s="1"/>
  <c r="BT68" i="7" s="1"/>
  <c r="BT69" i="7" s="1"/>
  <c r="BT70" i="7" s="1"/>
  <c r="BT71" i="7" s="1"/>
  <c r="BT72" i="7" s="1"/>
  <c r="BT73" i="7" s="1"/>
  <c r="CZ47" i="7"/>
  <c r="CZ48" i="7" s="1"/>
  <c r="CZ49" i="7" s="1"/>
  <c r="CZ50" i="7" s="1"/>
  <c r="CZ51" i="7" s="1"/>
  <c r="CZ52" i="7" s="1"/>
  <c r="CZ53" i="7" s="1"/>
  <c r="CZ54" i="7" s="1"/>
  <c r="CZ55" i="7" s="1"/>
  <c r="CZ56" i="7" s="1"/>
  <c r="CZ57" i="7" s="1"/>
  <c r="CZ58" i="7" s="1"/>
  <c r="CZ59" i="7" s="1"/>
  <c r="AK54" i="7"/>
  <c r="AK55" i="7" s="1"/>
  <c r="AK56" i="7" s="1"/>
  <c r="AK57" i="7" s="1"/>
  <c r="AK58" i="7" s="1"/>
  <c r="AK59" i="7" s="1"/>
  <c r="AK60" i="7" s="1"/>
  <c r="AK61" i="7" s="1"/>
  <c r="AK62" i="7" s="1"/>
  <c r="AK63" i="7" s="1"/>
  <c r="AK64" i="7" s="1"/>
  <c r="AK65" i="7" s="1"/>
  <c r="AK66" i="7" s="1"/>
  <c r="AK67" i="7" s="1"/>
  <c r="AK68" i="7" s="1"/>
  <c r="AK69" i="7" s="1"/>
  <c r="AK70" i="7" s="1"/>
  <c r="AK71" i="7" s="1"/>
  <c r="AK72" i="7" s="1"/>
  <c r="AK73" i="7" s="1"/>
  <c r="BQ47" i="7"/>
  <c r="BQ48" i="7" s="1"/>
  <c r="BQ49" i="7" s="1"/>
  <c r="BQ50" i="7" s="1"/>
  <c r="BQ51" i="7" s="1"/>
  <c r="BQ52" i="7" s="1"/>
  <c r="BQ53" i="7" s="1"/>
  <c r="BQ54" i="7" s="1"/>
  <c r="BQ55" i="7" s="1"/>
  <c r="BQ56" i="7" s="1"/>
  <c r="BQ57" i="7" s="1"/>
  <c r="BQ58" i="7" s="1"/>
  <c r="BQ59" i="7" s="1"/>
  <c r="B54" i="7"/>
  <c r="B55" i="7" s="1"/>
  <c r="B56" i="7" s="1"/>
  <c r="B57" i="7" s="1"/>
  <c r="B58" i="7" s="1"/>
  <c r="B59" i="7" s="1"/>
  <c r="B60" i="7" s="1"/>
  <c r="B61" i="7" s="1"/>
  <c r="B62" i="7" s="1"/>
  <c r="B63" i="7" s="1"/>
  <c r="B64" i="7" s="1"/>
  <c r="B65" i="7" s="1"/>
  <c r="B66" i="7" s="1"/>
  <c r="B67" i="7" s="1"/>
  <c r="B68" i="7" s="1"/>
  <c r="B69" i="7" s="1"/>
  <c r="B70" i="7" s="1"/>
  <c r="B71" i="7" s="1"/>
  <c r="B72" i="7" s="1"/>
  <c r="B73" i="7" s="1"/>
  <c r="AH47" i="7"/>
  <c r="AH48" i="7" s="1"/>
  <c r="AH49" i="7" s="1"/>
  <c r="AH50" i="7" s="1"/>
  <c r="AH51" i="7" s="1"/>
  <c r="AH52" i="7" s="1"/>
  <c r="AH53" i="7" s="1"/>
  <c r="AH54" i="7" s="1"/>
  <c r="AH55" i="7" s="1"/>
  <c r="AH56" i="7" s="1"/>
  <c r="AH57" i="7" s="1"/>
  <c r="AH58" i="7" s="1"/>
  <c r="AH59" i="7" s="1"/>
  <c r="CZ60" i="7" l="1"/>
  <c r="CZ61" i="7" s="1"/>
  <c r="CZ62" i="7" s="1"/>
  <c r="CZ63" i="7" s="1"/>
  <c r="CZ64" i="7" s="1"/>
  <c r="CZ65" i="7" s="1"/>
  <c r="CZ66" i="7" s="1"/>
  <c r="CZ67" i="7" s="1"/>
  <c r="CZ68" i="7" s="1"/>
  <c r="CZ69" i="7" s="1"/>
  <c r="CZ70" i="7" s="1"/>
  <c r="CZ71" i="7" s="1"/>
  <c r="CZ72" i="7" s="1"/>
  <c r="CZ73" i="7" s="1"/>
  <c r="DA44" i="7"/>
  <c r="CG45" i="7"/>
  <c r="BR44" i="7"/>
  <c r="AX45" i="7"/>
  <c r="AH60" i="7"/>
  <c r="AH61" i="7" s="1"/>
  <c r="AH62" i="7" s="1"/>
  <c r="AH63" i="7" s="1"/>
  <c r="AH64" i="7" s="1"/>
  <c r="AH65" i="7" s="1"/>
  <c r="AH66" i="7" s="1"/>
  <c r="AH67" i="7" s="1"/>
  <c r="AH68" i="7" s="1"/>
  <c r="AH69" i="7" s="1"/>
  <c r="AH70" i="7" s="1"/>
  <c r="AH71" i="7" s="1"/>
  <c r="AH72" i="7" s="1"/>
  <c r="AH73" i="7" s="1"/>
  <c r="AI44" i="7"/>
  <c r="O45" i="7"/>
  <c r="BQ60" i="7"/>
  <c r="BQ61" i="7" s="1"/>
  <c r="BQ62" i="7" s="1"/>
  <c r="BQ63" i="7" s="1"/>
  <c r="BQ64" i="7" s="1"/>
  <c r="BQ65" i="7" s="1"/>
  <c r="BQ66" i="7" s="1"/>
  <c r="BQ67" i="7" s="1"/>
  <c r="BQ68" i="7" s="1"/>
  <c r="BQ69" i="7" s="1"/>
  <c r="BQ70" i="7" s="1"/>
  <c r="BQ71" i="7" s="1"/>
  <c r="BQ72" i="7" s="1"/>
  <c r="BQ73" i="7" s="1"/>
  <c r="CG46" i="7" l="1"/>
  <c r="DA45" i="7"/>
  <c r="BR45" i="7"/>
  <c r="AX46" i="7"/>
  <c r="O46" i="7"/>
  <c r="AI45" i="7"/>
  <c r="O47" i="7" l="1"/>
  <c r="AI46" i="7"/>
  <c r="DA46" i="7"/>
  <c r="CG47" i="7"/>
  <c r="AX47" i="7"/>
  <c r="BR46" i="7"/>
  <c r="AX48" i="7" l="1"/>
  <c r="BR47" i="7"/>
  <c r="O48" i="7"/>
  <c r="AI47" i="7"/>
  <c r="CG48" i="7"/>
  <c r="DA47" i="7"/>
  <c r="AI48" i="7" l="1"/>
  <c r="O49" i="7"/>
  <c r="CG49" i="7"/>
  <c r="DA48" i="7"/>
  <c r="BR48" i="7"/>
  <c r="AX49" i="7"/>
  <c r="AX50" i="7" l="1"/>
  <c r="BR49" i="7"/>
  <c r="CG50" i="7"/>
  <c r="DA49" i="7"/>
  <c r="O50" i="7"/>
  <c r="AI49" i="7"/>
  <c r="O51" i="7" l="1"/>
  <c r="AI50" i="7"/>
  <c r="CG51" i="7"/>
  <c r="DA50" i="7"/>
  <c r="BR50" i="7"/>
  <c r="AX51" i="7"/>
  <c r="BR51" i="7" l="1"/>
  <c r="AX52" i="7"/>
  <c r="DA51" i="7"/>
  <c r="CG52" i="7"/>
  <c r="AI51" i="7"/>
  <c r="O52" i="7"/>
  <c r="CG53" i="7" l="1"/>
  <c r="DA52" i="7"/>
  <c r="BR52" i="7"/>
  <c r="AX53" i="7"/>
  <c r="O53" i="7"/>
  <c r="AI52" i="7"/>
  <c r="O54" i="7" l="1"/>
  <c r="AI53" i="7"/>
  <c r="BR53" i="7"/>
  <c r="AX54" i="7"/>
  <c r="CG54" i="7"/>
  <c r="DA53" i="7"/>
  <c r="DA54" i="7" l="1"/>
  <c r="CG55" i="7"/>
  <c r="BR54" i="7"/>
  <c r="AX55" i="7"/>
  <c r="AI54" i="7"/>
  <c r="O55" i="7"/>
  <c r="O56" i="7" l="1"/>
  <c r="AI55" i="7"/>
  <c r="AX56" i="7"/>
  <c r="BR55" i="7"/>
  <c r="CG56" i="7"/>
  <c r="DA55" i="7"/>
  <c r="CG57" i="7" l="1"/>
  <c r="DA56" i="7"/>
  <c r="AX57" i="7"/>
  <c r="BR56" i="7"/>
  <c r="O57" i="7"/>
  <c r="AI56" i="7"/>
  <c r="AI57" i="7" l="1"/>
  <c r="O58" i="7"/>
  <c r="BR57" i="7"/>
  <c r="AX58" i="7"/>
  <c r="CG58" i="7"/>
  <c r="DA57" i="7"/>
  <c r="AI58" i="7" l="1"/>
  <c r="O59" i="7"/>
  <c r="CG59" i="7"/>
  <c r="DA58" i="7"/>
  <c r="AX59" i="7"/>
  <c r="BR58" i="7"/>
  <c r="DA59" i="7" l="1"/>
  <c r="CG60" i="7"/>
  <c r="AI59" i="7"/>
  <c r="O60" i="7"/>
  <c r="BR59" i="7"/>
  <c r="AX60" i="7"/>
  <c r="DA60" i="7" l="1"/>
  <c r="CG61" i="7"/>
  <c r="AI60" i="7"/>
  <c r="O61" i="7"/>
  <c r="BR60" i="7"/>
  <c r="AX61" i="7"/>
  <c r="DA61" i="7" l="1"/>
  <c r="CG62" i="7"/>
  <c r="BR61" i="7"/>
  <c r="AX62" i="7"/>
  <c r="AI61" i="7"/>
  <c r="O62" i="7"/>
  <c r="CG63" i="7" l="1"/>
  <c r="DA62" i="7"/>
  <c r="AI62" i="7"/>
  <c r="O63" i="7"/>
  <c r="AX63" i="7"/>
  <c r="BR62" i="7"/>
  <c r="AI63" i="7" l="1"/>
  <c r="O64" i="7"/>
  <c r="BR63" i="7"/>
  <c r="AX64" i="7"/>
  <c r="CG64" i="7"/>
  <c r="DA63" i="7"/>
  <c r="AI64" i="7" l="1"/>
  <c r="O65" i="7"/>
  <c r="CG65" i="7"/>
  <c r="DA64" i="7"/>
  <c r="AX65" i="7"/>
  <c r="BR64" i="7"/>
  <c r="AI65" i="7" l="1"/>
  <c r="O66" i="7"/>
  <c r="AX66" i="7"/>
  <c r="BR65" i="7"/>
  <c r="CG66" i="7"/>
  <c r="DA65" i="7"/>
  <c r="CG67" i="7" l="1"/>
  <c r="DA66" i="7"/>
  <c r="AI66" i="7"/>
  <c r="O67" i="7"/>
  <c r="AX67" i="7"/>
  <c r="BR66" i="7"/>
  <c r="BR67" i="7" l="1"/>
  <c r="AX68" i="7"/>
  <c r="CG68" i="7"/>
  <c r="DA67" i="7"/>
  <c r="O68" i="7"/>
  <c r="AI67" i="7"/>
  <c r="AI68" i="7" l="1"/>
  <c r="O69" i="7"/>
  <c r="AX69" i="7"/>
  <c r="BR68" i="7"/>
  <c r="CG69" i="7"/>
  <c r="DA68" i="7"/>
  <c r="BR69" i="7" l="1"/>
  <c r="AX70" i="7"/>
  <c r="O70" i="7"/>
  <c r="AI69" i="7"/>
  <c r="CG70" i="7"/>
  <c r="DA69" i="7"/>
  <c r="BR70" i="7" l="1"/>
  <c r="AX71" i="7"/>
  <c r="CG71" i="7"/>
  <c r="DA70" i="7"/>
  <c r="O71" i="7"/>
  <c r="AI70" i="7"/>
  <c r="AI71" i="7" l="1"/>
  <c r="O72" i="7"/>
  <c r="CG72" i="7"/>
  <c r="DA71" i="7"/>
  <c r="AX72" i="7"/>
  <c r="BR71" i="7"/>
  <c r="CG73" i="7" l="1"/>
  <c r="DA73" i="7" s="1"/>
  <c r="DA72" i="7"/>
  <c r="BR72" i="7"/>
  <c r="AX73" i="7"/>
  <c r="BR73" i="7" s="1"/>
  <c r="O73" i="7"/>
  <c r="AI73" i="7" s="1"/>
  <c r="AI72" i="7"/>
</calcChain>
</file>

<file path=xl/sharedStrings.xml><?xml version="1.0" encoding="utf-8"?>
<sst xmlns="http://schemas.openxmlformats.org/spreadsheetml/2006/main" count="2726" uniqueCount="1242">
  <si>
    <t>Duration</t>
  </si>
  <si>
    <t>GBR</t>
  </si>
  <si>
    <t/>
  </si>
  <si>
    <t>GBP</t>
  </si>
  <si>
    <t>N/A</t>
  </si>
  <si>
    <t>0.0</t>
  </si>
  <si>
    <t>USD</t>
  </si>
  <si>
    <t>HKD</t>
  </si>
  <si>
    <t>EUR</t>
  </si>
  <si>
    <t>CHF</t>
  </si>
  <si>
    <t>SEK</t>
  </si>
  <si>
    <t>Aaa</t>
  </si>
  <si>
    <t>Inflation Linked</t>
  </si>
  <si>
    <t>E</t>
  </si>
  <si>
    <t>JPY</t>
  </si>
  <si>
    <t>Aa1</t>
  </si>
  <si>
    <t>United Kingdom</t>
  </si>
  <si>
    <t>AUD</t>
  </si>
  <si>
    <t>Australia</t>
  </si>
  <si>
    <t>Baa2</t>
  </si>
  <si>
    <t>Italy</t>
  </si>
  <si>
    <t>CAD</t>
  </si>
  <si>
    <t>NOK</t>
  </si>
  <si>
    <t>Aa2</t>
  </si>
  <si>
    <t>A2</t>
  </si>
  <si>
    <t>Poland</t>
  </si>
  <si>
    <t>HUF</t>
  </si>
  <si>
    <t>MXN</t>
  </si>
  <si>
    <t>A3</t>
  </si>
  <si>
    <t>Ba1</t>
  </si>
  <si>
    <t>Portugal</t>
  </si>
  <si>
    <t>Baa3</t>
  </si>
  <si>
    <t>US Dollar LIBOR - 3 Month</t>
  </si>
  <si>
    <t>Baa1</t>
  </si>
  <si>
    <t>Spain</t>
  </si>
  <si>
    <t>A1</t>
  </si>
  <si>
    <t>Peru</t>
  </si>
  <si>
    <t>ZAR</t>
  </si>
  <si>
    <t>South Africa</t>
  </si>
  <si>
    <t>Ba3</t>
  </si>
  <si>
    <t>EUR Swap Rate - 5 Year</t>
  </si>
  <si>
    <t>NR</t>
  </si>
  <si>
    <t>Ba2</t>
  </si>
  <si>
    <t>USD Swap Rate - 5 Year</t>
  </si>
  <si>
    <t>Constant Maturity Swap Rate - 5 Year</t>
  </si>
  <si>
    <t>B1</t>
  </si>
  <si>
    <t>PLN</t>
  </si>
  <si>
    <t>NZD</t>
  </si>
  <si>
    <t>A</t>
  </si>
  <si>
    <t>Government Security - 5 Year</t>
  </si>
  <si>
    <t>GBP Swap Rate - 5 Year</t>
  </si>
  <si>
    <t>GBP LIBOR - 3 Month</t>
  </si>
  <si>
    <t>Constant Maturity Swap Rate - 13 Year</t>
  </si>
  <si>
    <t>GBP LIBOR - 6 Month</t>
  </si>
  <si>
    <t>US Treasury Rate - 5 Year</t>
  </si>
  <si>
    <t>Credit Ratings</t>
  </si>
  <si>
    <t>US Dollar LIBOR - 6 Month</t>
  </si>
  <si>
    <t>Aa3</t>
  </si>
  <si>
    <t>EURIBOR - 3 Month</t>
  </si>
  <si>
    <t>GBP LIBOR - 1 Year</t>
  </si>
  <si>
    <t>EURIBOR - 6 Month</t>
  </si>
  <si>
    <t>USD Swap Rate - 6 Year</t>
  </si>
  <si>
    <t>GBP Swap Rate - 15 Year</t>
  </si>
  <si>
    <t>LUX</t>
  </si>
  <si>
    <t>DKK</t>
  </si>
  <si>
    <t>Cash</t>
  </si>
  <si>
    <t>Equity</t>
  </si>
  <si>
    <t>Property</t>
  </si>
  <si>
    <t>OECD or EEA</t>
  </si>
  <si>
    <t>Afghanistan</t>
  </si>
  <si>
    <t>AF</t>
  </si>
  <si>
    <t>AFG</t>
  </si>
  <si>
    <t>Austria</t>
  </si>
  <si>
    <t>Aland Islands</t>
  </si>
  <si>
    <t>AX</t>
  </si>
  <si>
    <t>ALA</t>
  </si>
  <si>
    <t>Belgium</t>
  </si>
  <si>
    <t>Albania</t>
  </si>
  <si>
    <t>AL</t>
  </si>
  <si>
    <t>ALB</t>
  </si>
  <si>
    <t>Bulgaria</t>
  </si>
  <si>
    <t>Algeria</t>
  </si>
  <si>
    <t>DZ</t>
  </si>
  <si>
    <t>DZA</t>
  </si>
  <si>
    <t>Croatia</t>
  </si>
  <si>
    <t>American Samoa</t>
  </si>
  <si>
    <t>AS</t>
  </si>
  <si>
    <t>ASM</t>
  </si>
  <si>
    <t>Cyprus</t>
  </si>
  <si>
    <t>Andorra</t>
  </si>
  <si>
    <t>AD</t>
  </si>
  <si>
    <t>AND</t>
  </si>
  <si>
    <t>Czech Republic</t>
  </si>
  <si>
    <t>Angola</t>
  </si>
  <si>
    <t>AO</t>
  </si>
  <si>
    <t>AGO</t>
  </si>
  <si>
    <t>Denmark</t>
  </si>
  <si>
    <t>Anguilla</t>
  </si>
  <si>
    <t>AI</t>
  </si>
  <si>
    <t>AIA</t>
  </si>
  <si>
    <t>Estonia</t>
  </si>
  <si>
    <t>Antarctica</t>
  </si>
  <si>
    <t>AQ</t>
  </si>
  <si>
    <t>ATA</t>
  </si>
  <si>
    <t>Finland</t>
  </si>
  <si>
    <t>Antigua and Barbuda</t>
  </si>
  <si>
    <t>AG</t>
  </si>
  <si>
    <t>ATG</t>
  </si>
  <si>
    <t>France</t>
  </si>
  <si>
    <t>Argentina</t>
  </si>
  <si>
    <t>AR</t>
  </si>
  <si>
    <t>ARG</t>
  </si>
  <si>
    <t>Germany</t>
  </si>
  <si>
    <t>Armenia</t>
  </si>
  <si>
    <t>AM</t>
  </si>
  <si>
    <t>ARM</t>
  </si>
  <si>
    <t>Greece</t>
  </si>
  <si>
    <t>Aruba</t>
  </si>
  <si>
    <t>AW</t>
  </si>
  <si>
    <t>ABW</t>
  </si>
  <si>
    <t>Hungary</t>
  </si>
  <si>
    <t>AU</t>
  </si>
  <si>
    <t>AUS</t>
  </si>
  <si>
    <t>Iceland</t>
  </si>
  <si>
    <t>AT</t>
  </si>
  <si>
    <t>AUT</t>
  </si>
  <si>
    <t>Ireland</t>
  </si>
  <si>
    <t>Azerbaijan</t>
  </si>
  <si>
    <t>AZ</t>
  </si>
  <si>
    <t>AZE</t>
  </si>
  <si>
    <t>Bahamas</t>
  </si>
  <si>
    <t>BS</t>
  </si>
  <si>
    <t>BHS</t>
  </si>
  <si>
    <t>Latvia</t>
  </si>
  <si>
    <t>Bahrain</t>
  </si>
  <si>
    <t>BH</t>
  </si>
  <si>
    <t>BHR</t>
  </si>
  <si>
    <t>Liechtenstein</t>
  </si>
  <si>
    <t>Bangladesh</t>
  </si>
  <si>
    <t>BD</t>
  </si>
  <si>
    <t>BGD</t>
  </si>
  <si>
    <t>Lithuania</t>
  </si>
  <si>
    <t>Barbados</t>
  </si>
  <si>
    <t>BB</t>
  </si>
  <si>
    <t>BRB</t>
  </si>
  <si>
    <t>Luxembourg</t>
  </si>
  <si>
    <t>Belarus</t>
  </si>
  <si>
    <t>BY</t>
  </si>
  <si>
    <t>BLR</t>
  </si>
  <si>
    <t>Malta</t>
  </si>
  <si>
    <t>BE</t>
  </si>
  <si>
    <t>BEL</t>
  </si>
  <si>
    <t>Netherlands</t>
  </si>
  <si>
    <t>Belize</t>
  </si>
  <si>
    <t>BZ</t>
  </si>
  <si>
    <t>BLZ</t>
  </si>
  <si>
    <t>Norway</t>
  </si>
  <si>
    <t>Benin</t>
  </si>
  <si>
    <t>BJ</t>
  </si>
  <si>
    <t>BEN</t>
  </si>
  <si>
    <t>Bermuda</t>
  </si>
  <si>
    <t>BM</t>
  </si>
  <si>
    <t>BMU</t>
  </si>
  <si>
    <t>Bhutan</t>
  </si>
  <si>
    <t>BT</t>
  </si>
  <si>
    <t>BTN</t>
  </si>
  <si>
    <t>Romania</t>
  </si>
  <si>
    <t>Bolivia</t>
  </si>
  <si>
    <t>BO</t>
  </si>
  <si>
    <t>BOL</t>
  </si>
  <si>
    <t>Slovakia</t>
  </si>
  <si>
    <t>Bosnia and Herzegovina</t>
  </si>
  <si>
    <t>BA</t>
  </si>
  <si>
    <t>BIH</t>
  </si>
  <si>
    <t>Slovenia</t>
  </si>
  <si>
    <t>Botswana</t>
  </si>
  <si>
    <t>BW</t>
  </si>
  <si>
    <t>BWA</t>
  </si>
  <si>
    <t>Bouvet Island</t>
  </si>
  <si>
    <t>BV</t>
  </si>
  <si>
    <t>BVT</t>
  </si>
  <si>
    <t>Sweden</t>
  </si>
  <si>
    <t>Brazil</t>
  </si>
  <si>
    <t>BR</t>
  </si>
  <si>
    <t>BRA</t>
  </si>
  <si>
    <t>British Virgin Islands</t>
  </si>
  <si>
    <t>VG</t>
  </si>
  <si>
    <t>VGB</t>
  </si>
  <si>
    <t>British Indian Ocean Territory</t>
  </si>
  <si>
    <t>IO</t>
  </si>
  <si>
    <t>IOT</t>
  </si>
  <si>
    <t>Brunei Darussalam</t>
  </si>
  <si>
    <t>BN</t>
  </si>
  <si>
    <t>BRN</t>
  </si>
  <si>
    <t>BG</t>
  </si>
  <si>
    <t>BGR</t>
  </si>
  <si>
    <t>Burkina Faso</t>
  </si>
  <si>
    <t>BF</t>
  </si>
  <si>
    <t>BFA</t>
  </si>
  <si>
    <t>Burundi</t>
  </si>
  <si>
    <t>BI</t>
  </si>
  <si>
    <t>BDI</t>
  </si>
  <si>
    <t>Cambodia</t>
  </si>
  <si>
    <t>KH</t>
  </si>
  <si>
    <t>KHM</t>
  </si>
  <si>
    <t>Cameroon</t>
  </si>
  <si>
    <t>CM</t>
  </si>
  <si>
    <t>CMR</t>
  </si>
  <si>
    <t>Canada</t>
  </si>
  <si>
    <t>CA</t>
  </si>
  <si>
    <t>CAN</t>
  </si>
  <si>
    <t>Cape Verde</t>
  </si>
  <si>
    <t>CV</t>
  </si>
  <si>
    <t>CPV</t>
  </si>
  <si>
    <t xml:space="preserve">Cayman Islands </t>
  </si>
  <si>
    <t>KY</t>
  </si>
  <si>
    <t>CYM</t>
  </si>
  <si>
    <t>Central African Republic</t>
  </si>
  <si>
    <t>CF</t>
  </si>
  <si>
    <t>CAF</t>
  </si>
  <si>
    <t>Chad</t>
  </si>
  <si>
    <t>TD</t>
  </si>
  <si>
    <t>TCD</t>
  </si>
  <si>
    <t>Chile</t>
  </si>
  <si>
    <t>CL</t>
  </si>
  <si>
    <t>CHL</t>
  </si>
  <si>
    <t>China</t>
  </si>
  <si>
    <t>CN</t>
  </si>
  <si>
    <t>CHN</t>
  </si>
  <si>
    <t>Hong Kong, SAR China</t>
  </si>
  <si>
    <t>HK</t>
  </si>
  <si>
    <t>HKG</t>
  </si>
  <si>
    <t>Macao, SAR China</t>
  </si>
  <si>
    <t>MO</t>
  </si>
  <si>
    <t>MAC</t>
  </si>
  <si>
    <t>Christmas Island</t>
  </si>
  <si>
    <t>CX</t>
  </si>
  <si>
    <t>CXR</t>
  </si>
  <si>
    <t>Cocos (Keeling) Islands</t>
  </si>
  <si>
    <t>CC</t>
  </si>
  <si>
    <t>CCK</t>
  </si>
  <si>
    <t>Colombia</t>
  </si>
  <si>
    <t>CO</t>
  </si>
  <si>
    <t>COL</t>
  </si>
  <si>
    <t>Comoros</t>
  </si>
  <si>
    <t>KM</t>
  </si>
  <si>
    <t>COM</t>
  </si>
  <si>
    <t>Congo (Brazzaville)</t>
  </si>
  <si>
    <t>CG</t>
  </si>
  <si>
    <t>COG</t>
  </si>
  <si>
    <t>Congo, (Kinshasa)</t>
  </si>
  <si>
    <t>CD</t>
  </si>
  <si>
    <t>COD</t>
  </si>
  <si>
    <t xml:space="preserve">Cook Islands </t>
  </si>
  <si>
    <t>CK</t>
  </si>
  <si>
    <t>COK</t>
  </si>
  <si>
    <t>Costa Rica</t>
  </si>
  <si>
    <t>CR</t>
  </si>
  <si>
    <t>CRI</t>
  </si>
  <si>
    <t>Côte d'Ivoire</t>
  </si>
  <si>
    <t>CI</t>
  </si>
  <si>
    <t>CIV</t>
  </si>
  <si>
    <t>HR</t>
  </si>
  <si>
    <t>HRV</t>
  </si>
  <si>
    <t>Cuba</t>
  </si>
  <si>
    <t>CU</t>
  </si>
  <si>
    <t>CUB</t>
  </si>
  <si>
    <t>CY</t>
  </si>
  <si>
    <t>CYP</t>
  </si>
  <si>
    <t>CZ</t>
  </si>
  <si>
    <t>CZE</t>
  </si>
  <si>
    <t>DK</t>
  </si>
  <si>
    <t>DNK</t>
  </si>
  <si>
    <t>Djibouti</t>
  </si>
  <si>
    <t>DJ</t>
  </si>
  <si>
    <t>DJI</t>
  </si>
  <si>
    <t>Dominica</t>
  </si>
  <si>
    <t>DM</t>
  </si>
  <si>
    <t>DMA</t>
  </si>
  <si>
    <t>Dominican Republic</t>
  </si>
  <si>
    <t>DO</t>
  </si>
  <si>
    <t>DOM</t>
  </si>
  <si>
    <t>Ecuador</t>
  </si>
  <si>
    <t>EC</t>
  </si>
  <si>
    <t>ECU</t>
  </si>
  <si>
    <t>Egypt</t>
  </si>
  <si>
    <t>EG</t>
  </si>
  <si>
    <t>EGY</t>
  </si>
  <si>
    <t>El Salvador</t>
  </si>
  <si>
    <t>SV</t>
  </si>
  <si>
    <t>SLV</t>
  </si>
  <si>
    <t>Equatorial Guinea</t>
  </si>
  <si>
    <t>GQ</t>
  </si>
  <si>
    <t>GNQ</t>
  </si>
  <si>
    <t>Eritrea</t>
  </si>
  <si>
    <t>ER</t>
  </si>
  <si>
    <t>ERI</t>
  </si>
  <si>
    <t>EE</t>
  </si>
  <si>
    <t>EST</t>
  </si>
  <si>
    <t>Ethiopia</t>
  </si>
  <si>
    <t>ET</t>
  </si>
  <si>
    <t>ETH</t>
  </si>
  <si>
    <t xml:space="preserve">Falkland Islands (Malvinas) </t>
  </si>
  <si>
    <t>FK</t>
  </si>
  <si>
    <t>FLK</t>
  </si>
  <si>
    <t>Faroe Islands</t>
  </si>
  <si>
    <t>FO</t>
  </si>
  <si>
    <t>FRO</t>
  </si>
  <si>
    <t>Fiji</t>
  </si>
  <si>
    <t>FJ</t>
  </si>
  <si>
    <t>FJI</t>
  </si>
  <si>
    <t>FI</t>
  </si>
  <si>
    <t>FIN</t>
  </si>
  <si>
    <t>FR</t>
  </si>
  <si>
    <t>FRA</t>
  </si>
  <si>
    <t>French Guiana</t>
  </si>
  <si>
    <t>GF</t>
  </si>
  <si>
    <t>GUF</t>
  </si>
  <si>
    <t>French Polynesia</t>
  </si>
  <si>
    <t>PF</t>
  </si>
  <si>
    <t>PYF</t>
  </si>
  <si>
    <t>French Southern Territories</t>
  </si>
  <si>
    <t>TF</t>
  </si>
  <si>
    <t>ATF</t>
  </si>
  <si>
    <t>Gabon</t>
  </si>
  <si>
    <t>GA</t>
  </si>
  <si>
    <t>GAB</t>
  </si>
  <si>
    <t>Gambia</t>
  </si>
  <si>
    <t>GM</t>
  </si>
  <si>
    <t>GMB</t>
  </si>
  <si>
    <t>Georgia</t>
  </si>
  <si>
    <t>GE</t>
  </si>
  <si>
    <t>GEO</t>
  </si>
  <si>
    <t>DE</t>
  </si>
  <si>
    <t>DEU</t>
  </si>
  <si>
    <t>Ghana</t>
  </si>
  <si>
    <t>GH</t>
  </si>
  <si>
    <t>GHA</t>
  </si>
  <si>
    <t xml:space="preserve">Gibraltar </t>
  </si>
  <si>
    <t>GI</t>
  </si>
  <si>
    <t>GIB</t>
  </si>
  <si>
    <t>GR</t>
  </si>
  <si>
    <t>GRC</t>
  </si>
  <si>
    <t>Greenland</t>
  </si>
  <si>
    <t>GL</t>
  </si>
  <si>
    <t>GRL</t>
  </si>
  <si>
    <t>Grenada</t>
  </si>
  <si>
    <t>GD</t>
  </si>
  <si>
    <t>GRD</t>
  </si>
  <si>
    <t>Guadeloupe</t>
  </si>
  <si>
    <t>GP</t>
  </si>
  <si>
    <t>GLP</t>
  </si>
  <si>
    <t>Guam</t>
  </si>
  <si>
    <t>GU</t>
  </si>
  <si>
    <t>GUM</t>
  </si>
  <si>
    <t>Guatemala</t>
  </si>
  <si>
    <t>GT</t>
  </si>
  <si>
    <t>GTM</t>
  </si>
  <si>
    <t>Guernsey</t>
  </si>
  <si>
    <t>GG</t>
  </si>
  <si>
    <t>GGY</t>
  </si>
  <si>
    <t>Guinea</t>
  </si>
  <si>
    <t>GN</t>
  </si>
  <si>
    <t>GIN</t>
  </si>
  <si>
    <t>Guinea-Bissau</t>
  </si>
  <si>
    <t>GW</t>
  </si>
  <si>
    <t>GNB</t>
  </si>
  <si>
    <t>Guyana</t>
  </si>
  <si>
    <t>GY</t>
  </si>
  <si>
    <t>GUY</t>
  </si>
  <si>
    <t>Haiti</t>
  </si>
  <si>
    <t>HT</t>
  </si>
  <si>
    <t>HTI</t>
  </si>
  <si>
    <t>Heard and Mcdonald Islands</t>
  </si>
  <si>
    <t>HM</t>
  </si>
  <si>
    <t>HMD</t>
  </si>
  <si>
    <t>Holy See (Vatican City State)</t>
  </si>
  <si>
    <t>VA</t>
  </si>
  <si>
    <t>VAT</t>
  </si>
  <si>
    <t>Honduras</t>
  </si>
  <si>
    <t>HN</t>
  </si>
  <si>
    <t>HND</t>
  </si>
  <si>
    <t>HU</t>
  </si>
  <si>
    <t>HUN</t>
  </si>
  <si>
    <t>IS</t>
  </si>
  <si>
    <t>ISL</t>
  </si>
  <si>
    <t>India</t>
  </si>
  <si>
    <t>IN</t>
  </si>
  <si>
    <t>IND</t>
  </si>
  <si>
    <t>Indonesia</t>
  </si>
  <si>
    <t>ID</t>
  </si>
  <si>
    <t>IDN</t>
  </si>
  <si>
    <t>Iran, Islamic Republic of</t>
  </si>
  <si>
    <t>IR</t>
  </si>
  <si>
    <t>IRN</t>
  </si>
  <si>
    <t>Iraq</t>
  </si>
  <si>
    <t>IQ</t>
  </si>
  <si>
    <t>IRQ</t>
  </si>
  <si>
    <t>IE</t>
  </si>
  <si>
    <t>IRL</t>
  </si>
  <si>
    <t xml:space="preserve">Isle of Man </t>
  </si>
  <si>
    <t>IM</t>
  </si>
  <si>
    <t>IMN</t>
  </si>
  <si>
    <t>Israel</t>
  </si>
  <si>
    <t>IL</t>
  </si>
  <si>
    <t>ISR</t>
  </si>
  <si>
    <t>IT</t>
  </si>
  <si>
    <t>ITA</t>
  </si>
  <si>
    <t>Jamaica</t>
  </si>
  <si>
    <t>JM</t>
  </si>
  <si>
    <t>JAM</t>
  </si>
  <si>
    <t>Japan</t>
  </si>
  <si>
    <t>JP</t>
  </si>
  <si>
    <t>JPN</t>
  </si>
  <si>
    <t>Jersey</t>
  </si>
  <si>
    <t>JE</t>
  </si>
  <si>
    <t>JEY</t>
  </si>
  <si>
    <t>Jordan</t>
  </si>
  <si>
    <t>JO</t>
  </si>
  <si>
    <t>JOR</t>
  </si>
  <si>
    <t>Kazakhstan</t>
  </si>
  <si>
    <t>KZ</t>
  </si>
  <si>
    <t>KAZ</t>
  </si>
  <si>
    <t>Kenya</t>
  </si>
  <si>
    <t>KE</t>
  </si>
  <si>
    <t>KEN</t>
  </si>
  <si>
    <t>Kiribati</t>
  </si>
  <si>
    <t>KI</t>
  </si>
  <si>
    <t>KIR</t>
  </si>
  <si>
    <t>Korea (North)</t>
  </si>
  <si>
    <t>KP</t>
  </si>
  <si>
    <t>PRK</t>
  </si>
  <si>
    <t>Korea (South)</t>
  </si>
  <si>
    <t>KR</t>
  </si>
  <si>
    <t>KOR</t>
  </si>
  <si>
    <t>Kuwait</t>
  </si>
  <si>
    <t>KW</t>
  </si>
  <si>
    <t>KWT</t>
  </si>
  <si>
    <t>Kyrgyzstan</t>
  </si>
  <si>
    <t>KG</t>
  </si>
  <si>
    <t>KGZ</t>
  </si>
  <si>
    <t>Lao PDR</t>
  </si>
  <si>
    <t>LA</t>
  </si>
  <si>
    <t>LAO</t>
  </si>
  <si>
    <t>LV</t>
  </si>
  <si>
    <t>LVA</t>
  </si>
  <si>
    <t>Lebanon</t>
  </si>
  <si>
    <t>LB</t>
  </si>
  <si>
    <t>LBN</t>
  </si>
  <si>
    <t>Lesotho</t>
  </si>
  <si>
    <t>LS</t>
  </si>
  <si>
    <t>LSO</t>
  </si>
  <si>
    <t>Liberia</t>
  </si>
  <si>
    <t>LR</t>
  </si>
  <si>
    <t>LBR</t>
  </si>
  <si>
    <t>Libya</t>
  </si>
  <si>
    <t>LY</t>
  </si>
  <si>
    <t>LBY</t>
  </si>
  <si>
    <t>LI</t>
  </si>
  <si>
    <t>LIE</t>
  </si>
  <si>
    <t>LT</t>
  </si>
  <si>
    <t>LTU</t>
  </si>
  <si>
    <t>LU</t>
  </si>
  <si>
    <t>Macedonia, Republic of</t>
  </si>
  <si>
    <t>MK</t>
  </si>
  <si>
    <t>MKD</t>
  </si>
  <si>
    <t>Madagascar</t>
  </si>
  <si>
    <t>MG</t>
  </si>
  <si>
    <t>MDG</t>
  </si>
  <si>
    <t>Malawi</t>
  </si>
  <si>
    <t>MW</t>
  </si>
  <si>
    <t>MWI</t>
  </si>
  <si>
    <t>Malaysia</t>
  </si>
  <si>
    <t>MY</t>
  </si>
  <si>
    <t>MYS</t>
  </si>
  <si>
    <t>Maldives</t>
  </si>
  <si>
    <t>MV</t>
  </si>
  <si>
    <t>MDV</t>
  </si>
  <si>
    <t>Mali</t>
  </si>
  <si>
    <t>ML</t>
  </si>
  <si>
    <t>MLI</t>
  </si>
  <si>
    <t>MT</t>
  </si>
  <si>
    <t>MLT</t>
  </si>
  <si>
    <t>Marshall Islands</t>
  </si>
  <si>
    <t>MH</t>
  </si>
  <si>
    <t>MHL</t>
  </si>
  <si>
    <t>Martinique</t>
  </si>
  <si>
    <t>MQ</t>
  </si>
  <si>
    <t>MTQ</t>
  </si>
  <si>
    <t>Mauritania</t>
  </si>
  <si>
    <t>MR</t>
  </si>
  <si>
    <t>MRT</t>
  </si>
  <si>
    <t>Mauritius</t>
  </si>
  <si>
    <t>MU</t>
  </si>
  <si>
    <t>MUS</t>
  </si>
  <si>
    <t>Mayotte</t>
  </si>
  <si>
    <t>YT</t>
  </si>
  <si>
    <t>MYT</t>
  </si>
  <si>
    <t>Mexico</t>
  </si>
  <si>
    <t>MX</t>
  </si>
  <si>
    <t>MEX</t>
  </si>
  <si>
    <t>Micronesia, Federated States of</t>
  </si>
  <si>
    <t>FM</t>
  </si>
  <si>
    <t>FSM</t>
  </si>
  <si>
    <t>Moldova</t>
  </si>
  <si>
    <t>MD</t>
  </si>
  <si>
    <t>MDA</t>
  </si>
  <si>
    <t>Monaco</t>
  </si>
  <si>
    <t>MC</t>
  </si>
  <si>
    <t>MCO</t>
  </si>
  <si>
    <t>Mongolia</t>
  </si>
  <si>
    <t>MN</t>
  </si>
  <si>
    <t>MNG</t>
  </si>
  <si>
    <t>Montenegro</t>
  </si>
  <si>
    <t>ME</t>
  </si>
  <si>
    <t>MNE</t>
  </si>
  <si>
    <t>Montserrat</t>
  </si>
  <si>
    <t>MS</t>
  </si>
  <si>
    <t>MSR</t>
  </si>
  <si>
    <t>Morocco</t>
  </si>
  <si>
    <t>MA</t>
  </si>
  <si>
    <t>MAR</t>
  </si>
  <si>
    <t>Mozambique</t>
  </si>
  <si>
    <t>MZ</t>
  </si>
  <si>
    <t>MOZ</t>
  </si>
  <si>
    <t>Myanmar</t>
  </si>
  <si>
    <t>MM</t>
  </si>
  <si>
    <t>MMR</t>
  </si>
  <si>
    <t>Namibia</t>
  </si>
  <si>
    <t>NA</t>
  </si>
  <si>
    <t>NAM</t>
  </si>
  <si>
    <t>Nauru</t>
  </si>
  <si>
    <t>NRU</t>
  </si>
  <si>
    <t>Nepal</t>
  </si>
  <si>
    <t>NP</t>
  </si>
  <si>
    <t>NPL</t>
  </si>
  <si>
    <t>NL</t>
  </si>
  <si>
    <t>NLD</t>
  </si>
  <si>
    <t>Netherlands Antilles</t>
  </si>
  <si>
    <t>AN</t>
  </si>
  <si>
    <t>ANT</t>
  </si>
  <si>
    <t>New Caledonia</t>
  </si>
  <si>
    <t>NC</t>
  </si>
  <si>
    <t>NCL</t>
  </si>
  <si>
    <t>New Zealand</t>
  </si>
  <si>
    <t>NZ</t>
  </si>
  <si>
    <t>NZL</t>
  </si>
  <si>
    <t>Nicaragua</t>
  </si>
  <si>
    <t>NI</t>
  </si>
  <si>
    <t>NIC</t>
  </si>
  <si>
    <t>Niger</t>
  </si>
  <si>
    <t>NE</t>
  </si>
  <si>
    <t>NER</t>
  </si>
  <si>
    <t>Nigeria</t>
  </si>
  <si>
    <t>NG</t>
  </si>
  <si>
    <t>NGA</t>
  </si>
  <si>
    <t xml:space="preserve">Niue </t>
  </si>
  <si>
    <t>NU</t>
  </si>
  <si>
    <t>NIU</t>
  </si>
  <si>
    <t>Norfolk Island</t>
  </si>
  <si>
    <t>NF</t>
  </si>
  <si>
    <t>NFK</t>
  </si>
  <si>
    <t>Northern Mariana Islands</t>
  </si>
  <si>
    <t>MP</t>
  </si>
  <si>
    <t>MNP</t>
  </si>
  <si>
    <t>NO</t>
  </si>
  <si>
    <t>NOR</t>
  </si>
  <si>
    <t>Oman</t>
  </si>
  <si>
    <t>OM</t>
  </si>
  <si>
    <t>OMN</t>
  </si>
  <si>
    <t>Pakistan</t>
  </si>
  <si>
    <t>PK</t>
  </si>
  <si>
    <t>PAK</t>
  </si>
  <si>
    <t>Palau</t>
  </si>
  <si>
    <t>PW</t>
  </si>
  <si>
    <t>PLW</t>
  </si>
  <si>
    <t>Palestinian Territory</t>
  </si>
  <si>
    <t>PS</t>
  </si>
  <si>
    <t>PSE</t>
  </si>
  <si>
    <t>Panama</t>
  </si>
  <si>
    <t>PA</t>
  </si>
  <si>
    <t>PAN</t>
  </si>
  <si>
    <t>Papua New Guinea</t>
  </si>
  <si>
    <t>PG</t>
  </si>
  <si>
    <t>PNG</t>
  </si>
  <si>
    <t>Paraguay</t>
  </si>
  <si>
    <t>PY</t>
  </si>
  <si>
    <t>PRY</t>
  </si>
  <si>
    <t>PE</t>
  </si>
  <si>
    <t>PER</t>
  </si>
  <si>
    <t>Philippines</t>
  </si>
  <si>
    <t>PH</t>
  </si>
  <si>
    <t>PHL</t>
  </si>
  <si>
    <t>Pitcairn</t>
  </si>
  <si>
    <t>PN</t>
  </si>
  <si>
    <t>PCN</t>
  </si>
  <si>
    <t>PL</t>
  </si>
  <si>
    <t>POL</t>
  </si>
  <si>
    <t>PT</t>
  </si>
  <si>
    <t>PRT</t>
  </si>
  <si>
    <t>Puerto Rico</t>
  </si>
  <si>
    <t>PR</t>
  </si>
  <si>
    <t>PRI</t>
  </si>
  <si>
    <t>Qatar</t>
  </si>
  <si>
    <t>QA</t>
  </si>
  <si>
    <t>QAT</t>
  </si>
  <si>
    <t>Réunion</t>
  </si>
  <si>
    <t>RE</t>
  </si>
  <si>
    <t>REU</t>
  </si>
  <si>
    <t>RO</t>
  </si>
  <si>
    <t>ROU</t>
  </si>
  <si>
    <t>Russian Federation</t>
  </si>
  <si>
    <t>RU</t>
  </si>
  <si>
    <t>RUS</t>
  </si>
  <si>
    <t>Rwanda</t>
  </si>
  <si>
    <t>RW</t>
  </si>
  <si>
    <t>RWA</t>
  </si>
  <si>
    <t>Saint-Barthélemy</t>
  </si>
  <si>
    <t>BL</t>
  </si>
  <si>
    <t>BLM</t>
  </si>
  <si>
    <t>Saint Helena</t>
  </si>
  <si>
    <t>SH</t>
  </si>
  <si>
    <t>SHN</t>
  </si>
  <si>
    <t>Saint Kitts and Nevis</t>
  </si>
  <si>
    <t>KN</t>
  </si>
  <si>
    <t>KNA</t>
  </si>
  <si>
    <t>Saint Lucia</t>
  </si>
  <si>
    <t>LC</t>
  </si>
  <si>
    <t>LCA</t>
  </si>
  <si>
    <t>Saint-Martin (French part)</t>
  </si>
  <si>
    <t>MF</t>
  </si>
  <si>
    <t>MAF</t>
  </si>
  <si>
    <t xml:space="preserve">Saint Pierre and Miquelon </t>
  </si>
  <si>
    <t>PM</t>
  </si>
  <si>
    <t>SPM</t>
  </si>
  <si>
    <t>Saint Vincent and Grenadines</t>
  </si>
  <si>
    <t>VC</t>
  </si>
  <si>
    <t>VCT</t>
  </si>
  <si>
    <t>Samoa</t>
  </si>
  <si>
    <t>WS</t>
  </si>
  <si>
    <t>WSM</t>
  </si>
  <si>
    <t>San Marino</t>
  </si>
  <si>
    <t>SM</t>
  </si>
  <si>
    <t>SMR</t>
  </si>
  <si>
    <t>Sao Tome and Principe</t>
  </si>
  <si>
    <t>ST</t>
  </si>
  <si>
    <t>STP</t>
  </si>
  <si>
    <t>Saudi Arabia</t>
  </si>
  <si>
    <t>SA</t>
  </si>
  <si>
    <t>SAU</t>
  </si>
  <si>
    <t>Senegal</t>
  </si>
  <si>
    <t>SN</t>
  </si>
  <si>
    <t>SEN</t>
  </si>
  <si>
    <t>Serbia</t>
  </si>
  <si>
    <t>RS</t>
  </si>
  <si>
    <t>SRB</t>
  </si>
  <si>
    <t>Seychelles</t>
  </si>
  <si>
    <t>SC</t>
  </si>
  <si>
    <t>SYC</t>
  </si>
  <si>
    <t>Sierra Leone</t>
  </si>
  <si>
    <t>SL</t>
  </si>
  <si>
    <t>SLE</t>
  </si>
  <si>
    <t>Singapore</t>
  </si>
  <si>
    <t>SG</t>
  </si>
  <si>
    <t>SGP</t>
  </si>
  <si>
    <t>SK</t>
  </si>
  <si>
    <t>SVK</t>
  </si>
  <si>
    <t>SI</t>
  </si>
  <si>
    <t>SVN</t>
  </si>
  <si>
    <t>Solomon Islands</t>
  </si>
  <si>
    <t>SB</t>
  </si>
  <si>
    <t>SLB</t>
  </si>
  <si>
    <t>Somalia</t>
  </si>
  <si>
    <t>SO</t>
  </si>
  <si>
    <t>SOM</t>
  </si>
  <si>
    <t>ZA</t>
  </si>
  <si>
    <t>ZAF</t>
  </si>
  <si>
    <t>South Georgia and the South Sandwich Islands</t>
  </si>
  <si>
    <t>GS</t>
  </si>
  <si>
    <t>SGS</t>
  </si>
  <si>
    <t>South Sudan</t>
  </si>
  <si>
    <t>SS</t>
  </si>
  <si>
    <t>SSD</t>
  </si>
  <si>
    <t>ES</t>
  </si>
  <si>
    <t>ESP</t>
  </si>
  <si>
    <t>Sri Lanka</t>
  </si>
  <si>
    <t>LK</t>
  </si>
  <si>
    <t>LKA</t>
  </si>
  <si>
    <t>Sudan</t>
  </si>
  <si>
    <t>SD</t>
  </si>
  <si>
    <t>SDN</t>
  </si>
  <si>
    <t>Suriname</t>
  </si>
  <si>
    <t>SR</t>
  </si>
  <si>
    <t>SUR</t>
  </si>
  <si>
    <t xml:space="preserve">Svalbard and Jan Mayen Islands </t>
  </si>
  <si>
    <t>SJ</t>
  </si>
  <si>
    <t>SJM</t>
  </si>
  <si>
    <t>Swaziland</t>
  </si>
  <si>
    <t>SZ</t>
  </si>
  <si>
    <t>SWZ</t>
  </si>
  <si>
    <t>SE</t>
  </si>
  <si>
    <t>SWE</t>
  </si>
  <si>
    <t>Switzerland</t>
  </si>
  <si>
    <t>CH</t>
  </si>
  <si>
    <t>CHE</t>
  </si>
  <si>
    <t>Syrian Arab Republic (Syria)</t>
  </si>
  <si>
    <t>SY</t>
  </si>
  <si>
    <t>SYR</t>
  </si>
  <si>
    <t>Taiwan, Republic of China</t>
  </si>
  <si>
    <t>TW</t>
  </si>
  <si>
    <t>TWN</t>
  </si>
  <si>
    <t>Tajikistan</t>
  </si>
  <si>
    <t>TJ</t>
  </si>
  <si>
    <t>TJK</t>
  </si>
  <si>
    <t>Tanzania, United Republic of</t>
  </si>
  <si>
    <t>TZ</t>
  </si>
  <si>
    <t>TZA</t>
  </si>
  <si>
    <t>Thailand</t>
  </si>
  <si>
    <t>TH</t>
  </si>
  <si>
    <t>THA</t>
  </si>
  <si>
    <t>Timor-Leste</t>
  </si>
  <si>
    <t>TL</t>
  </si>
  <si>
    <t>TLS</t>
  </si>
  <si>
    <t>Togo</t>
  </si>
  <si>
    <t>TG</t>
  </si>
  <si>
    <t>TGO</t>
  </si>
  <si>
    <t xml:space="preserve">Tokelau </t>
  </si>
  <si>
    <t>TK</t>
  </si>
  <si>
    <t>TKL</t>
  </si>
  <si>
    <t>Tonga</t>
  </si>
  <si>
    <t>TO</t>
  </si>
  <si>
    <t>TON</t>
  </si>
  <si>
    <t>Trinidad and Tobago</t>
  </si>
  <si>
    <t>TT</t>
  </si>
  <si>
    <t>TTO</t>
  </si>
  <si>
    <t>Tunisia</t>
  </si>
  <si>
    <t>TN</t>
  </si>
  <si>
    <t>TUN</t>
  </si>
  <si>
    <t>Turkey</t>
  </si>
  <si>
    <t>TR</t>
  </si>
  <si>
    <t>TUR</t>
  </si>
  <si>
    <t>Turkmenistan</t>
  </si>
  <si>
    <t>TM</t>
  </si>
  <si>
    <t>TKM</t>
  </si>
  <si>
    <t xml:space="preserve">Turks and Caicos Islands </t>
  </si>
  <si>
    <t>TC</t>
  </si>
  <si>
    <t>TCA</t>
  </si>
  <si>
    <t>Tuvalu</t>
  </si>
  <si>
    <t>TV</t>
  </si>
  <si>
    <t>TUV</t>
  </si>
  <si>
    <t>Uganda</t>
  </si>
  <si>
    <t>UG</t>
  </si>
  <si>
    <t>UGA</t>
  </si>
  <si>
    <t>Ukraine</t>
  </si>
  <si>
    <t>UA</t>
  </si>
  <si>
    <t>UKR</t>
  </si>
  <si>
    <t>United Arab Emirates</t>
  </si>
  <si>
    <t>AE</t>
  </si>
  <si>
    <t>ARE</t>
  </si>
  <si>
    <t>GB</t>
  </si>
  <si>
    <t>United States of America</t>
  </si>
  <si>
    <t>US</t>
  </si>
  <si>
    <t>USA</t>
  </si>
  <si>
    <t>US Minor Outlying Islands</t>
  </si>
  <si>
    <t>UM</t>
  </si>
  <si>
    <t>UMI</t>
  </si>
  <si>
    <t>Uruguay</t>
  </si>
  <si>
    <t>UY</t>
  </si>
  <si>
    <t>URY</t>
  </si>
  <si>
    <t>Uzbekistan</t>
  </si>
  <si>
    <t>UZ</t>
  </si>
  <si>
    <t>UZB</t>
  </si>
  <si>
    <t>Vanuatu</t>
  </si>
  <si>
    <t>VU</t>
  </si>
  <si>
    <t>VUT</t>
  </si>
  <si>
    <t>Venezuela (Bolivarian Republic)</t>
  </si>
  <si>
    <t>VE</t>
  </si>
  <si>
    <t>VEN</t>
  </si>
  <si>
    <t>Viet Nam</t>
  </si>
  <si>
    <t>VN</t>
  </si>
  <si>
    <t>VNM</t>
  </si>
  <si>
    <t>Virgin Islands, US</t>
  </si>
  <si>
    <t>VI</t>
  </si>
  <si>
    <t>VIR</t>
  </si>
  <si>
    <t xml:space="preserve">Wallis and Futuna Islands </t>
  </si>
  <si>
    <t>WF</t>
  </si>
  <si>
    <t>WLF</t>
  </si>
  <si>
    <t>Western Sahara</t>
  </si>
  <si>
    <t>EH</t>
  </si>
  <si>
    <t>ESH</t>
  </si>
  <si>
    <t>Yemen</t>
  </si>
  <si>
    <t>YE</t>
  </si>
  <si>
    <t>YEM</t>
  </si>
  <si>
    <t>Zambia</t>
  </si>
  <si>
    <t>ZM</t>
  </si>
  <si>
    <t>ZMB</t>
  </si>
  <si>
    <t>Zimbabwe</t>
  </si>
  <si>
    <t>ZW</t>
  </si>
  <si>
    <t>ZWE</t>
  </si>
  <si>
    <t>Assets not exchange tradable</t>
  </si>
  <si>
    <t>XT</t>
  </si>
  <si>
    <t>Assets that are not listed in a stock exchange</t>
  </si>
  <si>
    <t>XL</t>
  </si>
  <si>
    <t>Spot Rates (Base)</t>
  </si>
  <si>
    <t>Year</t>
  </si>
  <si>
    <t>Valuation Date</t>
  </si>
  <si>
    <t>Other</t>
  </si>
  <si>
    <t>Mortality risk</t>
  </si>
  <si>
    <t>Infrastructure funds</t>
  </si>
  <si>
    <t>Subordinated bonds</t>
  </si>
  <si>
    <t>Catastrophe  and Weather risk</t>
  </si>
  <si>
    <t>Private equity funds</t>
  </si>
  <si>
    <t>Covered bonds subject to specific law</t>
  </si>
  <si>
    <t>National Central Banks</t>
  </si>
  <si>
    <t>Swaptions</t>
  </si>
  <si>
    <t>Loans on policies</t>
  </si>
  <si>
    <t>Commodity risk</t>
  </si>
  <si>
    <t>Alternative funds</t>
  </si>
  <si>
    <t>Common covered bonds</t>
  </si>
  <si>
    <t>Covered bond</t>
  </si>
  <si>
    <t>Security swaps</t>
  </si>
  <si>
    <t>Commodity options</t>
  </si>
  <si>
    <t>Commodity futures</t>
  </si>
  <si>
    <t>Plant and equipment (for own use)</t>
  </si>
  <si>
    <t>Other collateralized loans made</t>
  </si>
  <si>
    <t>Deposits to cedants</t>
  </si>
  <si>
    <t>Real estate risk</t>
  </si>
  <si>
    <t>Real estate funds</t>
  </si>
  <si>
    <t>Hybrid bonds</t>
  </si>
  <si>
    <t>Treasury bonds</t>
  </si>
  <si>
    <t>Total return swap</t>
  </si>
  <si>
    <t>Warrants</t>
  </si>
  <si>
    <r>
      <t>Property</t>
    </r>
    <r>
      <rPr>
        <sz val="10"/>
        <rFont val="Times New Roman"/>
        <family val="1"/>
      </rPr>
      <t xml:space="preserve"> (under construction)</t>
    </r>
  </si>
  <si>
    <t>Mortgages</t>
  </si>
  <si>
    <t>Other deposits with term longer than one year</t>
  </si>
  <si>
    <t>Credit risk</t>
  </si>
  <si>
    <t>Asset allocation funds</t>
  </si>
  <si>
    <t>Preferred equity</t>
  </si>
  <si>
    <t>Money market instruments</t>
  </si>
  <si>
    <t>Municipal government bonds</t>
  </si>
  <si>
    <t>Credit spread swap</t>
  </si>
  <si>
    <t>Interest rate and currency swaps</t>
  </si>
  <si>
    <t>Currency options</t>
  </si>
  <si>
    <t>Currency futures</t>
  </si>
  <si>
    <t>Property (for own use)</t>
  </si>
  <si>
    <t>Other deposits short term (less than or equal to one year)</t>
  </si>
  <si>
    <t>Currency risk</t>
  </si>
  <si>
    <t>Money market funds</t>
  </si>
  <si>
    <t>Equity rights</t>
  </si>
  <si>
    <t>Commercial paper</t>
  </si>
  <si>
    <t>Regional government bonds</t>
  </si>
  <si>
    <t>Credit spread option</t>
  </si>
  <si>
    <t>Forward exchange rate agreement</t>
  </si>
  <si>
    <t>Currency swaps</t>
  </si>
  <si>
    <t>Bond options</t>
  </si>
  <si>
    <t>Interest rate futures</t>
  </si>
  <si>
    <t>Property (residential)</t>
  </si>
  <si>
    <t xml:space="preserve"> Loans made collateralized with securities</t>
  </si>
  <si>
    <t>Transferable deposits (cash equivalents)</t>
  </si>
  <si>
    <t>Interest rate risk</t>
  </si>
  <si>
    <t>Debt funds</t>
  </si>
  <si>
    <t>Equity of real estate related corporation</t>
  </si>
  <si>
    <t>Convertible bonds</t>
  </si>
  <si>
    <t>Supra-national bonds</t>
  </si>
  <si>
    <t>Credit default swap</t>
  </si>
  <si>
    <t>Forward interest rate agreement</t>
  </si>
  <si>
    <t>Interest rate swaps</t>
  </si>
  <si>
    <t>Equity and index options</t>
  </si>
  <si>
    <t>Equity and index futures</t>
  </si>
  <si>
    <t>Property (office and commercial)</t>
  </si>
  <si>
    <t xml:space="preserve"> Uncollateralized loans made</t>
  </si>
  <si>
    <t>Equity risk</t>
  </si>
  <si>
    <t>Equity funds</t>
  </si>
  <si>
    <t>Common equity</t>
  </si>
  <si>
    <t>Corporate bonds</t>
  </si>
  <si>
    <t>Central Government bonds</t>
  </si>
  <si>
    <t>Sub-category or main risk</t>
  </si>
  <si>
    <t>Fourth position</t>
  </si>
  <si>
    <t>Credit derivatives</t>
  </si>
  <si>
    <t xml:space="preserve">Forwards </t>
  </si>
  <si>
    <t xml:space="preserve">Swaps </t>
  </si>
  <si>
    <t xml:space="preserve">Put Options </t>
  </si>
  <si>
    <t xml:space="preserve">Call Options </t>
  </si>
  <si>
    <t xml:space="preserve">Futures </t>
  </si>
  <si>
    <t>Other investments</t>
  </si>
  <si>
    <t>Mortgages and loans</t>
  </si>
  <si>
    <t>Cash and deposits</t>
  </si>
  <si>
    <t>Collateralised securities</t>
  </si>
  <si>
    <t xml:space="preserve">Structured notes </t>
  </si>
  <si>
    <t>Investment funds Collective Investment Undertakings</t>
  </si>
  <si>
    <t xml:space="preserve">Equity </t>
  </si>
  <si>
    <t>Government bonds</t>
  </si>
  <si>
    <t>F</t>
  </si>
  <si>
    <t>D</t>
  </si>
  <si>
    <t>C</t>
  </si>
  <si>
    <t>B</t>
  </si>
  <si>
    <t>Category</t>
  </si>
  <si>
    <t>Third position</t>
  </si>
  <si>
    <t>ISO 3166-1-alpha-2 country code or XL (for not listed) or XT (for not exchange tradable)</t>
  </si>
  <si>
    <t xml:space="preserve">Asset listed in </t>
  </si>
  <si>
    <t>First 2 positions</t>
  </si>
  <si>
    <t>Annex IV: Complementary Identification Code (CIC) Table</t>
  </si>
  <si>
    <t>Other credit derivatives, not classified under the above categories</t>
  </si>
  <si>
    <t>F9</t>
  </si>
  <si>
    <t>A swap in which the non-floating rate side is based on the total return of an equity or fixed income instrument with the life longer that the swap</t>
  </si>
  <si>
    <t>F4</t>
  </si>
  <si>
    <t>A swap in which one party makes a fixed payment to the other on the swap's settlement date and the second party pays the first an amount based on the actual credit spread</t>
  </si>
  <si>
    <t>F3</t>
  </si>
  <si>
    <t>Credit derivative that will generate cash flows if a given credit spread between two specific assets or benchmarks changes from its current level</t>
  </si>
  <si>
    <t>F2</t>
  </si>
  <si>
    <t>Credit derivative transaction in which two parties enter into an agreement whereby one party pays the other a fixed periodic coupon for the specified life on the agreement and the other party makes no payments unless a credit event relating to a predetermined reference asset occurs</t>
  </si>
  <si>
    <t>F1</t>
  </si>
  <si>
    <t>Derivative whose value is derived from the credit risk on an underlying bond, loan or any other financial asset</t>
  </si>
  <si>
    <t>Other forwards, not classified under the above categories</t>
  </si>
  <si>
    <t>E9</t>
  </si>
  <si>
    <t>Forwards mainly exposed to mortality risk</t>
  </si>
  <si>
    <t>E8</t>
  </si>
  <si>
    <t>Forwards mainly exposed to catastrophe or weather risk</t>
  </si>
  <si>
    <t>E7</t>
  </si>
  <si>
    <t>Forward contract in which one party pays an amount in one currency, and receives an equivalent amount in a different currency resulting from the conversion using the contractual exchange rate, at the predefined forward date</t>
  </si>
  <si>
    <t>E2</t>
  </si>
  <si>
    <t>Forward contract in which typicaly one party pays a fixed interest rate, and receives a variable interest rate usualy based on an underlying index rate, at the predefined forward date</t>
  </si>
  <si>
    <t>E1</t>
  </si>
  <si>
    <t>Non-standardised contract between two parties to buy or sell an asset at a specified future time at a price agreed today</t>
  </si>
  <si>
    <t>Other swaps, not classified under the above categories</t>
  </si>
  <si>
    <t>D9</t>
  </si>
  <si>
    <t>Swaps mainly exposed to mortality risk</t>
  </si>
  <si>
    <t>D8</t>
  </si>
  <si>
    <t>Swaps mainly exposed to catastrophe or weather risk</t>
  </si>
  <si>
    <t>D7</t>
  </si>
  <si>
    <t>Swap that exchange securities</t>
  </si>
  <si>
    <t>D5</t>
  </si>
  <si>
    <t>Swap that exchange interest and currency flows</t>
  </si>
  <si>
    <t>D3</t>
  </si>
  <si>
    <t>Swap that exchange currency</t>
  </si>
  <si>
    <t>D2</t>
  </si>
  <si>
    <t>Swap that exchange interest flows</t>
  </si>
  <si>
    <t>D1</t>
  </si>
  <si>
    <t>Contract in which counterparties exchange certain benefits of one party's financial instrument for those of the other party's financial instrument, and the benefits in question depend on the type of financial instruments involved</t>
  </si>
  <si>
    <t>Other put options, not classified under the above categories</t>
  </si>
  <si>
    <t>C9</t>
  </si>
  <si>
    <t>Put options mainly exposed to mortality risk</t>
  </si>
  <si>
    <t>C8</t>
  </si>
  <si>
    <t>Put options mainly exposed to catastrophe or weather risk</t>
  </si>
  <si>
    <t>C7</t>
  </si>
  <si>
    <t>Put options granting its owner the right but not the obligation to enter into a short position in an underlying swap, i.e., enter into a swap in which the owner will receive the fixed leg, and pay the floating leg</t>
  </si>
  <si>
    <t>C6</t>
  </si>
  <si>
    <t>Put options with commodities or other commodities dependent security as underlying</t>
  </si>
  <si>
    <t>C5</t>
  </si>
  <si>
    <t>Put options that entitles the holder to sell stock of the issuing company at a specified price</t>
  </si>
  <si>
    <t>C4</t>
  </si>
  <si>
    <t>Put options with currencies or other currencies dependent security as underlying</t>
  </si>
  <si>
    <t>C3</t>
  </si>
  <si>
    <t>Put options with bonds or other interest rate dependent security as underlying</t>
  </si>
  <si>
    <t>C2</t>
  </si>
  <si>
    <t>Put options with equity or stock exchange indices as underlying</t>
  </si>
  <si>
    <t>C1</t>
  </si>
  <si>
    <t>Contract between two parties concerning the selling of an asset at a reference price during a specified time frame, where the buyer of the put option gains the right, but not the obligation, to sell the underlying asset</t>
  </si>
  <si>
    <t>Other call options, not classified under the above categories</t>
  </si>
  <si>
    <t>B9</t>
  </si>
  <si>
    <t>Call options mainly exposed to mortality risk</t>
  </si>
  <si>
    <t>B8</t>
  </si>
  <si>
    <t>Call options mainly exposed to catastrophe or weather risk</t>
  </si>
  <si>
    <t>B7</t>
  </si>
  <si>
    <t>Call options granting its owner the right but not the obligation to enter into a long position in an underlying swap, i.e., enter into a swap where the owner pays the fixed leg and receive the floating leg</t>
  </si>
  <si>
    <t>B6</t>
  </si>
  <si>
    <t>Call options with commodities or other commodities dependent security as underlying</t>
  </si>
  <si>
    <t>B5</t>
  </si>
  <si>
    <t>Call options that entitles the holder to buy stock of the issuing company at a specified price</t>
  </si>
  <si>
    <t>B4</t>
  </si>
  <si>
    <t>Call options with currencies or other currencies dependent security as underlying</t>
  </si>
  <si>
    <t>B3</t>
  </si>
  <si>
    <t>Call options with bonds or other interest rate dependent security as underlying</t>
  </si>
  <si>
    <t>B2</t>
  </si>
  <si>
    <t>Call options with equity or stock exchange indices as underlying</t>
  </si>
  <si>
    <t>Contract between two parties concerning the buying of an asset at a reference price during a specified time frame, where the buyer of the call option gains the right, but not the obligation, to buy the underlying asset</t>
  </si>
  <si>
    <t>Other futures, not classified under the above categories</t>
  </si>
  <si>
    <t>A9</t>
  </si>
  <si>
    <t>Futures mainly exposed to mortality risk</t>
  </si>
  <si>
    <t>A8</t>
  </si>
  <si>
    <t>Futures mainly exposed to catastrophe or weather risk</t>
  </si>
  <si>
    <t>A7</t>
  </si>
  <si>
    <t>Futures with commodities or other commodities dependent security as underlying</t>
  </si>
  <si>
    <t>A5</t>
  </si>
  <si>
    <t>Futures with currencies or other currencies dependent security as underlying</t>
  </si>
  <si>
    <t>Futures with bonds or other interest rate dependent security as underlying</t>
  </si>
  <si>
    <t>Futures with equity or stock exchange indices as underlying</t>
  </si>
  <si>
    <t>Standardised contract between two parties to buy or sell a specified asset of standardised quantity and quality at a specified future date at a price agreed today</t>
  </si>
  <si>
    <t>Other assets reported in "Any other assets, not elsewhere shown"</t>
  </si>
  <si>
    <t>Other real estate, not classified under the above categories</t>
  </si>
  <si>
    <t>Plant and equipment for the own use of the undertaking</t>
  </si>
  <si>
    <t>Real estate that is under construction, for future own usage or future usage as investment</t>
  </si>
  <si>
    <t>Real estate for the own use of the undertaking</t>
  </si>
  <si>
    <t>Residential buildings used for investment</t>
  </si>
  <si>
    <t>Office and commercial building used for investment</t>
  </si>
  <si>
    <t>Buildings, land, other constructions that are immovable and equipment</t>
  </si>
  <si>
    <t>Other mortgages and loans, not classified under the above categories</t>
  </si>
  <si>
    <t>Loans made with insurance policies as collateral</t>
  </si>
  <si>
    <t>Loans made with collateral in any other form</t>
  </si>
  <si>
    <t>Loans made with collateral in the form of real estate</t>
  </si>
  <si>
    <t>Loans made with collateral in the form of financial securities</t>
  </si>
  <si>
    <t>Loans made without collateral</t>
  </si>
  <si>
    <t>Financial assets created when creditors lend funds to debtors, with collateral or not, including cash pools.</t>
  </si>
  <si>
    <t>Other cash and equivalents, not classified under the above categories</t>
  </si>
  <si>
    <t>Deposits relating to reinsurance accepted</t>
  </si>
  <si>
    <t>Deposits other than transferable deposits, with remaining maturity superior to 1 year, that cannot be used to make payments at any time and that are not exchangeable for currency or transferable deposits without any kind of significant restriction or penalty</t>
  </si>
  <si>
    <t>Deposits other than transferable deposits, with remaining maturity inferior or equal to 1 year, that cannot be used to make payments at any time and that are not exchangeable for currency or transferable deposits without any kind of significant restriction or penalty</t>
  </si>
  <si>
    <t>Deposits exchangeable for currency on demand at par and which are directly usable for making payments by cheque, draft, giro order, direct debit/credit, or other direct payment facility, without penalty or restriction</t>
  </si>
  <si>
    <r>
      <t>Transferable deposits</t>
    </r>
    <r>
      <rPr>
        <sz val="10"/>
        <color indexed="10"/>
        <rFont val="Times New Roman"/>
        <family val="1"/>
      </rPr>
      <t xml:space="preserve"> </t>
    </r>
    <r>
      <rPr>
        <sz val="10"/>
        <rFont val="Times New Roman"/>
        <family val="1"/>
      </rPr>
      <t>(cash equivalents)</t>
    </r>
  </si>
  <si>
    <t>Notes and coins in circulation that are commonly used to make payments</t>
  </si>
  <si>
    <t>Money in the physical form, bank deposits and other money deposits</t>
  </si>
  <si>
    <t>Other collateralised securities, not classified under the above categories</t>
  </si>
  <si>
    <t>Collateralised securities mainly exposed to mortality risk</t>
  </si>
  <si>
    <t>Collateralised securities mainly exposed to catastrophe or weather risk</t>
  </si>
  <si>
    <t>Collateralised securities mainly exposed to commodity risk</t>
  </si>
  <si>
    <t>Collateralised securities mainly exposed to real estate risk</t>
  </si>
  <si>
    <t>Collateralised securities mainly exposed to credit risk</t>
  </si>
  <si>
    <t>Collateralised securities mainly exposed to currency risk</t>
  </si>
  <si>
    <t>Collateralised securities mainly exposed to interest rate risk</t>
  </si>
  <si>
    <t>Collateralised securities mainly exposed to equity risk</t>
  </si>
  <si>
    <t>Securities whose value and payments are derived from a portfolio of underlying assets. Includes Asset Backed Securities (ABS), Mortgage Backed securities (MBS), Commercial Mortgage Backed securities (CMBS), Collateralised Debt Obligations (CDO), Collateralised Loan Obligations (CLO) , Collateralised Mortgage Obligations (CMO). Assets under this category are not subject to unbundling</t>
  </si>
  <si>
    <t>Other structured notes, not classified under the above categories</t>
  </si>
  <si>
    <t>Structured notes mainly exposed to mortality risk</t>
  </si>
  <si>
    <t>Structured notes mainly exposed to catastrophe or weather risk</t>
  </si>
  <si>
    <t>Structured notes mainly exposed to commodity risk</t>
  </si>
  <si>
    <t>Structured notes mainly exposed to real estate risk</t>
  </si>
  <si>
    <t>Structured notes mainly exposed to credit risk</t>
  </si>
  <si>
    <t>Structured notes mainly exposed to currency risk</t>
  </si>
  <si>
    <t>Structured notes mainly exposed to interest rate risk</t>
  </si>
  <si>
    <t>Structured notes mainly exposed to equity risk</t>
  </si>
  <si>
    <t>Hybrid securities, combining a fixed income (return in the form of fixed payments) instrument with a series of derivative components. Excluded from this category are fixed income securities that are issued by sovereign governments. Concerns securities that have embedded one or a combination of categories of derivatives, including Credit Default Swaps (CDS), Constant Maturity Swaps (CMS), Credit Default Options (CDOp). Assets under this category are not subject to unbundling</t>
  </si>
  <si>
    <t>Other  Collective investment undertakings, not classified under the above categories</t>
  </si>
  <si>
    <t>Collective investment undertakings that invest in utilities such as toll roads, bridges, tunnels, ports and airports, oil and gas distribution, electricity distribution and social infrastructure such as healthcare and educational facilities</t>
  </si>
  <si>
    <t xml:space="preserve"> Collective investment undertakings used for making investments in equity securities following strategies associated with private equity.</t>
  </si>
  <si>
    <t xml:space="preserve"> Collective investment undertakings whose investment strategies include such  as hedging, event driven, fixed income directional and relative value, managed futures, commodities etc.</t>
  </si>
  <si>
    <t xml:space="preserve"> Collective investment undertakings mainly invested in real estate</t>
  </si>
  <si>
    <t xml:space="preserve"> Collective investment undertakings which invests its assets pursuing a specific asset allocation objective, e.g. primarily investing in the securities of companies in countries with nascent stock markets or small economies, specific sectors or group of sectors, specific countries or other specific investment objective</t>
  </si>
  <si>
    <t>Collective investment undertakings under the definition provided by ESMA (CESR/10-049)</t>
  </si>
  <si>
    <t>Collective investment undertakings mainly invested in bonds</t>
  </si>
  <si>
    <t>Collective investment undertakings mainly invested in equity</t>
  </si>
  <si>
    <t>Undertakings the sole purpose of which is the collective investment in transferrable securities and/or in other financial assets. Collective investment undertaking' means an undertaking for collective investment in transferable securities (UCITS) as defined in Article 1(2) of Directive 2009/65/EC of the European Parliament and of the Council or an alternative investment fund (AIF) as defined in Article 4(1)(a) of Directive 2011/61/EU of the European Parliament and of the Council.</t>
  </si>
  <si>
    <t>Collective Investment Undertakings</t>
  </si>
  <si>
    <t>Other equity, not classified under the above categories</t>
  </si>
  <si>
    <t>Equity security that is senior to common equity, having a higher claim on the assets and earnings than common equity, but is subordinate to bonds</t>
  </si>
  <si>
    <t>Rights to subscribe to additional shares of equity at a set price</t>
  </si>
  <si>
    <t>Equity representing capital from real estate related corporations</t>
  </si>
  <si>
    <t>Equity that represents basic property rights on corporations</t>
  </si>
  <si>
    <t>Shares and other securities equivalent to shares representing corporations' capital, i.e., representing ownership in a corporation</t>
  </si>
  <si>
    <t>Other corporate bonds, with other characteristics than the ones identified in the above categories</t>
  </si>
  <si>
    <t>Corporate bonds which have a lower priority than other bonds of the issuer in case of liquidation.</t>
  </si>
  <si>
    <t>Corporate bonds which have a pool of assets that secures or "covers" the bond if the originator becomes insolvent and are subject by law to special public supervision designed to protect bond-holders, as definid in Article 22(4) of Directive 85/611/EEC. 
An example of this category is Pfandbrief: "Covered bonds which are issued on the basis of the Pfandbrief Act. They are used to refinance loans for which collateral is furnished in the form of loans secured by real estate liens (Mortgage Pfandbriefe), public-sector loans (Public Pfandbriefe), ship mortgages (Ship Pfandbriefe) or aircraft mortgages (Aircraft Pfandbriefe). Thus, the distinction made between these Pfandbrief types refers to the cover pool created for each type of Pfandbrief."</t>
  </si>
  <si>
    <t>Corporate bonds which have a pool of assets that secures or "covers" the bond. Those assets remain on the issuer balance sheet. Covered bonds subject to specific law are excluded from this category</t>
  </si>
  <si>
    <t>Corporate bonds that have debt and equity-like features, but are not convertible.</t>
  </si>
  <si>
    <t>Very short term debt securities (usualy with maturities ranging form 1 day up to 1 year), consisting mainly of negotiable certificates of deposit (CDs), bankers acceptances, repurchase agreements (repos) and other highly liquid instruments. Commercial Paper is excluded from this category</t>
  </si>
  <si>
    <t>Unsecured, short-term debt instrument issued by a corporation, typically for the financing of accounts receivable, inventories and meeting short-term liabilities, usualy with original maturity lesser than 270 days.</t>
  </si>
  <si>
    <t>Corporate bonds that the holder can convert into shares of common stock in the issuing company or cash of equal value, having debt and equity-like features</t>
  </si>
  <si>
    <t>Bonds issued by corporations, with simple characteristics, usually covering the ones referred to as "plain vanilla", and that don't have any special feature described in the categories 22 to 28</t>
  </si>
  <si>
    <t>Bonds issued by corporations</t>
  </si>
  <si>
    <t>Other government bonds, not classified under the above categories</t>
  </si>
  <si>
    <t>Bonds issued by national central banks</t>
  </si>
  <si>
    <t>National Central banks</t>
  </si>
  <si>
    <t>Government bonds which have a pool of assets that secures or "covers" the bond. Those assets remain on the issuer balance sheet.</t>
  </si>
  <si>
    <t>Covered bonds</t>
  </si>
  <si>
    <t>Short term government bonds, issued by central governments (issued with a maturity term up to 1 year)</t>
  </si>
  <si>
    <t>Bonds issued by municipalities, including cities, provinces, districts and other municipal authorities</t>
  </si>
  <si>
    <t>Regional government or autonomous communities debt instruments offered to the public in a public offering on the capital market</t>
  </si>
  <si>
    <t>Bonds issued by public institutions established by a commitment between national states, e.g. issued by a multilateral development bank as listed in Annex VI, Part 1, Number 4 of the Capital Requirements Directive (2006/48/EC) or issued by an international organisation listed in Annex VI, Part 1, Number 5 of the Capital  Requirements Directive (2006/48/EC)</t>
  </si>
  <si>
    <t>Bonds issued by central governments</t>
  </si>
  <si>
    <t>Bonds issued by public authorities, whether by central governments supra-national government institutions, regional governments or municipal governments. Includes also bonds with a qualifying guarantee provided by the European Central Bank, EU Member States' central government and central banks denominated and funded in the domestic currency of that central government and central bank, multilateral development banks referred to in paragraph 2 of Article 117 of Regulation 575/2013 and international organisations  referred to in Article 118 of Regulation 575/2013</t>
  </si>
  <si>
    <t>Definition</t>
  </si>
  <si>
    <t>Third and forth position - Category</t>
  </si>
  <si>
    <t>Identify assets that by their nature are not subject to negotiation on a regulated market or on a multilateral trading facility, as defined by Directive 2004/39/CE.</t>
  </si>
  <si>
    <t>Assets that are not exchange tradable</t>
  </si>
  <si>
    <t>Identify assets that are not negotiated on a regulated market or on a multilateral trading facility, as defined by Directive 2004/39/EC</t>
  </si>
  <si>
    <t>Identify the ISO 3166-1-alpha-2 country code where the asset is listed in. An asset is considered as being listed if it is negotiated on a regulated market or on a multilateral trading facility, as defined by Directive 2004/39/EC. If the asset is listed in more than one country, the country shall be the one of the most liquid regulated market</t>
  </si>
  <si>
    <t>ISO 3166-1-alpha-2 country code</t>
  </si>
  <si>
    <t>Country</t>
  </si>
  <si>
    <t>First 2 positions - Assets listed in</t>
  </si>
  <si>
    <t>Annex V: Definitions of the CIC Table</t>
  </si>
  <si>
    <t>Moody's Rating</t>
  </si>
  <si>
    <t>Credit Quality Step</t>
  </si>
  <si>
    <t>Long Term</t>
  </si>
  <si>
    <t>Short Term</t>
  </si>
  <si>
    <t>P-1</t>
  </si>
  <si>
    <t>P-2</t>
  </si>
  <si>
    <t>P-3</t>
  </si>
  <si>
    <t>P1</t>
  </si>
  <si>
    <t>P2</t>
  </si>
  <si>
    <t>P3</t>
  </si>
  <si>
    <t>unrated</t>
  </si>
  <si>
    <t>Parameter 1</t>
  </si>
  <si>
    <t>Parameter 2</t>
  </si>
  <si>
    <t>Parameter 3</t>
  </si>
  <si>
    <t>10 Years after Valuation date (for bonds)</t>
  </si>
  <si>
    <t>Main menu</t>
  </si>
  <si>
    <t>Euro</t>
  </si>
  <si>
    <t>Russia</t>
  </si>
  <si>
    <t>Hong Kong</t>
  </si>
  <si>
    <t>South Korea</t>
  </si>
  <si>
    <t>Taiwan</t>
  </si>
  <si>
    <t>United States</t>
  </si>
  <si>
    <t>EUR_31_3_2017_SWP_LLP_20_EXT_40_UFR_4.2</t>
  </si>
  <si>
    <t>AT_31_3_2017_SWP_LLP_20_EXT_40_UFR_4.2</t>
  </si>
  <si>
    <t>BE_31_3_2017_SWP_LLP_20_EXT_40_UFR_4.2</t>
  </si>
  <si>
    <t>BG_31_3_2017_SWP_LLP_20_EXT_40_UFR_4.2</t>
  </si>
  <si>
    <t>HR_31_3_2017_GVT_LLP_9_EXT_51_UFR_4.2</t>
  </si>
  <si>
    <t>CY_31_3_2017_SWP_LLP_20_EXT_40_UFR_4.2</t>
  </si>
  <si>
    <t>CZ_31_3_2017_SWP_LLP_15_EXT_45_UFR_4.2</t>
  </si>
  <si>
    <t>DK_31_3_2017_SWP_LLP_20_EXT_40_UFR_4.2</t>
  </si>
  <si>
    <t>EE_31_3_2017_SWP_LLP_20_EXT_40_UFR_4.2</t>
  </si>
  <si>
    <t>FI_31_3_2017_SWP_LLP_20_EXT_40_UFR_4.2</t>
  </si>
  <si>
    <t>FR_31_3_2017_SWP_LLP_20_EXT_40_UFR_4.2</t>
  </si>
  <si>
    <t>DE_31_3_2017_SWP_LLP_20_EXT_40_UFR_4.2</t>
  </si>
  <si>
    <t>GR_31_3_2017_SWP_LLP_20_EXT_40_UFR_4.2</t>
  </si>
  <si>
    <t>HU_31_3_2017_GVT_LLP_15_EXT_45_UFR_4.2</t>
  </si>
  <si>
    <t>IS_31_3_2017_GVT_LLP_8_EXT_52_UFR_4.2</t>
  </si>
  <si>
    <t>IE_31_3_2017_SWP_LLP_20_EXT_40_UFR_4.2</t>
  </si>
  <si>
    <t>IT_31_3_2017_SWP_LLP_20_EXT_40_UFR_4.2</t>
  </si>
  <si>
    <t>LV_31_3_2017_SWP_LLP_20_EXT_40_UFR_4.2</t>
  </si>
  <si>
    <t>LI_31_3_2017_SWP_LLP_25_EXT_40_UFR_3.2</t>
  </si>
  <si>
    <t>LT_31_3_2017_SWP_LLP_20_EXT_40_UFR_4.2</t>
  </si>
  <si>
    <t>LU_31_3_2017_SWP_LLP_20_EXT_40_UFR_4.2</t>
  </si>
  <si>
    <t>MT_31_3_2017_SWP_LLP_20_EXT_40_UFR_4.2</t>
  </si>
  <si>
    <t>NL_31_3_2017_SWP_LLP_20_EXT_40_UFR_4.2</t>
  </si>
  <si>
    <t>NO_31_3_2017_SWP_LLP_10_EXT_50_UFR_4.2</t>
  </si>
  <si>
    <t>PL_31_3_2017_GVT_LLP_10_EXT_50_UFR_4.2</t>
  </si>
  <si>
    <t>PT_31_3_2017_SWP_LLP_20_EXT_40_UFR_4.2</t>
  </si>
  <si>
    <t>RO_31_3_2017_GVT_LLP_10_EXT_50_UFR_4.2</t>
  </si>
  <si>
    <t>RU_31_3_2017_SWP_LLP_10_EXT_50_UFR_4.2</t>
  </si>
  <si>
    <t>SK_31_3_2017_SWP_LLP_20_EXT_40_UFR_4.2</t>
  </si>
  <si>
    <t>SI_31_3_2017_SWP_LLP_20_EXT_40_UFR_4.2</t>
  </si>
  <si>
    <t>ES_31_3_2017_SWP_LLP_20_EXT_40_UFR_4.2</t>
  </si>
  <si>
    <t>SE_31_3_2017_SWP_LLP_10_EXT_10_UFR_4.2</t>
  </si>
  <si>
    <t>CH_31_3_2017_SWP_LLP_25_EXT_40_UFR_3.2</t>
  </si>
  <si>
    <t>GB_31_3_2017_SWP_LLP_50_EXT_40_UFR_4.2</t>
  </si>
  <si>
    <t>AU_31_3_2017_SWP_LLP_30_EXT_40_UFR_4.2</t>
  </si>
  <si>
    <t>BR_31_3_2017_GVT_LLP_10_EXT_50_UFR_5.2</t>
  </si>
  <si>
    <t>CA_31_3_2017_SWP_LLP_30_EXT_40_UFR_4.2</t>
  </si>
  <si>
    <t>CL_31_3_2017_SWP_LLP_10_EXT_50_UFR_4.2</t>
  </si>
  <si>
    <t>CN_31_3_2017_SWP_LLP_10_EXT_50_UFR_4.2</t>
  </si>
  <si>
    <t>CO_31_3_2017_GVT_LLP_10_EXT_50_UFR_4.2</t>
  </si>
  <si>
    <t>HK_31_3_2017_SWP_LLP_15_EXT_45_UFR_4.2</t>
  </si>
  <si>
    <t>IN_31_3_2017_GVT_LLP_10_EXT_50_UFR_5.2</t>
  </si>
  <si>
    <t>JP_31_3_2017_SWP_LLP_30_EXT_40_UFR_3.2</t>
  </si>
  <si>
    <t>MY_31_3_2017_SWP_LLP_20_EXT_40_UFR_4.2</t>
  </si>
  <si>
    <t>MX_31_3_2017_SWP_LLP_20_EXT_40_UFR_5.2</t>
  </si>
  <si>
    <t>NZ_31_3_2017_SWP_LLP_20_EXT_40_UFR_4.2</t>
  </si>
  <si>
    <t>SG_31_3_2017_SWP_LLP_20_EXT_40_UFR_4.2</t>
  </si>
  <si>
    <t>ZA_31_3_2017_SWP_LLP_15_EXT_45_UFR_5.2</t>
  </si>
  <si>
    <t>KR_31_3_2017_SWP_LLP_20_EXT_40_UFR_4.2</t>
  </si>
  <si>
    <t>TW_31_3_2017_GVT_LLP_10_EXT_50_UFR_4.2</t>
  </si>
  <si>
    <t>TH_31_3_2017_SWP_LLP_15_EXT_45_UFR_4.2</t>
  </si>
  <si>
    <t>TR_31_3_2017_SWP_LLP_10_EXT_50_UFR_5.2</t>
  </si>
  <si>
    <t>US_31_3_2017_SWP_LLP_50_EXT_40_UFR_4.2</t>
  </si>
  <si>
    <t>Coupon_freq</t>
  </si>
  <si>
    <t>LLP</t>
  </si>
  <si>
    <t>Convergence</t>
  </si>
  <si>
    <t>UFR</t>
  </si>
  <si>
    <t>alpha</t>
  </si>
  <si>
    <t>CRA</t>
  </si>
  <si>
    <t>BGN</t>
  </si>
  <si>
    <t>HRK</t>
  </si>
  <si>
    <t>CZK</t>
  </si>
  <si>
    <t>ISK</t>
  </si>
  <si>
    <t>RON</t>
  </si>
  <si>
    <t>RUB</t>
  </si>
  <si>
    <t>BRL</t>
  </si>
  <si>
    <t>CLP</t>
  </si>
  <si>
    <t>CNY</t>
  </si>
  <si>
    <t>COP</t>
  </si>
  <si>
    <t>INR</t>
  </si>
  <si>
    <t>MYR</t>
  </si>
  <si>
    <t>SGD</t>
  </si>
  <si>
    <t>KRW</t>
  </si>
  <si>
    <t>TWD</t>
  </si>
  <si>
    <t>THB</t>
  </si>
  <si>
    <t>TRY</t>
  </si>
  <si>
    <t>Code</t>
  </si>
  <si>
    <t>This Tab calculates the interest rate up and down stresses for each currency</t>
  </si>
  <si>
    <t>Table 1 - Interest Rate Up</t>
  </si>
  <si>
    <t>Up</t>
  </si>
  <si>
    <t>Down</t>
  </si>
  <si>
    <t>Minimum Increase in Interest Rate Risk (Up)</t>
  </si>
  <si>
    <t>Minimum Decrease in Interest Rate Risk (Down)</t>
  </si>
  <si>
    <t>Floor applied to rates in Interest Rate Risk (Down)</t>
  </si>
  <si>
    <t>Solvency II Stress Parameter</t>
  </si>
  <si>
    <t>In Use  (2015 Delegated Acts)</t>
  </si>
  <si>
    <t>Table 1 - Interest Rate Down</t>
  </si>
  <si>
    <t>The interest rate up stress calculation ensures that the interest rate increases by max(1%,Stress factor) as per the Delegated Acts 2015</t>
  </si>
  <si>
    <t>The interest rate down stress calculation ensures that the interest rate does not change if it is already negative as per the Delegated Acts 2015</t>
  </si>
  <si>
    <t>Spot Rates (IR Up)</t>
  </si>
  <si>
    <t>Spot Rates (IR Down)</t>
  </si>
  <si>
    <t>FX Up</t>
  </si>
  <si>
    <t>FX Down</t>
  </si>
  <si>
    <t>Currency Risk Stress Parameters</t>
  </si>
  <si>
    <t>Stress Factor (Currency Up)</t>
  </si>
  <si>
    <t>Stress Factor (Currency Down)</t>
  </si>
  <si>
    <t>Currency</t>
  </si>
  <si>
    <t>FX</t>
  </si>
  <si>
    <t>Interest\Spread</t>
  </si>
  <si>
    <t>Interest</t>
  </si>
  <si>
    <t>Spread</t>
  </si>
  <si>
    <t>Interest\FX</t>
  </si>
  <si>
    <t>Interest Rate</t>
  </si>
  <si>
    <t>Concentration</t>
  </si>
  <si>
    <t>Equity Dampener</t>
  </si>
  <si>
    <t>Base</t>
  </si>
  <si>
    <t>IR Up</t>
  </si>
  <si>
    <t>IR Down</t>
  </si>
  <si>
    <t>Int with no maturity</t>
  </si>
  <si>
    <t>Notes and asumptions</t>
  </si>
  <si>
    <t>If Cash has no maturity date assume maturity in 1 days time</t>
  </si>
  <si>
    <t>ZZ</t>
  </si>
  <si>
    <t>Asset with no country code in CIC</t>
  </si>
  <si>
    <t>If no country in CIC code use "ZZ", assumed to not be in OECD for Equity,  uses GBP int rates for int rate stress, stressed under currency stress</t>
  </si>
  <si>
    <t>If no CIC code stress as Equity</t>
  </si>
  <si>
    <t>See CIC codes tab for what stresses apply by CIC code</t>
  </si>
  <si>
    <t>If no nominal amount assume 100</t>
  </si>
  <si>
    <t>If can't find currency for IR stress assume GBP</t>
  </si>
  <si>
    <t>If can't find rating in table (e.g. rating blank) then given a rating of "unrated"</t>
  </si>
  <si>
    <t>Cash stressed under Spread Risk Stress, stress of 0 due to duration</t>
  </si>
  <si>
    <t>Value of Bonds under base, IR Up and IR Down calculated using risk free rates, stress is difference between this calculated stressed value and the calcualted base value. Market value multiplied by this to get the stressed market value</t>
  </si>
  <si>
    <t>Floating rates</t>
  </si>
  <si>
    <t>If Bond has no maturity date, assume maturity in 10 years time</t>
  </si>
  <si>
    <t>If no modified duration then calculate using mduration/(1 + yield): using maturity date (set to 10 years from valuation date if blank) and yield (max of yield and 0, uses risk free yield if not given)</t>
  </si>
  <si>
    <t>Spread with 0 modified duration</t>
  </si>
  <si>
    <t>CIC 3rd and 4th place</t>
  </si>
  <si>
    <t>CIC 3rd place</t>
  </si>
  <si>
    <t>CIC 4th place</t>
  </si>
  <si>
    <t>Type</t>
  </si>
  <si>
    <t>SCR stress to apply</t>
  </si>
  <si>
    <t>No</t>
  </si>
  <si>
    <t>Yes</t>
  </si>
  <si>
    <t>Assumed rate</t>
  </si>
  <si>
    <t>Type1</t>
  </si>
  <si>
    <t>Type 2</t>
  </si>
  <si>
    <t>Investments in Related Undertakings</t>
  </si>
  <si>
    <t>Other Equity Investments</t>
  </si>
  <si>
    <t>Spread Risk Parameters</t>
  </si>
  <si>
    <t>Equity Risk Parameters</t>
  </si>
  <si>
    <t>Stress Factor</t>
  </si>
  <si>
    <t>Property Risk Parameters</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</si>
</sst>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 #,##0.00_-;_-* &quot;-&quot;??_-;_-@_-"/>
    <numFmt numFmtId="164" formatCode="_-* #,##0_-;\-* #,##0_-;_-* &quot;-&quot;??_-;_-@_-"/>
    <numFmt numFmtId="165" formatCode="###\ ###\ ###\ ##0.00_);\(###\ ###\ ###\ ##0.00\)"/>
    <numFmt numFmtId="166" formatCode="0.000%"/>
    <numFmt numFmtId="167" formatCode="_-* #,##0.0000_-;\-* #,##0.0000_-;_-* &quot;-&quot;??_-;_-@_-"/>
    <numFmt numFmtId="169" formatCode="0.0%"/>
  </numFmts>
  <fonts count="29" x14ac:knownFonts="1">
    <font>
      <sz val="11"/>
      <color indexed="8"/>
      <name val="Calibri"/>
      <family val="2"/>
      <scheme val="minor"/>
    </font>
    <font>
      <sz val="11"/>
      <color theme="1"/>
      <name val="Calibri"/>
      <family val="2"/>
      <scheme val="minor"/>
    </font>
    <font>
      <sz val="11"/>
      <color theme="1"/>
      <name val="Calibri"/>
      <family val="2"/>
      <scheme val="minor"/>
    </font>
    <font>
      <sz val="11"/>
      <color indexed="8"/>
      <name val="Calibri"/>
      <family val="2"/>
      <scheme val="minor"/>
    </font>
    <font>
      <sz val="11"/>
      <color theme="1"/>
      <name val="Arial"/>
      <family val="2"/>
    </font>
    <font>
      <i/>
      <sz val="11"/>
      <color theme="1"/>
      <name val="Arial"/>
      <family val="2"/>
    </font>
    <font>
      <sz val="10"/>
      <name val="Arial"/>
      <family val="2"/>
    </font>
    <font>
      <b/>
      <sz val="10"/>
      <name val="Calibri"/>
      <family val="2"/>
      <scheme val="minor"/>
    </font>
    <font>
      <sz val="10"/>
      <color theme="4"/>
      <name val="Calibri"/>
      <family val="2"/>
      <scheme val="minor"/>
    </font>
    <font>
      <b/>
      <sz val="11"/>
      <color indexed="8"/>
      <name val="Calibri"/>
      <family val="2"/>
      <scheme val="minor"/>
    </font>
    <font>
      <sz val="11"/>
      <color indexed="8"/>
      <name val="Calibri"/>
      <family val="2"/>
    </font>
    <font>
      <sz val="10"/>
      <color indexed="8"/>
      <name val="Times New Roman"/>
      <family val="1"/>
    </font>
    <font>
      <sz val="10"/>
      <color indexed="10"/>
      <name val="Times New Roman"/>
      <family val="1"/>
    </font>
    <font>
      <sz val="10"/>
      <name val="Times New Roman"/>
      <family val="1"/>
    </font>
    <font>
      <sz val="10"/>
      <color indexed="9"/>
      <name val="Times New Roman"/>
      <family val="1"/>
    </font>
    <font>
      <sz val="11"/>
      <color indexed="9"/>
      <name val="Calibri"/>
      <family val="2"/>
    </font>
    <font>
      <sz val="8"/>
      <name val="MS Sans Serif"/>
      <family val="2"/>
    </font>
    <font>
      <b/>
      <sz val="10"/>
      <color indexed="8"/>
      <name val="Times New Roman"/>
      <family val="1"/>
    </font>
    <font>
      <b/>
      <sz val="10"/>
      <name val="Times New Roman"/>
      <family val="1"/>
    </font>
    <font>
      <b/>
      <sz val="10"/>
      <color indexed="10"/>
      <name val="Times New Roman"/>
      <family val="1"/>
    </font>
    <font>
      <sz val="10"/>
      <name val="Calibri"/>
      <family val="2"/>
      <scheme val="minor"/>
    </font>
    <font>
      <b/>
      <sz val="10"/>
      <name val="Calibri"/>
      <family val="2"/>
    </font>
    <font>
      <sz val="10"/>
      <name val="Calibri"/>
      <family val="2"/>
    </font>
    <font>
      <b/>
      <sz val="11"/>
      <color rgb="FF000099"/>
      <name val="Calibri"/>
      <family val="2"/>
      <scheme val="minor"/>
    </font>
    <font>
      <sz val="8"/>
      <color theme="1"/>
      <name val="Calibri"/>
      <family val="2"/>
      <scheme val="minor"/>
    </font>
    <font>
      <u/>
      <sz val="11"/>
      <color theme="10"/>
      <name val="Calibri"/>
      <family val="2"/>
      <scheme val="minor"/>
    </font>
    <font>
      <b/>
      <sz val="12"/>
      <color theme="0"/>
      <name val="Verdana"/>
      <family val="2"/>
    </font>
    <font>
      <b/>
      <sz val="11"/>
      <color theme="0"/>
      <name val="Calibri"/>
      <family val="2"/>
      <scheme val="minor"/>
    </font>
    <font>
      <b/>
      <sz val="11"/>
      <color theme="1"/>
      <name val="Calibri"/>
      <family val="2"/>
      <scheme val="minor"/>
    </font>
  </fonts>
  <fills count="24">
    <fill>
      <patternFill patternType="none"/>
    </fill>
    <fill>
      <patternFill patternType="gray125"/>
    </fill>
    <fill>
      <patternFill patternType="solid">
        <fgColor rgb="FFFFFF00"/>
        <bgColor indexed="64"/>
      </patternFill>
    </fill>
    <fill>
      <patternFill patternType="solid">
        <fgColor rgb="FFBDCEE7"/>
        <bgColor indexed="64"/>
      </patternFill>
    </fill>
    <fill>
      <patternFill patternType="solid">
        <fgColor theme="0"/>
        <bgColor indexed="64"/>
      </patternFill>
    </fill>
    <fill>
      <patternFill patternType="solid">
        <fgColor theme="3" tint="0.79998168889431442"/>
        <bgColor indexed="64"/>
      </patternFill>
    </fill>
    <fill>
      <patternFill patternType="solid">
        <fgColor indexed="31"/>
        <bgColor indexed="22"/>
      </patternFill>
    </fill>
    <fill>
      <patternFill patternType="solid">
        <fgColor indexed="62"/>
        <bgColor indexed="56"/>
      </patternFill>
    </fill>
    <fill>
      <patternFill patternType="solid">
        <fgColor indexed="30"/>
        <bgColor indexed="21"/>
      </patternFill>
    </fill>
    <fill>
      <patternFill patternType="solid">
        <fgColor indexed="9"/>
        <bgColor indexed="26"/>
      </patternFill>
    </fill>
    <fill>
      <patternFill patternType="solid">
        <fgColor theme="0"/>
        <bgColor indexed="34"/>
      </patternFill>
    </fill>
    <fill>
      <patternFill patternType="solid">
        <fgColor rgb="FF92D050"/>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rgb="FF000099"/>
        <bgColor indexed="64"/>
      </patternFill>
    </fill>
    <fill>
      <patternFill patternType="solid">
        <fgColor theme="3" tint="0.39997558519241921"/>
        <bgColor indexed="64"/>
      </patternFill>
    </fill>
    <fill>
      <patternFill patternType="solid">
        <fgColor indexed="9"/>
        <bgColor indexed="64"/>
      </patternFill>
    </fill>
    <fill>
      <patternFill patternType="solid">
        <fgColor rgb="FFFFFF00"/>
        <bgColor indexed="22"/>
      </patternFill>
    </fill>
    <fill>
      <patternFill patternType="solid">
        <fgColor theme="6"/>
        <bgColor indexed="22"/>
      </patternFill>
    </fill>
    <fill>
      <patternFill patternType="solid">
        <fgColor theme="5" tint="0.39997558519241921"/>
        <bgColor indexed="22"/>
      </patternFill>
    </fill>
    <fill>
      <patternFill patternType="solid">
        <fgColor theme="6"/>
        <bgColor indexed="64"/>
      </patternFill>
    </fill>
    <fill>
      <patternFill patternType="solid">
        <fgColor theme="9" tint="0.59999389629810485"/>
        <bgColor indexed="64"/>
      </patternFill>
    </fill>
    <fill>
      <patternFill patternType="solid">
        <fgColor rgb="FFFFC000"/>
        <bgColor indexed="64"/>
      </patternFill>
    </fill>
  </fills>
  <borders count="28">
    <border>
      <left/>
      <right/>
      <top/>
      <bottom/>
      <diagonal/>
    </border>
    <border>
      <left/>
      <right/>
      <top style="thin">
        <color rgb="FFBBBBBB"/>
      </top>
      <bottom style="thin">
        <color rgb="FFBBBBBB"/>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9"/>
      </left>
      <right style="medium">
        <color indexed="9"/>
      </right>
      <top style="medium">
        <color indexed="9"/>
      </top>
      <bottom style="medium">
        <color indexed="9"/>
      </bottom>
      <diagonal/>
    </border>
    <border>
      <left style="medium">
        <color indexed="9"/>
      </left>
      <right style="medium">
        <color indexed="9"/>
      </right>
      <top style="thick">
        <color indexed="9"/>
      </top>
      <bottom style="medium">
        <color indexed="9"/>
      </bottom>
      <diagonal/>
    </border>
    <border>
      <left style="medium">
        <color indexed="9"/>
      </left>
      <right style="medium">
        <color indexed="9"/>
      </right>
      <top style="thick">
        <color indexed="9"/>
      </top>
      <bottom style="thick">
        <color indexed="9"/>
      </bottom>
      <diagonal/>
    </border>
    <border>
      <left/>
      <right style="medium">
        <color indexed="9"/>
      </right>
      <top style="thin">
        <color indexed="9"/>
      </top>
      <bottom/>
      <diagonal/>
    </border>
    <border>
      <left style="medium">
        <color indexed="9"/>
      </left>
      <right style="medium">
        <color indexed="9"/>
      </right>
      <top/>
      <bottom style="medium">
        <color indexed="9"/>
      </bottom>
      <diagonal/>
    </border>
    <border>
      <left/>
      <right style="medium">
        <color indexed="9"/>
      </right>
      <top style="medium">
        <color indexed="9"/>
      </top>
      <bottom style="thick">
        <color indexed="9"/>
      </bottom>
      <diagonal/>
    </border>
    <border>
      <left style="thin">
        <color indexed="9"/>
      </left>
      <right style="thin">
        <color indexed="9"/>
      </right>
      <top style="thin">
        <color indexed="9"/>
      </top>
      <bottom style="thin">
        <color indexed="9"/>
      </bottom>
      <diagonal/>
    </border>
    <border>
      <left style="medium">
        <color indexed="9"/>
      </left>
      <right/>
      <top/>
      <bottom/>
      <diagonal/>
    </border>
    <border>
      <left style="thin">
        <color indexed="63"/>
      </left>
      <right/>
      <top style="thin">
        <color indexed="63"/>
      </top>
      <bottom style="thin">
        <color indexed="63"/>
      </bottom>
      <diagonal/>
    </border>
    <border>
      <left style="thin">
        <color indexed="63"/>
      </left>
      <right style="thin">
        <color indexed="63"/>
      </right>
      <top style="thin">
        <color indexed="63"/>
      </top>
      <bottom style="thin">
        <color indexed="63"/>
      </bottom>
      <diagonal/>
    </border>
    <border>
      <left style="thin">
        <color indexed="63"/>
      </left>
      <right style="thin">
        <color indexed="63"/>
      </right>
      <top style="thin">
        <color indexed="63"/>
      </top>
      <bottom/>
      <diagonal/>
    </border>
    <border>
      <left style="medium">
        <color indexed="9"/>
      </left>
      <right style="medium">
        <color indexed="9"/>
      </right>
      <top style="medium">
        <color indexed="9"/>
      </top>
      <bottom/>
      <diagonal/>
    </border>
    <border>
      <left/>
      <right/>
      <top/>
      <bottom style="dashed">
        <color auto="1"/>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medium">
        <color indexed="9"/>
      </left>
      <right/>
      <top style="medium">
        <color indexed="9"/>
      </top>
      <bottom style="medium">
        <color indexed="9"/>
      </bottom>
      <diagonal/>
    </border>
    <border>
      <left style="thin">
        <color indexed="64"/>
      </left>
      <right/>
      <top/>
      <bottom/>
      <diagonal/>
    </border>
    <border>
      <left/>
      <right style="thin">
        <color indexed="64"/>
      </right>
      <top/>
      <bottom/>
      <diagonal/>
    </border>
  </borders>
  <cellStyleXfs count="10">
    <xf numFmtId="0" fontId="0" fillId="0" borderId="0"/>
    <xf numFmtId="43" fontId="3" fillId="0" borderId="0" applyFont="0" applyFill="0" applyBorder="0" applyAlignment="0" applyProtection="0"/>
    <xf numFmtId="9" fontId="3" fillId="0" borderId="0" applyFont="0" applyFill="0" applyBorder="0" applyAlignment="0" applyProtection="0"/>
    <xf numFmtId="0" fontId="10" fillId="0" borderId="0"/>
    <xf numFmtId="0" fontId="6" fillId="0" borderId="0"/>
    <xf numFmtId="0" fontId="15" fillId="8" borderId="0" applyNumberFormat="0" applyBorder="0" applyAlignment="0" applyProtection="0"/>
    <xf numFmtId="0" fontId="16" fillId="0" borderId="0"/>
    <xf numFmtId="0" fontId="2" fillId="0" borderId="0"/>
    <xf numFmtId="9" fontId="2" fillId="0" borderId="0" applyFont="0" applyFill="0" applyBorder="0" applyAlignment="0" applyProtection="0"/>
    <xf numFmtId="0" fontId="25" fillId="0" borderId="0" applyNumberFormat="0" applyFill="0" applyBorder="0" applyAlignment="0" applyProtection="0"/>
  </cellStyleXfs>
  <cellXfs count="158">
    <xf numFmtId="0" fontId="0" fillId="0" borderId="0" xfId="0"/>
    <xf numFmtId="164" fontId="0" fillId="0" borderId="0" xfId="1" applyNumberFormat="1" applyFont="1"/>
    <xf numFmtId="0" fontId="0" fillId="2" borderId="0" xfId="0" applyFill="1"/>
    <xf numFmtId="0" fontId="4" fillId="0" borderId="1" xfId="0" applyFont="1" applyBorder="1" applyAlignment="1">
      <alignment horizontal="center" vertical="top" wrapText="1"/>
    </xf>
    <xf numFmtId="0" fontId="5" fillId="3" borderId="1" xfId="0" applyFont="1" applyFill="1" applyBorder="1" applyAlignment="1">
      <alignment vertical="top" wrapText="1" indent="1"/>
    </xf>
    <xf numFmtId="0" fontId="4" fillId="3" borderId="1" xfId="0" applyFont="1" applyFill="1" applyBorder="1" applyAlignment="1">
      <alignment vertical="top" wrapText="1" indent="1"/>
    </xf>
    <xf numFmtId="0" fontId="4" fillId="0" borderId="0" xfId="0" applyFont="1" applyAlignment="1">
      <alignment horizontal="center" vertical="top" wrapText="1"/>
    </xf>
    <xf numFmtId="0" fontId="5" fillId="3" borderId="0" xfId="0" applyFont="1" applyFill="1" applyAlignment="1">
      <alignment vertical="top" wrapText="1" indent="1"/>
    </xf>
    <xf numFmtId="0" fontId="4" fillId="3" borderId="0" xfId="0" applyFont="1" applyFill="1" applyAlignment="1">
      <alignment vertical="top" wrapText="1" indent="1"/>
    </xf>
    <xf numFmtId="0" fontId="4" fillId="2" borderId="0" xfId="0" applyFont="1" applyFill="1" applyBorder="1" applyAlignment="1">
      <alignment horizontal="center" vertical="top" wrapText="1"/>
    </xf>
    <xf numFmtId="0" fontId="6" fillId="4" borderId="0" xfId="0" applyFont="1" applyFill="1"/>
    <xf numFmtId="0" fontId="7" fillId="5" borderId="2" xfId="0" applyFont="1" applyFill="1" applyBorder="1" applyAlignment="1">
      <alignment horizontal="center"/>
    </xf>
    <xf numFmtId="10" fontId="8" fillId="4" borderId="2" xfId="0" applyNumberFormat="1" applyFont="1" applyFill="1" applyBorder="1" applyAlignment="1">
      <alignment horizontal="center"/>
    </xf>
    <xf numFmtId="10" fontId="8" fillId="2" borderId="2" xfId="0" applyNumberFormat="1" applyFont="1" applyFill="1" applyBorder="1" applyAlignment="1">
      <alignment horizontal="center"/>
    </xf>
    <xf numFmtId="0" fontId="9" fillId="2" borderId="0" xfId="0" applyFont="1" applyFill="1"/>
    <xf numFmtId="14" fontId="9" fillId="2" borderId="0" xfId="0" applyNumberFormat="1" applyFont="1" applyFill="1"/>
    <xf numFmtId="0" fontId="7" fillId="5" borderId="2" xfId="0" applyFont="1" applyFill="1" applyBorder="1" applyAlignment="1">
      <alignment horizontal="center"/>
    </xf>
    <xf numFmtId="0" fontId="11" fillId="0" borderId="0" xfId="3" applyFont="1"/>
    <xf numFmtId="0" fontId="12" fillId="0" borderId="0" xfId="3" applyFont="1"/>
    <xf numFmtId="0" fontId="11" fillId="6" borderId="6" xfId="4" applyFont="1" applyFill="1" applyBorder="1" applyAlignment="1">
      <alignment horizontal="center" vertical="top" wrapText="1" readingOrder="1"/>
    </xf>
    <xf numFmtId="0" fontId="13" fillId="6" borderId="6" xfId="4" applyFont="1" applyFill="1" applyBorder="1" applyAlignment="1">
      <alignment horizontal="center" vertical="top" wrapText="1" readingOrder="1"/>
    </xf>
    <xf numFmtId="0" fontId="11" fillId="6" borderId="7" xfId="4" applyFont="1" applyFill="1" applyBorder="1" applyAlignment="1">
      <alignment horizontal="center" vertical="top" wrapText="1" readingOrder="1"/>
    </xf>
    <xf numFmtId="0" fontId="13" fillId="6" borderId="10" xfId="4" applyFont="1" applyFill="1" applyBorder="1" applyAlignment="1">
      <alignment horizontal="center" vertical="top" wrapText="1" readingOrder="1"/>
    </xf>
    <xf numFmtId="0" fontId="13" fillId="6" borderId="7" xfId="4" applyFont="1" applyFill="1" applyBorder="1" applyAlignment="1">
      <alignment horizontal="center" vertical="top" wrapText="1" readingOrder="1"/>
    </xf>
    <xf numFmtId="0" fontId="12" fillId="6" borderId="10" xfId="4" applyFont="1" applyFill="1" applyBorder="1" applyAlignment="1">
      <alignment horizontal="center" vertical="top" wrapText="1" readingOrder="1"/>
    </xf>
    <xf numFmtId="0" fontId="12" fillId="6" borderId="6" xfId="4" applyFont="1" applyFill="1" applyBorder="1" applyAlignment="1">
      <alignment horizontal="center" vertical="top" wrapText="1" readingOrder="1"/>
    </xf>
    <xf numFmtId="0" fontId="13" fillId="6" borderId="6" xfId="4" applyFont="1" applyFill="1" applyBorder="1" applyAlignment="1">
      <alignment horizontal="center" wrapText="1" readingOrder="1"/>
    </xf>
    <xf numFmtId="0" fontId="11" fillId="6" borderId="10" xfId="4" applyFont="1" applyFill="1" applyBorder="1" applyAlignment="1">
      <alignment horizontal="center" vertical="top" wrapText="1" readingOrder="1"/>
    </xf>
    <xf numFmtId="165" fontId="11" fillId="0" borderId="0" xfId="6" applyNumberFormat="1" applyFont="1" applyBorder="1" applyAlignment="1">
      <alignment readingOrder="1"/>
    </xf>
    <xf numFmtId="165" fontId="12" fillId="0" borderId="0" xfId="6" applyNumberFormat="1" applyFont="1" applyBorder="1" applyAlignment="1">
      <alignment readingOrder="1"/>
    </xf>
    <xf numFmtId="165" fontId="13" fillId="0" borderId="0" xfId="6" applyNumberFormat="1" applyFont="1"/>
    <xf numFmtId="0" fontId="13" fillId="0" borderId="0" xfId="4" applyFont="1"/>
    <xf numFmtId="0" fontId="17" fillId="0" borderId="0" xfId="3" applyFont="1"/>
    <xf numFmtId="0" fontId="18" fillId="0" borderId="0" xfId="4" applyFont="1" applyAlignment="1">
      <alignment horizontal="center" readingOrder="1"/>
    </xf>
    <xf numFmtId="0" fontId="19" fillId="0" borderId="0" xfId="4" applyFont="1" applyAlignment="1">
      <alignment horizontal="center" readingOrder="1"/>
    </xf>
    <xf numFmtId="0" fontId="18" fillId="0" borderId="0" xfId="4" applyFont="1"/>
    <xf numFmtId="0" fontId="11" fillId="0" borderId="6" xfId="4" applyFont="1" applyFill="1" applyBorder="1" applyAlignment="1">
      <alignment horizontal="left" vertical="top" wrapText="1" indent="1"/>
    </xf>
    <xf numFmtId="0" fontId="11" fillId="0" borderId="0" xfId="3" applyFont="1" applyFill="1" applyAlignment="1">
      <alignment horizontal="left"/>
    </xf>
    <xf numFmtId="0" fontId="11" fillId="0" borderId="0" xfId="3" applyFont="1" applyFill="1"/>
    <xf numFmtId="0" fontId="11" fillId="0" borderId="10" xfId="4" applyFont="1" applyFill="1" applyBorder="1" applyAlignment="1">
      <alignment horizontal="left" vertical="top" wrapText="1" indent="1"/>
    </xf>
    <xf numFmtId="0" fontId="11" fillId="0" borderId="2" xfId="4" applyFont="1" applyFill="1" applyBorder="1" applyAlignment="1">
      <alignment horizontal="left" vertical="top" wrapText="1" indent="1"/>
    </xf>
    <xf numFmtId="0" fontId="11" fillId="0" borderId="14" xfId="4" applyFont="1" applyFill="1" applyBorder="1" applyAlignment="1">
      <alignment horizontal="left" vertical="top" wrapText="1" indent="1"/>
    </xf>
    <xf numFmtId="0" fontId="11" fillId="0" borderId="15" xfId="4" applyFont="1" applyFill="1" applyBorder="1" applyAlignment="1">
      <alignment horizontal="center" vertical="top" wrapText="1" readingOrder="1"/>
    </xf>
    <xf numFmtId="0" fontId="11" fillId="0" borderId="16" xfId="4" applyFont="1" applyFill="1" applyBorder="1" applyAlignment="1">
      <alignment horizontal="left" vertical="top" wrapText="1" indent="1"/>
    </xf>
    <xf numFmtId="0" fontId="11" fillId="0" borderId="15" xfId="4" applyFont="1" applyFill="1" applyBorder="1" applyAlignment="1">
      <alignment horizontal="left" vertical="top" wrapText="1" indent="1"/>
    </xf>
    <xf numFmtId="0" fontId="17" fillId="0" borderId="15" xfId="4" applyFont="1" applyFill="1" applyBorder="1" applyAlignment="1">
      <alignment horizontal="left" vertical="top" wrapText="1" indent="1"/>
    </xf>
    <xf numFmtId="0" fontId="17" fillId="0" borderId="15" xfId="4" applyFont="1" applyFill="1" applyBorder="1" applyAlignment="1">
      <alignment horizontal="left" vertical="top" wrapText="1"/>
    </xf>
    <xf numFmtId="0" fontId="17" fillId="0" borderId="15" xfId="4" applyFont="1" applyFill="1" applyBorder="1" applyAlignment="1">
      <alignment horizontal="center" vertical="top" wrapText="1" readingOrder="1"/>
    </xf>
    <xf numFmtId="0" fontId="13" fillId="0" borderId="15" xfId="4" applyFont="1" applyFill="1" applyBorder="1" applyAlignment="1">
      <alignment horizontal="left" vertical="top" wrapText="1" indent="1"/>
    </xf>
    <xf numFmtId="0" fontId="13" fillId="0" borderId="15" xfId="4" applyFont="1" applyFill="1" applyBorder="1" applyAlignment="1">
      <alignment horizontal="center" vertical="top" wrapText="1" readingOrder="1"/>
    </xf>
    <xf numFmtId="0" fontId="13" fillId="9" borderId="15" xfId="4" applyFont="1" applyFill="1" applyBorder="1" applyAlignment="1">
      <alignment horizontal="left" vertical="top" wrapText="1" indent="1"/>
    </xf>
    <xf numFmtId="0" fontId="12" fillId="10" borderId="0" xfId="3" applyFont="1" applyFill="1"/>
    <xf numFmtId="0" fontId="13" fillId="10" borderId="15" xfId="4" applyFont="1" applyFill="1" applyBorder="1" applyAlignment="1">
      <alignment horizontal="left" vertical="top" wrapText="1" indent="1"/>
    </xf>
    <xf numFmtId="0" fontId="12" fillId="10" borderId="15" xfId="4" applyFont="1" applyFill="1" applyBorder="1" applyAlignment="1">
      <alignment horizontal="center" vertical="top" wrapText="1" readingOrder="1"/>
    </xf>
    <xf numFmtId="0" fontId="18" fillId="0" borderId="15" xfId="4" applyFont="1" applyFill="1" applyBorder="1" applyAlignment="1">
      <alignment horizontal="left" vertical="top" wrapText="1"/>
    </xf>
    <xf numFmtId="0" fontId="18" fillId="0" borderId="15" xfId="4" applyFont="1" applyFill="1" applyBorder="1" applyAlignment="1">
      <alignment horizontal="center" vertical="top" wrapText="1" readingOrder="1"/>
    </xf>
    <xf numFmtId="0" fontId="13" fillId="0" borderId="0" xfId="3" applyFont="1"/>
    <xf numFmtId="0" fontId="13" fillId="0" borderId="15" xfId="4" applyFont="1" applyFill="1" applyBorder="1" applyAlignment="1">
      <alignment horizontal="left" wrapText="1" indent="1"/>
    </xf>
    <xf numFmtId="0" fontId="13" fillId="0" borderId="15" xfId="4" applyFont="1" applyFill="1" applyBorder="1" applyAlignment="1">
      <alignment horizontal="left" vertical="top" indent="1"/>
    </xf>
    <xf numFmtId="0" fontId="18" fillId="9" borderId="15" xfId="4" applyFont="1" applyFill="1" applyBorder="1" applyAlignment="1">
      <alignment horizontal="left" vertical="top" wrapText="1" indent="1"/>
    </xf>
    <xf numFmtId="0" fontId="18" fillId="4" borderId="2" xfId="4" applyFont="1" applyFill="1" applyBorder="1" applyAlignment="1">
      <alignment horizontal="left" vertical="top" wrapText="1" indent="1"/>
    </xf>
    <xf numFmtId="0" fontId="11" fillId="9" borderId="15" xfId="4" applyFont="1" applyFill="1" applyBorder="1" applyAlignment="1">
      <alignment horizontal="left" vertical="top" wrapText="1" indent="1"/>
    </xf>
    <xf numFmtId="0" fontId="18" fillId="0" borderId="15" xfId="4" applyFont="1" applyFill="1" applyBorder="1" applyAlignment="1">
      <alignment horizontal="left" vertical="top" wrapText="1" indent="1"/>
    </xf>
    <xf numFmtId="0" fontId="11" fillId="0" borderId="0" xfId="3" applyFont="1" applyAlignment="1">
      <alignment horizontal="center" vertical="center"/>
    </xf>
    <xf numFmtId="0" fontId="18" fillId="0" borderId="15" xfId="4" applyFont="1" applyFill="1" applyBorder="1" applyAlignment="1">
      <alignment horizontal="center" vertical="center" wrapText="1"/>
    </xf>
    <xf numFmtId="0" fontId="13" fillId="0" borderId="15" xfId="4" applyFont="1" applyFill="1" applyBorder="1" applyAlignment="1">
      <alignment horizontal="left" vertical="top" wrapText="1"/>
    </xf>
    <xf numFmtId="0" fontId="11" fillId="0" borderId="0" xfId="4" applyFont="1" applyFill="1" applyBorder="1" applyAlignment="1">
      <alignment horizontal="left" vertical="top" wrapText="1" indent="1"/>
    </xf>
    <xf numFmtId="0" fontId="18" fillId="0" borderId="0" xfId="3" applyFont="1" applyFill="1"/>
    <xf numFmtId="0" fontId="11" fillId="0" borderId="17" xfId="4" applyFont="1" applyFill="1" applyBorder="1" applyAlignment="1">
      <alignment horizontal="left" vertical="top" wrapText="1" indent="1"/>
    </xf>
    <xf numFmtId="0" fontId="7" fillId="5" borderId="2" xfId="0" applyFont="1" applyFill="1" applyBorder="1" applyAlignment="1"/>
    <xf numFmtId="0" fontId="7" fillId="5" borderId="3" xfId="0" applyFont="1" applyFill="1" applyBorder="1" applyAlignment="1"/>
    <xf numFmtId="0" fontId="20" fillId="4" borderId="2" xfId="0" applyFont="1" applyFill="1" applyBorder="1" applyAlignment="1">
      <alignment horizontal="left"/>
    </xf>
    <xf numFmtId="0" fontId="20" fillId="4" borderId="2" xfId="0" applyFont="1" applyFill="1" applyBorder="1" applyAlignment="1">
      <alignment horizontal="center"/>
    </xf>
    <xf numFmtId="0" fontId="9" fillId="0" borderId="0" xfId="0" applyFont="1"/>
    <xf numFmtId="0" fontId="21" fillId="5" borderId="2" xfId="0" applyFont="1" applyFill="1" applyBorder="1"/>
    <xf numFmtId="0" fontId="22" fillId="4" borderId="2" xfId="0" applyFont="1" applyFill="1" applyBorder="1" applyAlignment="1">
      <alignment horizontal="center"/>
    </xf>
    <xf numFmtId="0" fontId="22" fillId="5" borderId="2" xfId="0" applyFont="1" applyFill="1" applyBorder="1" applyAlignment="1">
      <alignment horizontal="left"/>
    </xf>
    <xf numFmtId="10" fontId="22" fillId="4" borderId="2" xfId="0" applyNumberFormat="1" applyFont="1" applyFill="1" applyBorder="1" applyAlignment="1">
      <alignment horizontal="center"/>
    </xf>
    <xf numFmtId="1" fontId="22" fillId="4" borderId="2" xfId="0" applyNumberFormat="1" applyFont="1" applyFill="1" applyBorder="1" applyAlignment="1">
      <alignment horizontal="center"/>
    </xf>
    <xf numFmtId="0" fontId="22" fillId="5" borderId="3" xfId="0" applyFont="1" applyFill="1" applyBorder="1" applyAlignment="1"/>
    <xf numFmtId="0" fontId="22" fillId="5" borderId="4" xfId="0" applyFont="1" applyFill="1" applyBorder="1" applyAlignment="1"/>
    <xf numFmtId="0" fontId="22" fillId="5" borderId="5" xfId="0" applyFont="1" applyFill="1" applyBorder="1" applyAlignment="1"/>
    <xf numFmtId="0" fontId="2" fillId="12" borderId="0" xfId="7" applyFill="1" applyAlignment="1">
      <alignment horizontal="center" vertical="center" wrapText="1"/>
    </xf>
    <xf numFmtId="0" fontId="2" fillId="4" borderId="0" xfId="7" applyFill="1"/>
    <xf numFmtId="0" fontId="2" fillId="4" borderId="0" xfId="7" applyFill="1" applyAlignment="1">
      <alignment horizontal="center" vertical="center" wrapText="1"/>
    </xf>
    <xf numFmtId="0" fontId="23" fillId="12" borderId="0" xfId="7" applyFont="1" applyFill="1" applyAlignment="1">
      <alignment horizontal="center" vertical="center" wrapText="1"/>
    </xf>
    <xf numFmtId="166" fontId="2" fillId="14" borderId="0" xfId="8" applyNumberFormat="1" applyFont="1" applyFill="1"/>
    <xf numFmtId="0" fontId="2" fillId="4" borderId="18" xfId="7" applyFill="1" applyBorder="1"/>
    <xf numFmtId="166" fontId="2" fillId="14" borderId="18" xfId="8" applyNumberFormat="1" applyFont="1" applyFill="1" applyBorder="1"/>
    <xf numFmtId="10" fontId="2" fillId="4" borderId="0" xfId="8" applyNumberFormat="1" applyFont="1" applyFill="1"/>
    <xf numFmtId="0" fontId="24" fillId="4" borderId="0" xfId="7" applyFont="1" applyFill="1"/>
    <xf numFmtId="0" fontId="24" fillId="4" borderId="0" xfId="7" applyFont="1" applyFill="1" applyAlignment="1">
      <alignment horizontal="right"/>
    </xf>
    <xf numFmtId="0" fontId="24" fillId="13" borderId="0" xfId="7" applyFont="1" applyFill="1" applyAlignment="1">
      <alignment horizontal="center" vertical="center"/>
    </xf>
    <xf numFmtId="0" fontId="26" fillId="15" borderId="0" xfId="9" applyFont="1" applyFill="1" applyAlignment="1">
      <alignment horizontal="center" vertical="center" wrapText="1"/>
    </xf>
    <xf numFmtId="10" fontId="0" fillId="0" borderId="0" xfId="2" applyNumberFormat="1" applyFont="1"/>
    <xf numFmtId="0" fontId="27" fillId="16" borderId="0" xfId="7" applyFont="1" applyFill="1" applyAlignment="1">
      <alignment horizontal="center" vertical="center" wrapText="1"/>
    </xf>
    <xf numFmtId="167" fontId="0" fillId="0" borderId="0" xfId="1" applyNumberFormat="1" applyFont="1"/>
    <xf numFmtId="0" fontId="1" fillId="2" borderId="0" xfId="7" applyFont="1" applyFill="1" applyAlignment="1">
      <alignment horizontal="center" vertical="center" wrapText="1"/>
    </xf>
    <xf numFmtId="0" fontId="28" fillId="2" borderId="0" xfId="7" applyFont="1" applyFill="1" applyAlignment="1">
      <alignment horizontal="center" vertical="center" wrapText="1"/>
    </xf>
    <xf numFmtId="0" fontId="0" fillId="0" borderId="2" xfId="0" applyBorder="1"/>
    <xf numFmtId="0" fontId="22" fillId="17" borderId="0" xfId="0" applyFont="1" applyFill="1"/>
    <xf numFmtId="0" fontId="22" fillId="4" borderId="0" xfId="0" applyFont="1" applyFill="1"/>
    <xf numFmtId="9" fontId="22" fillId="4" borderId="2" xfId="0" applyNumberFormat="1" applyFont="1" applyFill="1" applyBorder="1" applyAlignment="1">
      <alignment horizontal="center"/>
    </xf>
    <xf numFmtId="14" fontId="0" fillId="0" borderId="0" xfId="0" applyNumberFormat="1"/>
    <xf numFmtId="0" fontId="0" fillId="0" borderId="0" xfId="0" applyFill="1"/>
    <xf numFmtId="0" fontId="11" fillId="18" borderId="10" xfId="4" applyFont="1" applyFill="1" applyBorder="1" applyAlignment="1">
      <alignment horizontal="center" vertical="top" wrapText="1" readingOrder="1"/>
    </xf>
    <xf numFmtId="0" fontId="11" fillId="19" borderId="10" xfId="4" applyFont="1" applyFill="1" applyBorder="1" applyAlignment="1">
      <alignment horizontal="center" vertical="top" wrapText="1" readingOrder="1"/>
    </xf>
    <xf numFmtId="0" fontId="13" fillId="20" borderId="10" xfId="4" applyFont="1" applyFill="1" applyBorder="1" applyAlignment="1">
      <alignment horizontal="center" vertical="top" wrapText="1" readingOrder="1"/>
    </xf>
    <xf numFmtId="167" fontId="11" fillId="0" borderId="0" xfId="1" applyNumberFormat="1" applyFont="1"/>
    <xf numFmtId="167" fontId="11" fillId="0" borderId="0" xfId="3" applyNumberFormat="1" applyFont="1"/>
    <xf numFmtId="0" fontId="11" fillId="21" borderId="0" xfId="3" applyFont="1" applyFill="1" applyAlignment="1">
      <alignment readingOrder="1"/>
    </xf>
    <xf numFmtId="0" fontId="11" fillId="22" borderId="0" xfId="3" applyFont="1" applyFill="1" applyAlignment="1">
      <alignment readingOrder="1"/>
    </xf>
    <xf numFmtId="0" fontId="11" fillId="6" borderId="25" xfId="4" applyFont="1" applyFill="1" applyBorder="1" applyAlignment="1">
      <alignment vertical="top" wrapText="1" readingOrder="1"/>
    </xf>
    <xf numFmtId="0" fontId="11" fillId="18" borderId="25" xfId="4" applyFont="1" applyFill="1" applyBorder="1" applyAlignment="1">
      <alignment vertical="top" wrapText="1" readingOrder="1"/>
    </xf>
    <xf numFmtId="0" fontId="13" fillId="20" borderId="25" xfId="4" applyFont="1" applyFill="1" applyBorder="1" applyAlignment="1">
      <alignment vertical="top" wrapText="1" readingOrder="1"/>
    </xf>
    <xf numFmtId="0" fontId="11" fillId="0" borderId="0" xfId="4" applyFont="1" applyFill="1" applyBorder="1" applyAlignment="1">
      <alignment vertical="top" wrapText="1" readingOrder="1"/>
    </xf>
    <xf numFmtId="0" fontId="11" fillId="0" borderId="0" xfId="3" applyFont="1" applyFill="1" applyBorder="1" applyAlignment="1">
      <alignment readingOrder="1"/>
    </xf>
    <xf numFmtId="0" fontId="13" fillId="0" borderId="0" xfId="4" applyFont="1" applyFill="1" applyBorder="1" applyAlignment="1">
      <alignment vertical="top" wrapText="1" readingOrder="1"/>
    </xf>
    <xf numFmtId="0" fontId="7" fillId="5" borderId="26" xfId="0" applyFont="1" applyFill="1" applyBorder="1" applyAlignment="1">
      <alignment horizontal="center" wrapText="1"/>
    </xf>
    <xf numFmtId="0" fontId="7" fillId="5" borderId="0" xfId="0" applyFont="1" applyFill="1" applyBorder="1" applyAlignment="1">
      <alignment horizontal="center" wrapText="1"/>
    </xf>
    <xf numFmtId="0" fontId="7" fillId="5" borderId="27" xfId="0" applyFont="1" applyFill="1" applyBorder="1" applyAlignment="1">
      <alignment horizontal="center" wrapText="1"/>
    </xf>
    <xf numFmtId="10" fontId="9" fillId="2" borderId="0" xfId="2" applyNumberFormat="1" applyFont="1" applyFill="1"/>
    <xf numFmtId="0" fontId="7" fillId="5" borderId="2" xfId="0" applyFont="1" applyFill="1" applyBorder="1" applyAlignment="1">
      <alignment horizontal="center"/>
    </xf>
    <xf numFmtId="9" fontId="0" fillId="0" borderId="0" xfId="2" applyFont="1"/>
    <xf numFmtId="169" fontId="0" fillId="0" borderId="0" xfId="2" applyNumberFormat="1" applyFont="1"/>
    <xf numFmtId="14" fontId="0" fillId="0" borderId="0" xfId="1" applyNumberFormat="1" applyFont="1"/>
    <xf numFmtId="164" fontId="0" fillId="0" borderId="0" xfId="0" applyNumberFormat="1"/>
    <xf numFmtId="10" fontId="8" fillId="23" borderId="2" xfId="0" applyNumberFormat="1" applyFont="1" applyFill="1" applyBorder="1" applyAlignment="1">
      <alignment horizontal="center"/>
    </xf>
    <xf numFmtId="169" fontId="0" fillId="0" borderId="0" xfId="0" applyNumberFormat="1"/>
    <xf numFmtId="0" fontId="17" fillId="0" borderId="0" xfId="3" applyFont="1" applyFill="1"/>
    <xf numFmtId="0" fontId="9" fillId="0" borderId="20" xfId="0" applyFont="1" applyBorder="1"/>
    <xf numFmtId="0" fontId="0" fillId="0" borderId="22" xfId="0" applyBorder="1"/>
    <xf numFmtId="0" fontId="0" fillId="0" borderId="26" xfId="0" applyBorder="1"/>
    <xf numFmtId="10" fontId="0" fillId="0" borderId="27" xfId="0" applyNumberFormat="1" applyBorder="1"/>
    <xf numFmtId="10" fontId="0" fillId="11" borderId="27" xfId="0" applyNumberFormat="1" applyFill="1" applyBorder="1"/>
    <xf numFmtId="10" fontId="0" fillId="2" borderId="27" xfId="0" applyNumberFormat="1" applyFill="1" applyBorder="1"/>
    <xf numFmtId="0" fontId="0" fillId="0" borderId="19" xfId="0" applyBorder="1"/>
    <xf numFmtId="0" fontId="0" fillId="0" borderId="27" xfId="0" applyBorder="1"/>
    <xf numFmtId="0" fontId="0" fillId="0" borderId="24" xfId="0" applyBorder="1"/>
    <xf numFmtId="0" fontId="19" fillId="0" borderId="0" xfId="3" applyFont="1"/>
    <xf numFmtId="0" fontId="17" fillId="0" borderId="0" xfId="3" applyFont="1" applyAlignment="1">
      <alignment wrapText="1"/>
    </xf>
    <xf numFmtId="0" fontId="17" fillId="0" borderId="0" xfId="3" applyFont="1" applyFill="1" applyBorder="1"/>
    <xf numFmtId="0" fontId="21" fillId="5" borderId="2" xfId="0" applyFont="1" applyFill="1" applyBorder="1" applyAlignment="1">
      <alignment horizontal="center"/>
    </xf>
    <xf numFmtId="0" fontId="7" fillId="5" borderId="20" xfId="0" applyFont="1" applyFill="1" applyBorder="1" applyAlignment="1">
      <alignment horizontal="center" wrapText="1"/>
    </xf>
    <xf numFmtId="0" fontId="7" fillId="5" borderId="21" xfId="0" applyFont="1" applyFill="1" applyBorder="1" applyAlignment="1">
      <alignment horizontal="center" wrapText="1"/>
    </xf>
    <xf numFmtId="0" fontId="7" fillId="5" borderId="22" xfId="0" applyFont="1" applyFill="1" applyBorder="1" applyAlignment="1">
      <alignment horizontal="center" wrapText="1"/>
    </xf>
    <xf numFmtId="0" fontId="7" fillId="5" borderId="3" xfId="0" applyFont="1" applyFill="1" applyBorder="1" applyAlignment="1"/>
    <xf numFmtId="0" fontId="7" fillId="5" borderId="5" xfId="0" applyFont="1" applyFill="1" applyBorder="1" applyAlignment="1"/>
    <xf numFmtId="0" fontId="7" fillId="5" borderId="19" xfId="0" applyFont="1" applyFill="1" applyBorder="1" applyAlignment="1">
      <alignment horizontal="center" wrapText="1"/>
    </xf>
    <xf numFmtId="0" fontId="7" fillId="5" borderId="23" xfId="0" applyFont="1" applyFill="1" applyBorder="1" applyAlignment="1">
      <alignment horizontal="center" wrapText="1"/>
    </xf>
    <xf numFmtId="0" fontId="7" fillId="5" borderId="24" xfId="0" applyFont="1" applyFill="1" applyBorder="1" applyAlignment="1">
      <alignment horizontal="center" wrapText="1"/>
    </xf>
    <xf numFmtId="0" fontId="7" fillId="5" borderId="2" xfId="0" applyFont="1" applyFill="1" applyBorder="1" applyAlignment="1">
      <alignment horizontal="center"/>
    </xf>
    <xf numFmtId="0" fontId="14" fillId="7" borderId="9" xfId="5" applyNumberFormat="1" applyFont="1" applyFill="1" applyBorder="1" applyAlignment="1" applyProtection="1">
      <alignment horizontal="center" vertical="center" wrapText="1"/>
    </xf>
    <xf numFmtId="0" fontId="14" fillId="7" borderId="8" xfId="4" applyFont="1" applyFill="1" applyBorder="1" applyAlignment="1">
      <alignment horizontal="center" vertical="center" wrapText="1" readingOrder="1"/>
    </xf>
    <xf numFmtId="0" fontId="14" fillId="7" borderId="12" xfId="5" applyNumberFormat="1" applyFont="1" applyFill="1" applyBorder="1" applyAlignment="1" applyProtection="1">
      <alignment horizontal="center" vertical="center" wrapText="1"/>
    </xf>
    <xf numFmtId="0" fontId="14" fillId="7" borderId="11" xfId="4" applyFont="1" applyFill="1" applyBorder="1" applyAlignment="1">
      <alignment horizontal="center" vertical="center" wrapText="1" readingOrder="1"/>
    </xf>
    <xf numFmtId="0" fontId="14" fillId="7" borderId="13" xfId="4" applyFont="1" applyFill="1" applyBorder="1" applyAlignment="1">
      <alignment horizontal="center" vertical="center" wrapText="1" readingOrder="1"/>
    </xf>
    <xf numFmtId="0" fontId="18" fillId="0" borderId="15" xfId="3" applyFont="1" applyFill="1" applyBorder="1" applyAlignment="1">
      <alignment horizontal="center" vertical="center"/>
    </xf>
  </cellXfs>
  <cellStyles count="10">
    <cellStyle name="60 % - Accent1 3" xfId="5"/>
    <cellStyle name="Comma" xfId="1" builtinId="3"/>
    <cellStyle name="Hyperlink" xfId="9" builtinId="8"/>
    <cellStyle name="Normal" xfId="0" builtinId="0"/>
    <cellStyle name="Normal 2" xfId="3"/>
    <cellStyle name="Normal 2 2" xfId="4"/>
    <cellStyle name="Normal 3" xfId="7"/>
    <cellStyle name="Percent" xfId="2" builtinId="5"/>
    <cellStyle name="Percent 2" xfId="8"/>
    <cellStyle name="VALOR" xfId="6"/>
  </cellStyles>
  <dxfs count="2">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C000"/>
  </sheetPr>
  <dimension ref="A2:AA255"/>
  <sheetViews>
    <sheetView workbookViewId="0">
      <selection activeCell="C3" sqref="C3"/>
    </sheetView>
  </sheetViews>
  <sheetFormatPr defaultRowHeight="15" x14ac:dyDescent="0.25"/>
  <cols>
    <col min="2" max="2" width="41.28515625" bestFit="1" customWidth="1"/>
    <col min="3" max="3" width="10.7109375" bestFit="1" customWidth="1"/>
    <col min="4" max="4" width="6.140625" bestFit="1" customWidth="1"/>
    <col min="5" max="5" width="4.42578125" bestFit="1" customWidth="1"/>
    <col min="6" max="6" width="11.85546875" bestFit="1" customWidth="1"/>
    <col min="7" max="7" width="10.7109375" bestFit="1" customWidth="1"/>
    <col min="8" max="8" width="35.140625" bestFit="1" customWidth="1"/>
    <col min="9" max="9" width="13.28515625" bestFit="1" customWidth="1"/>
    <col min="10" max="10" width="16" bestFit="1" customWidth="1"/>
    <col min="12" max="12" width="34" customWidth="1"/>
    <col min="13" max="13" width="7.140625" bestFit="1" customWidth="1"/>
    <col min="14" max="19" width="6.7109375" bestFit="1" customWidth="1"/>
    <col min="20" max="20" width="7.140625" bestFit="1" customWidth="1"/>
    <col min="22" max="22" width="4.5703125" bestFit="1" customWidth="1"/>
    <col min="23" max="24" width="10.42578125" customWidth="1"/>
  </cols>
  <sheetData>
    <row r="2" spans="1:24" x14ac:dyDescent="0.25">
      <c r="B2" s="14" t="s">
        <v>805</v>
      </c>
      <c r="C2" s="15">
        <v>42885</v>
      </c>
      <c r="G2" s="103"/>
    </row>
    <row r="3" spans="1:24" x14ac:dyDescent="0.25">
      <c r="B3" s="14" t="s">
        <v>1093</v>
      </c>
      <c r="C3" s="15">
        <f>DATE(YEAR(C2)+10,MONTH(C2),DAY(C2))</f>
        <v>46537</v>
      </c>
      <c r="V3" s="143" t="s">
        <v>1185</v>
      </c>
      <c r="W3" s="144"/>
      <c r="X3" s="145"/>
    </row>
    <row r="4" spans="1:24" x14ac:dyDescent="0.25">
      <c r="B4" s="14" t="s">
        <v>1205</v>
      </c>
      <c r="C4" s="121">
        <v>1.3599999999999999E-2</v>
      </c>
      <c r="L4" t="s">
        <v>1238</v>
      </c>
      <c r="V4" s="118"/>
      <c r="W4" s="119"/>
      <c r="X4" s="120"/>
    </row>
    <row r="5" spans="1:24" x14ac:dyDescent="0.25">
      <c r="F5" s="73" t="s">
        <v>68</v>
      </c>
      <c r="H5" s="146" t="s">
        <v>1079</v>
      </c>
      <c r="I5" s="147"/>
      <c r="J5" s="69" t="s">
        <v>1080</v>
      </c>
      <c r="L5" s="74" t="s">
        <v>1080</v>
      </c>
      <c r="M5" s="75">
        <v>0</v>
      </c>
      <c r="N5" s="75">
        <v>1</v>
      </c>
      <c r="O5" s="75">
        <v>2</v>
      </c>
      <c r="P5" s="75">
        <v>3</v>
      </c>
      <c r="Q5" s="75">
        <v>4</v>
      </c>
      <c r="R5" s="75">
        <v>5</v>
      </c>
      <c r="S5" s="75">
        <v>6</v>
      </c>
      <c r="T5" s="75" t="s">
        <v>1089</v>
      </c>
      <c r="V5" s="148" t="s">
        <v>1186</v>
      </c>
      <c r="W5" s="149"/>
      <c r="X5" s="150"/>
    </row>
    <row r="6" spans="1:24" x14ac:dyDescent="0.25">
      <c r="A6" s="3" t="s">
        <v>70</v>
      </c>
      <c r="B6" t="s">
        <v>69</v>
      </c>
      <c r="C6" s="3" t="s">
        <v>70</v>
      </c>
      <c r="D6" s="3" t="s">
        <v>71</v>
      </c>
      <c r="E6" s="3">
        <v>4</v>
      </c>
      <c r="F6" t="s">
        <v>1231</v>
      </c>
      <c r="H6" s="70" t="s">
        <v>1081</v>
      </c>
      <c r="I6" s="71" t="s">
        <v>11</v>
      </c>
      <c r="J6" s="72">
        <v>0</v>
      </c>
      <c r="L6" s="74" t="s">
        <v>0</v>
      </c>
      <c r="M6" s="79" t="s">
        <v>1090</v>
      </c>
      <c r="N6" s="80"/>
      <c r="O6" s="80"/>
      <c r="P6" s="80"/>
      <c r="Q6" s="80"/>
      <c r="R6" s="80"/>
      <c r="S6" s="80"/>
      <c r="T6" s="81"/>
      <c r="V6" s="69" t="s">
        <v>804</v>
      </c>
      <c r="W6" s="69" t="s">
        <v>1180</v>
      </c>
      <c r="X6" s="69" t="s">
        <v>1181</v>
      </c>
    </row>
    <row r="7" spans="1:24" x14ac:dyDescent="0.25">
      <c r="A7" s="3" t="s">
        <v>74</v>
      </c>
      <c r="B7" s="4" t="s">
        <v>73</v>
      </c>
      <c r="C7" s="3" t="s">
        <v>74</v>
      </c>
      <c r="D7" s="3" t="s">
        <v>75</v>
      </c>
      <c r="E7" s="3">
        <v>248</v>
      </c>
      <c r="F7" t="s">
        <v>1231</v>
      </c>
      <c r="H7" s="70" t="s">
        <v>1081</v>
      </c>
      <c r="I7" s="71" t="s">
        <v>15</v>
      </c>
      <c r="J7" s="72">
        <v>1</v>
      </c>
      <c r="L7" s="76">
        <v>5</v>
      </c>
      <c r="M7" s="77">
        <v>0</v>
      </c>
      <c r="N7" s="77">
        <v>0</v>
      </c>
      <c r="O7" s="77">
        <v>0</v>
      </c>
      <c r="P7" s="77">
        <v>0</v>
      </c>
      <c r="Q7" s="77">
        <v>0</v>
      </c>
      <c r="R7" s="77">
        <v>0</v>
      </c>
      <c r="S7" s="77">
        <v>0</v>
      </c>
      <c r="T7" s="77">
        <v>0</v>
      </c>
      <c r="V7" s="76">
        <v>0</v>
      </c>
      <c r="W7" s="99">
        <v>0.7</v>
      </c>
      <c r="X7" s="99">
        <v>-0.75</v>
      </c>
    </row>
    <row r="8" spans="1:24" x14ac:dyDescent="0.25">
      <c r="A8" s="3" t="s">
        <v>78</v>
      </c>
      <c r="B8" t="s">
        <v>77</v>
      </c>
      <c r="C8" s="3" t="s">
        <v>78</v>
      </c>
      <c r="D8" s="3" t="s">
        <v>79</v>
      </c>
      <c r="E8" s="3">
        <v>8</v>
      </c>
      <c r="F8" t="s">
        <v>1231</v>
      </c>
      <c r="H8" s="70" t="s">
        <v>1081</v>
      </c>
      <c r="I8" s="71" t="s">
        <v>23</v>
      </c>
      <c r="J8" s="72">
        <v>1</v>
      </c>
      <c r="L8" s="76">
        <v>10</v>
      </c>
      <c r="M8" s="77">
        <v>4.4999999999999998E-2</v>
      </c>
      <c r="N8" s="77">
        <v>5.5E-2</v>
      </c>
      <c r="O8" s="77">
        <v>7.0000000000000007E-2</v>
      </c>
      <c r="P8" s="77">
        <v>0.125</v>
      </c>
      <c r="Q8" s="77">
        <v>0.22500000000000001</v>
      </c>
      <c r="R8" s="77">
        <v>0.375</v>
      </c>
      <c r="S8" s="77">
        <v>0.375</v>
      </c>
      <c r="T8" s="77">
        <v>0.15</v>
      </c>
      <c r="V8" s="76">
        <v>1</v>
      </c>
      <c r="W8" s="99">
        <v>0.7</v>
      </c>
      <c r="X8" s="99">
        <v>-0.75</v>
      </c>
    </row>
    <row r="9" spans="1:24" x14ac:dyDescent="0.25">
      <c r="A9" s="3" t="s">
        <v>82</v>
      </c>
      <c r="B9" t="s">
        <v>81</v>
      </c>
      <c r="C9" s="3" t="s">
        <v>82</v>
      </c>
      <c r="D9" s="3" t="s">
        <v>83</v>
      </c>
      <c r="E9" s="3">
        <v>12</v>
      </c>
      <c r="F9" t="s">
        <v>1231</v>
      </c>
      <c r="H9" s="70" t="s">
        <v>1081</v>
      </c>
      <c r="I9" s="71" t="s">
        <v>57</v>
      </c>
      <c r="J9" s="72">
        <v>1</v>
      </c>
      <c r="L9" s="76">
        <v>15</v>
      </c>
      <c r="M9" s="77">
        <v>7.0000000000000007E-2</v>
      </c>
      <c r="N9" s="77">
        <v>8.4000000000000005E-2</v>
      </c>
      <c r="O9" s="77">
        <v>0.105</v>
      </c>
      <c r="P9" s="77">
        <v>0.2</v>
      </c>
      <c r="Q9" s="77">
        <v>0.35</v>
      </c>
      <c r="R9" s="77">
        <v>0.58499999999999996</v>
      </c>
      <c r="S9" s="77">
        <v>0.58499999999999996</v>
      </c>
      <c r="T9" s="77">
        <v>0.23499999999999999</v>
      </c>
      <c r="V9" s="76">
        <v>2</v>
      </c>
      <c r="W9" s="99">
        <v>0.7</v>
      </c>
      <c r="X9" s="99">
        <v>-0.65</v>
      </c>
    </row>
    <row r="10" spans="1:24" x14ac:dyDescent="0.25">
      <c r="A10" s="3" t="s">
        <v>86</v>
      </c>
      <c r="B10" t="s">
        <v>85</v>
      </c>
      <c r="C10" s="3" t="s">
        <v>86</v>
      </c>
      <c r="D10" s="3" t="s">
        <v>87</v>
      </c>
      <c r="E10" s="3">
        <v>16</v>
      </c>
      <c r="F10" t="s">
        <v>1231</v>
      </c>
      <c r="H10" s="70" t="s">
        <v>1081</v>
      </c>
      <c r="I10" s="71" t="s">
        <v>35</v>
      </c>
      <c r="J10" s="72">
        <v>2</v>
      </c>
      <c r="L10" s="76">
        <v>20</v>
      </c>
      <c r="M10" s="77">
        <v>9.5000000000000001E-2</v>
      </c>
      <c r="N10" s="77">
        <v>0.109</v>
      </c>
      <c r="O10" s="77">
        <v>0.13</v>
      </c>
      <c r="P10" s="77">
        <v>0.25</v>
      </c>
      <c r="Q10" s="77">
        <v>0.44</v>
      </c>
      <c r="R10" s="77">
        <v>0.61</v>
      </c>
      <c r="S10" s="77">
        <v>0.61</v>
      </c>
      <c r="T10" s="77">
        <v>0.23499999999999999</v>
      </c>
      <c r="V10" s="76">
        <v>3</v>
      </c>
      <c r="W10" s="99">
        <v>0.64</v>
      </c>
      <c r="X10" s="99">
        <v>-0.56000000000000005</v>
      </c>
    </row>
    <row r="11" spans="1:24" x14ac:dyDescent="0.25">
      <c r="A11" s="3" t="s">
        <v>90</v>
      </c>
      <c r="B11" t="s">
        <v>89</v>
      </c>
      <c r="C11" s="3" t="s">
        <v>90</v>
      </c>
      <c r="D11" s="3" t="s">
        <v>91</v>
      </c>
      <c r="E11" s="3">
        <v>20</v>
      </c>
      <c r="F11" t="s">
        <v>1231</v>
      </c>
      <c r="H11" s="70" t="s">
        <v>1081</v>
      </c>
      <c r="I11" s="71" t="s">
        <v>24</v>
      </c>
      <c r="J11" s="72">
        <v>2</v>
      </c>
      <c r="L11" s="76">
        <v>999</v>
      </c>
      <c r="M11" s="77">
        <v>0.12</v>
      </c>
      <c r="N11" s="77">
        <v>0.13400000000000001</v>
      </c>
      <c r="O11" s="77">
        <v>0.155</v>
      </c>
      <c r="P11" s="77">
        <v>0.3</v>
      </c>
      <c r="Q11" s="77">
        <v>0.46500000000000002</v>
      </c>
      <c r="R11" s="77">
        <v>0.63500000000000001</v>
      </c>
      <c r="S11" s="77">
        <v>0.63500000000000001</v>
      </c>
      <c r="T11" s="77">
        <v>0.35499999999999998</v>
      </c>
      <c r="V11" s="76">
        <v>4</v>
      </c>
      <c r="W11" s="99">
        <v>0.59</v>
      </c>
      <c r="X11" s="99">
        <v>-0.5</v>
      </c>
    </row>
    <row r="12" spans="1:24" x14ac:dyDescent="0.25">
      <c r="A12" s="3" t="s">
        <v>94</v>
      </c>
      <c r="B12" t="s">
        <v>93</v>
      </c>
      <c r="C12" s="3" t="s">
        <v>94</v>
      </c>
      <c r="D12" s="3" t="s">
        <v>95</v>
      </c>
      <c r="E12" s="3">
        <v>24</v>
      </c>
      <c r="F12" t="s">
        <v>1231</v>
      </c>
      <c r="H12" s="70" t="s">
        <v>1081</v>
      </c>
      <c r="I12" s="71" t="s">
        <v>28</v>
      </c>
      <c r="J12" s="72">
        <v>2</v>
      </c>
      <c r="L12" s="74" t="s">
        <v>1080</v>
      </c>
      <c r="M12" s="75">
        <v>0</v>
      </c>
      <c r="N12" s="75">
        <v>1</v>
      </c>
      <c r="O12" s="75">
        <v>2</v>
      </c>
      <c r="P12" s="75">
        <v>3</v>
      </c>
      <c r="Q12" s="75">
        <v>4</v>
      </c>
      <c r="R12" s="75">
        <v>5</v>
      </c>
      <c r="S12" s="75">
        <v>6</v>
      </c>
      <c r="T12" s="75" t="s">
        <v>1089</v>
      </c>
      <c r="V12" s="76">
        <v>5</v>
      </c>
      <c r="W12" s="99">
        <v>0.55000000000000004</v>
      </c>
      <c r="X12" s="99">
        <v>-0.46</v>
      </c>
    </row>
    <row r="13" spans="1:24" x14ac:dyDescent="0.25">
      <c r="A13" s="3" t="s">
        <v>98</v>
      </c>
      <c r="B13" t="s">
        <v>97</v>
      </c>
      <c r="C13" s="3" t="s">
        <v>98</v>
      </c>
      <c r="D13" s="3" t="s">
        <v>99</v>
      </c>
      <c r="E13" s="3">
        <v>660</v>
      </c>
      <c r="F13" t="s">
        <v>1231</v>
      </c>
      <c r="H13" s="70" t="s">
        <v>1081</v>
      </c>
      <c r="I13" s="71" t="s">
        <v>33</v>
      </c>
      <c r="J13" s="72">
        <v>3</v>
      </c>
      <c r="L13" s="74" t="s">
        <v>0</v>
      </c>
      <c r="M13" s="79" t="s">
        <v>1091</v>
      </c>
      <c r="N13" s="80"/>
      <c r="O13" s="80"/>
      <c r="P13" s="80"/>
      <c r="Q13" s="80"/>
      <c r="R13" s="80"/>
      <c r="S13" s="80"/>
      <c r="T13" s="81"/>
      <c r="V13" s="76">
        <v>6</v>
      </c>
      <c r="W13" s="99">
        <v>0.52</v>
      </c>
      <c r="X13" s="99">
        <v>-0.42</v>
      </c>
    </row>
    <row r="14" spans="1:24" x14ac:dyDescent="0.25">
      <c r="A14" s="3" t="s">
        <v>102</v>
      </c>
      <c r="B14" s="5" t="s">
        <v>101</v>
      </c>
      <c r="C14" s="3" t="s">
        <v>102</v>
      </c>
      <c r="D14" s="3" t="s">
        <v>103</v>
      </c>
      <c r="E14" s="3">
        <v>10</v>
      </c>
      <c r="F14" t="s">
        <v>1231</v>
      </c>
      <c r="H14" s="70" t="s">
        <v>1081</v>
      </c>
      <c r="I14" s="71" t="s">
        <v>19</v>
      </c>
      <c r="J14" s="72">
        <v>3</v>
      </c>
      <c r="L14" s="76">
        <v>5</v>
      </c>
      <c r="M14" s="77">
        <v>8.9999999999999993E-3</v>
      </c>
      <c r="N14" s="77">
        <v>1.0999999999999999E-2</v>
      </c>
      <c r="O14" s="77">
        <v>1.4E-2</v>
      </c>
      <c r="P14" s="77">
        <v>2.5000000000000001E-2</v>
      </c>
      <c r="Q14" s="77">
        <v>4.4999999999999998E-2</v>
      </c>
      <c r="R14" s="77">
        <v>7.4999999999999997E-2</v>
      </c>
      <c r="S14" s="77">
        <v>7.4999999999999997E-2</v>
      </c>
      <c r="T14" s="77">
        <v>0.03</v>
      </c>
      <c r="V14" s="76">
        <v>7</v>
      </c>
      <c r="W14" s="99">
        <v>0.49</v>
      </c>
      <c r="X14" s="99">
        <v>-0.39</v>
      </c>
    </row>
    <row r="15" spans="1:24" x14ac:dyDescent="0.25">
      <c r="A15" s="3" t="s">
        <v>106</v>
      </c>
      <c r="B15" t="s">
        <v>105</v>
      </c>
      <c r="C15" s="3" t="s">
        <v>106</v>
      </c>
      <c r="D15" s="3" t="s">
        <v>107</v>
      </c>
      <c r="E15" s="3">
        <v>28</v>
      </c>
      <c r="F15" t="s">
        <v>1231</v>
      </c>
      <c r="H15" s="70" t="s">
        <v>1081</v>
      </c>
      <c r="I15" s="71" t="s">
        <v>31</v>
      </c>
      <c r="J15" s="72">
        <v>3</v>
      </c>
      <c r="L15" s="76">
        <v>10</v>
      </c>
      <c r="M15" s="77">
        <v>5.0000000000000001E-3</v>
      </c>
      <c r="N15" s="77">
        <v>6.0000000000000001E-3</v>
      </c>
      <c r="O15" s="77">
        <v>7.0000000000000001E-3</v>
      </c>
      <c r="P15" s="77">
        <v>1.4999999999999999E-2</v>
      </c>
      <c r="Q15" s="77">
        <v>2.5000000000000001E-2</v>
      </c>
      <c r="R15" s="77">
        <v>4.2000000000000003E-2</v>
      </c>
      <c r="S15" s="77">
        <v>4.2000000000000003E-2</v>
      </c>
      <c r="T15" s="77">
        <v>1.7000000000000001E-2</v>
      </c>
      <c r="V15" s="76">
        <v>8</v>
      </c>
      <c r="W15" s="99">
        <v>0.47</v>
      </c>
      <c r="X15" s="99">
        <v>-0.36</v>
      </c>
    </row>
    <row r="16" spans="1:24" x14ac:dyDescent="0.25">
      <c r="A16" s="3" t="s">
        <v>110</v>
      </c>
      <c r="B16" t="s">
        <v>109</v>
      </c>
      <c r="C16" s="3" t="s">
        <v>110</v>
      </c>
      <c r="D16" s="3" t="s">
        <v>111</v>
      </c>
      <c r="E16" s="3">
        <v>32</v>
      </c>
      <c r="F16" t="s">
        <v>1231</v>
      </c>
      <c r="H16" s="70" t="s">
        <v>1081</v>
      </c>
      <c r="I16" s="71" t="s">
        <v>29</v>
      </c>
      <c r="J16" s="72">
        <v>4</v>
      </c>
      <c r="L16" s="76">
        <v>15</v>
      </c>
      <c r="M16" s="77">
        <v>5.0000000000000001E-3</v>
      </c>
      <c r="N16" s="77">
        <v>5.0000000000000001E-3</v>
      </c>
      <c r="O16" s="77">
        <v>5.0000000000000001E-3</v>
      </c>
      <c r="P16" s="77">
        <v>0.01</v>
      </c>
      <c r="Q16" s="77">
        <v>1.7999999999999999E-2</v>
      </c>
      <c r="R16" s="77">
        <v>5.0000000000000001E-3</v>
      </c>
      <c r="S16" s="77">
        <v>5.0000000000000001E-3</v>
      </c>
      <c r="T16" s="77">
        <v>1.2E-2</v>
      </c>
      <c r="V16" s="76">
        <v>9</v>
      </c>
      <c r="W16" s="99">
        <v>0.44</v>
      </c>
      <c r="X16" s="99">
        <v>-0.33</v>
      </c>
    </row>
    <row r="17" spans="1:27" x14ac:dyDescent="0.25">
      <c r="A17" s="3" t="s">
        <v>114</v>
      </c>
      <c r="B17" t="s">
        <v>113</v>
      </c>
      <c r="C17" s="3" t="s">
        <v>114</v>
      </c>
      <c r="D17" s="3" t="s">
        <v>115</v>
      </c>
      <c r="E17" s="3">
        <v>51</v>
      </c>
      <c r="F17" t="s">
        <v>1231</v>
      </c>
      <c r="H17" s="70" t="s">
        <v>1081</v>
      </c>
      <c r="I17" s="71" t="s">
        <v>42</v>
      </c>
      <c r="J17" s="72">
        <v>4</v>
      </c>
      <c r="L17" s="76">
        <v>20</v>
      </c>
      <c r="M17" s="77">
        <v>5.0000000000000001E-3</v>
      </c>
      <c r="N17" s="77">
        <v>5.0000000000000001E-3</v>
      </c>
      <c r="O17" s="77">
        <v>5.0000000000000001E-3</v>
      </c>
      <c r="P17" s="77">
        <v>0.01</v>
      </c>
      <c r="Q17" s="77">
        <v>5.0000000000000001E-3</v>
      </c>
      <c r="R17" s="77">
        <v>5.0000000000000001E-3</v>
      </c>
      <c r="S17" s="77">
        <v>5.0000000000000001E-3</v>
      </c>
      <c r="T17" s="77">
        <v>1.2E-2</v>
      </c>
      <c r="V17" s="76">
        <v>10</v>
      </c>
      <c r="W17" s="99">
        <v>0.42</v>
      </c>
      <c r="X17" s="99">
        <v>-0.31</v>
      </c>
    </row>
    <row r="18" spans="1:27" x14ac:dyDescent="0.25">
      <c r="A18" s="3" t="s">
        <v>118</v>
      </c>
      <c r="B18" t="s">
        <v>117</v>
      </c>
      <c r="C18" s="3" t="s">
        <v>118</v>
      </c>
      <c r="D18" s="3" t="s">
        <v>119</v>
      </c>
      <c r="E18" s="3">
        <v>533</v>
      </c>
      <c r="F18" t="s">
        <v>1231</v>
      </c>
      <c r="H18" s="70" t="s">
        <v>1081</v>
      </c>
      <c r="I18" s="71" t="s">
        <v>39</v>
      </c>
      <c r="J18" s="72">
        <v>4</v>
      </c>
      <c r="L18" s="76">
        <v>999</v>
      </c>
      <c r="M18" s="77">
        <v>5.0000000000000001E-3</v>
      </c>
      <c r="N18" s="77">
        <v>5.0000000000000001E-3</v>
      </c>
      <c r="O18" s="77">
        <v>5.0000000000000001E-3</v>
      </c>
      <c r="P18" s="77">
        <v>5.0000000000000001E-3</v>
      </c>
      <c r="Q18" s="77">
        <v>5.0000000000000001E-3</v>
      </c>
      <c r="R18" s="77">
        <v>5.0000000000000001E-3</v>
      </c>
      <c r="S18" s="77">
        <v>5.0000000000000001E-3</v>
      </c>
      <c r="T18" s="77">
        <v>5.0000000000000001E-3</v>
      </c>
      <c r="V18" s="76">
        <v>11</v>
      </c>
      <c r="W18" s="99">
        <v>0.39</v>
      </c>
      <c r="X18" s="99">
        <v>-0.3</v>
      </c>
    </row>
    <row r="19" spans="1:27" x14ac:dyDescent="0.25">
      <c r="A19" s="3" t="s">
        <v>121</v>
      </c>
      <c r="B19" t="s">
        <v>18</v>
      </c>
      <c r="C19" s="3" t="s">
        <v>121</v>
      </c>
      <c r="D19" s="3" t="s">
        <v>122</v>
      </c>
      <c r="E19" s="3">
        <v>36</v>
      </c>
      <c r="F19" t="s">
        <v>1232</v>
      </c>
      <c r="H19" s="70" t="s">
        <v>1081</v>
      </c>
      <c r="I19" s="71" t="s">
        <v>45</v>
      </c>
      <c r="J19" s="72">
        <v>5</v>
      </c>
      <c r="L19" s="74" t="s">
        <v>1080</v>
      </c>
      <c r="M19" s="75">
        <v>0</v>
      </c>
      <c r="N19" s="75">
        <v>1</v>
      </c>
      <c r="O19" s="75">
        <v>2</v>
      </c>
      <c r="P19" s="75">
        <v>3</v>
      </c>
      <c r="Q19" s="75">
        <v>4</v>
      </c>
      <c r="R19" s="75">
        <v>5</v>
      </c>
      <c r="S19" s="75">
        <v>6</v>
      </c>
      <c r="T19" s="75" t="s">
        <v>1089</v>
      </c>
      <c r="V19" s="76">
        <v>12</v>
      </c>
      <c r="W19" s="99">
        <v>0.37</v>
      </c>
      <c r="X19" s="99">
        <v>-0.28999999999999998</v>
      </c>
    </row>
    <row r="20" spans="1:27" x14ac:dyDescent="0.25">
      <c r="A20" s="3" t="s">
        <v>124</v>
      </c>
      <c r="B20" t="s">
        <v>72</v>
      </c>
      <c r="C20" s="3" t="s">
        <v>124</v>
      </c>
      <c r="D20" s="3" t="s">
        <v>125</v>
      </c>
      <c r="E20" s="3">
        <v>40</v>
      </c>
      <c r="F20" t="s">
        <v>1232</v>
      </c>
      <c r="H20" s="70" t="s">
        <v>1081</v>
      </c>
      <c r="I20" s="71" t="s">
        <v>973</v>
      </c>
      <c r="J20" s="72">
        <v>5</v>
      </c>
      <c r="L20" s="74" t="s">
        <v>0</v>
      </c>
      <c r="M20" s="79" t="s">
        <v>1092</v>
      </c>
      <c r="N20" s="80"/>
      <c r="O20" s="80"/>
      <c r="P20" s="80"/>
      <c r="Q20" s="80"/>
      <c r="R20" s="80"/>
      <c r="S20" s="80"/>
      <c r="T20" s="81"/>
      <c r="V20" s="76">
        <v>13</v>
      </c>
      <c r="W20" s="99">
        <v>0.35</v>
      </c>
      <c r="X20" s="99">
        <v>-0.28000000000000003</v>
      </c>
    </row>
    <row r="21" spans="1:27" x14ac:dyDescent="0.25">
      <c r="A21" s="3" t="s">
        <v>128</v>
      </c>
      <c r="B21" t="s">
        <v>127</v>
      </c>
      <c r="C21" s="3" t="s">
        <v>128</v>
      </c>
      <c r="D21" s="3" t="s">
        <v>129</v>
      </c>
      <c r="E21" s="3">
        <v>31</v>
      </c>
      <c r="F21" t="s">
        <v>1231</v>
      </c>
      <c r="H21" s="70" t="s">
        <v>1081</v>
      </c>
      <c r="I21" s="71" t="s">
        <v>971</v>
      </c>
      <c r="J21" s="72">
        <v>5</v>
      </c>
      <c r="L21" s="76">
        <v>5</v>
      </c>
      <c r="M21" s="78">
        <v>0</v>
      </c>
      <c r="N21" s="78">
        <v>0</v>
      </c>
      <c r="O21" s="78">
        <v>0</v>
      </c>
      <c r="P21" s="78">
        <v>0</v>
      </c>
      <c r="Q21" s="78">
        <v>0</v>
      </c>
      <c r="R21" s="78">
        <v>0</v>
      </c>
      <c r="S21" s="78">
        <v>0</v>
      </c>
      <c r="T21" s="78">
        <v>0</v>
      </c>
      <c r="V21" s="76">
        <v>14</v>
      </c>
      <c r="W21" s="99">
        <v>0.34</v>
      </c>
      <c r="X21" s="99">
        <v>-0.28000000000000003</v>
      </c>
    </row>
    <row r="22" spans="1:27" x14ac:dyDescent="0.25">
      <c r="A22" s="3" t="s">
        <v>131</v>
      </c>
      <c r="B22" t="s">
        <v>130</v>
      </c>
      <c r="C22" s="3" t="s">
        <v>131</v>
      </c>
      <c r="D22" s="3" t="s">
        <v>132</v>
      </c>
      <c r="E22" s="3">
        <v>44</v>
      </c>
      <c r="F22" t="s">
        <v>1231</v>
      </c>
      <c r="H22" s="70" t="s">
        <v>1082</v>
      </c>
      <c r="I22" s="71" t="s">
        <v>1083</v>
      </c>
      <c r="J22" s="72">
        <v>1</v>
      </c>
      <c r="L22" s="76">
        <v>10</v>
      </c>
      <c r="M22" s="78">
        <v>5</v>
      </c>
      <c r="N22" s="78">
        <v>5</v>
      </c>
      <c r="O22" s="78">
        <v>5</v>
      </c>
      <c r="P22" s="78">
        <v>5</v>
      </c>
      <c r="Q22" s="78">
        <v>5</v>
      </c>
      <c r="R22" s="78">
        <v>5</v>
      </c>
      <c r="S22" s="78">
        <v>5</v>
      </c>
      <c r="T22" s="78">
        <v>5</v>
      </c>
      <c r="V22" s="76">
        <v>15</v>
      </c>
      <c r="W22" s="99">
        <v>0.33</v>
      </c>
      <c r="X22" s="99">
        <v>-0.27</v>
      </c>
    </row>
    <row r="23" spans="1:27" x14ac:dyDescent="0.25">
      <c r="A23" s="3" t="s">
        <v>135</v>
      </c>
      <c r="B23" t="s">
        <v>134</v>
      </c>
      <c r="C23" s="3" t="s">
        <v>135</v>
      </c>
      <c r="D23" s="3" t="s">
        <v>136</v>
      </c>
      <c r="E23" s="3">
        <v>48</v>
      </c>
      <c r="F23" t="s">
        <v>1231</v>
      </c>
      <c r="H23" s="70" t="s">
        <v>1082</v>
      </c>
      <c r="I23" s="71" t="s">
        <v>1084</v>
      </c>
      <c r="J23" s="72">
        <v>2</v>
      </c>
      <c r="L23" s="76">
        <v>15</v>
      </c>
      <c r="M23" s="78">
        <v>10</v>
      </c>
      <c r="N23" s="78">
        <v>10</v>
      </c>
      <c r="O23" s="78">
        <v>10</v>
      </c>
      <c r="P23" s="78">
        <v>10</v>
      </c>
      <c r="Q23" s="78">
        <v>10</v>
      </c>
      <c r="R23" s="78">
        <v>10</v>
      </c>
      <c r="S23" s="78">
        <v>10</v>
      </c>
      <c r="T23" s="78">
        <v>10</v>
      </c>
      <c r="V23" s="76">
        <v>16</v>
      </c>
      <c r="W23" s="99">
        <v>0.31</v>
      </c>
      <c r="X23" s="99">
        <v>-0.28000000000000003</v>
      </c>
    </row>
    <row r="24" spans="1:27" x14ac:dyDescent="0.25">
      <c r="A24" s="3" t="s">
        <v>139</v>
      </c>
      <c r="B24" t="s">
        <v>138</v>
      </c>
      <c r="C24" s="3" t="s">
        <v>139</v>
      </c>
      <c r="D24" s="3" t="s">
        <v>140</v>
      </c>
      <c r="E24" s="3">
        <v>50</v>
      </c>
      <c r="F24" t="s">
        <v>1231</v>
      </c>
      <c r="H24" s="70" t="s">
        <v>1082</v>
      </c>
      <c r="I24" s="71" t="s">
        <v>1085</v>
      </c>
      <c r="J24" s="72">
        <v>3</v>
      </c>
      <c r="L24" s="76">
        <v>20</v>
      </c>
      <c r="M24" s="78">
        <v>15</v>
      </c>
      <c r="N24" s="78">
        <v>15</v>
      </c>
      <c r="O24" s="78">
        <v>15</v>
      </c>
      <c r="P24" s="78">
        <v>15</v>
      </c>
      <c r="Q24" s="78">
        <v>15</v>
      </c>
      <c r="R24" s="78">
        <v>15</v>
      </c>
      <c r="S24" s="78">
        <v>15</v>
      </c>
      <c r="T24" s="78">
        <v>10</v>
      </c>
      <c r="V24" s="76">
        <v>17</v>
      </c>
      <c r="W24" s="99">
        <v>0.3</v>
      </c>
      <c r="X24" s="99">
        <v>-0.28000000000000003</v>
      </c>
    </row>
    <row r="25" spans="1:27" x14ac:dyDescent="0.25">
      <c r="A25" s="3" t="s">
        <v>143</v>
      </c>
      <c r="B25" t="s">
        <v>142</v>
      </c>
      <c r="C25" s="3" t="s">
        <v>143</v>
      </c>
      <c r="D25" s="3" t="s">
        <v>144</v>
      </c>
      <c r="E25" s="3">
        <v>52</v>
      </c>
      <c r="F25" t="s">
        <v>1231</v>
      </c>
      <c r="H25" s="70" t="s">
        <v>1082</v>
      </c>
      <c r="I25" s="71" t="s">
        <v>1086</v>
      </c>
      <c r="J25" s="72">
        <v>1</v>
      </c>
      <c r="L25" s="76">
        <v>999</v>
      </c>
      <c r="M25" s="78">
        <v>20</v>
      </c>
      <c r="N25" s="78">
        <v>20</v>
      </c>
      <c r="O25" s="78">
        <v>20</v>
      </c>
      <c r="P25" s="78">
        <v>20</v>
      </c>
      <c r="Q25" s="78">
        <v>20</v>
      </c>
      <c r="R25" s="78">
        <v>20</v>
      </c>
      <c r="S25" s="78">
        <v>20</v>
      </c>
      <c r="T25" s="78">
        <v>20</v>
      </c>
      <c r="V25" s="76">
        <v>18</v>
      </c>
      <c r="W25" s="99">
        <v>0.28999999999999998</v>
      </c>
      <c r="X25" s="99">
        <v>-0.28000000000000003</v>
      </c>
    </row>
    <row r="26" spans="1:27" x14ac:dyDescent="0.25">
      <c r="A26" s="3" t="s">
        <v>147</v>
      </c>
      <c r="B26" t="s">
        <v>146</v>
      </c>
      <c r="C26" s="3" t="s">
        <v>147</v>
      </c>
      <c r="D26" s="3" t="s">
        <v>148</v>
      </c>
      <c r="E26" s="3">
        <v>112</v>
      </c>
      <c r="F26" t="s">
        <v>1231</v>
      </c>
      <c r="H26" s="70" t="s">
        <v>1082</v>
      </c>
      <c r="I26" s="71" t="s">
        <v>1087</v>
      </c>
      <c r="J26" s="72">
        <v>2</v>
      </c>
      <c r="V26" s="76">
        <v>19</v>
      </c>
      <c r="W26" s="99">
        <v>0.27</v>
      </c>
      <c r="X26" s="99">
        <v>-0.28999999999999998</v>
      </c>
    </row>
    <row r="27" spans="1:27" x14ac:dyDescent="0.25">
      <c r="A27" s="3" t="s">
        <v>150</v>
      </c>
      <c r="B27" t="s">
        <v>76</v>
      </c>
      <c r="C27" s="3" t="s">
        <v>150</v>
      </c>
      <c r="D27" s="3" t="s">
        <v>151</v>
      </c>
      <c r="E27" s="3">
        <v>56</v>
      </c>
      <c r="F27" t="s">
        <v>1232</v>
      </c>
      <c r="H27" s="70" t="s">
        <v>1082</v>
      </c>
      <c r="I27" s="71" t="s">
        <v>1088</v>
      </c>
      <c r="J27" s="72">
        <v>3</v>
      </c>
      <c r="V27" s="76">
        <v>20</v>
      </c>
      <c r="W27" s="99">
        <v>0.26</v>
      </c>
      <c r="X27" s="99">
        <v>-0.28999999999999998</v>
      </c>
    </row>
    <row r="28" spans="1:27" x14ac:dyDescent="0.25">
      <c r="A28" s="3" t="s">
        <v>154</v>
      </c>
      <c r="B28" t="s">
        <v>153</v>
      </c>
      <c r="C28" s="3" t="s">
        <v>154</v>
      </c>
      <c r="D28" s="3" t="s">
        <v>155</v>
      </c>
      <c r="E28" s="3">
        <v>84</v>
      </c>
      <c r="F28" t="s">
        <v>1231</v>
      </c>
      <c r="H28" s="70" t="s">
        <v>1082</v>
      </c>
      <c r="I28" s="71" t="s">
        <v>534</v>
      </c>
      <c r="J28" s="72">
        <v>4</v>
      </c>
      <c r="V28" s="76">
        <v>90</v>
      </c>
      <c r="W28" s="99">
        <v>0.2</v>
      </c>
      <c r="X28" s="99">
        <v>-0.2</v>
      </c>
    </row>
    <row r="29" spans="1:27" x14ac:dyDescent="0.25">
      <c r="A29" s="3" t="s">
        <v>158</v>
      </c>
      <c r="B29" t="s">
        <v>157</v>
      </c>
      <c r="C29" s="3" t="s">
        <v>158</v>
      </c>
      <c r="D29" s="3" t="s">
        <v>159</v>
      </c>
      <c r="E29" s="3">
        <v>204</v>
      </c>
      <c r="F29" t="s">
        <v>1231</v>
      </c>
      <c r="L29" t="s">
        <v>1239</v>
      </c>
      <c r="M29" s="142" t="s">
        <v>1234</v>
      </c>
      <c r="N29" s="142" t="s">
        <v>1235</v>
      </c>
      <c r="V29" s="76">
        <v>100</v>
      </c>
      <c r="W29" s="99">
        <v>0.2</v>
      </c>
      <c r="X29" s="99">
        <v>-0.2</v>
      </c>
    </row>
    <row r="30" spans="1:27" ht="15" customHeight="1" x14ac:dyDescent="0.25">
      <c r="A30" s="3" t="s">
        <v>161</v>
      </c>
      <c r="B30" t="s">
        <v>160</v>
      </c>
      <c r="C30" s="3" t="s">
        <v>161</v>
      </c>
      <c r="D30" s="3" t="s">
        <v>162</v>
      </c>
      <c r="E30" s="3">
        <v>60</v>
      </c>
      <c r="F30" t="s">
        <v>1231</v>
      </c>
      <c r="L30" s="74" t="s">
        <v>1236</v>
      </c>
      <c r="M30" s="102">
        <v>-0.22</v>
      </c>
      <c r="N30" s="102">
        <v>-0.22</v>
      </c>
    </row>
    <row r="31" spans="1:27" x14ac:dyDescent="0.25">
      <c r="A31" s="3" t="s">
        <v>164</v>
      </c>
      <c r="B31" t="s">
        <v>163</v>
      </c>
      <c r="C31" s="3" t="s">
        <v>164</v>
      </c>
      <c r="D31" s="3" t="s">
        <v>165</v>
      </c>
      <c r="E31" s="3">
        <v>64</v>
      </c>
      <c r="F31" t="s">
        <v>1231</v>
      </c>
      <c r="H31" s="74" t="s">
        <v>1194</v>
      </c>
      <c r="I31" s="100"/>
      <c r="L31" s="74" t="s">
        <v>1237</v>
      </c>
      <c r="M31" s="102">
        <v>-0.39</v>
      </c>
      <c r="N31" s="102">
        <v>-0.49</v>
      </c>
      <c r="W31" t="s">
        <v>1182</v>
      </c>
      <c r="AA31">
        <v>0.01</v>
      </c>
    </row>
    <row r="32" spans="1:27" x14ac:dyDescent="0.25">
      <c r="A32" s="3" t="s">
        <v>168</v>
      </c>
      <c r="B32" t="s">
        <v>167</v>
      </c>
      <c r="C32" s="3" t="s">
        <v>168</v>
      </c>
      <c r="D32" s="3" t="s">
        <v>169</v>
      </c>
      <c r="E32" s="3">
        <v>68</v>
      </c>
      <c r="F32" t="s">
        <v>1231</v>
      </c>
      <c r="H32" s="100"/>
      <c r="I32" s="101"/>
      <c r="W32" t="s">
        <v>1183</v>
      </c>
      <c r="AA32" t="s">
        <v>4</v>
      </c>
    </row>
    <row r="33" spans="1:27" x14ac:dyDescent="0.25">
      <c r="A33" s="3" t="s">
        <v>172</v>
      </c>
      <c r="B33" t="s">
        <v>171</v>
      </c>
      <c r="C33" s="3" t="s">
        <v>172</v>
      </c>
      <c r="D33" s="3" t="s">
        <v>173</v>
      </c>
      <c r="E33" s="3">
        <v>70</v>
      </c>
      <c r="F33" t="s">
        <v>1231</v>
      </c>
      <c r="H33" s="74" t="s">
        <v>1195</v>
      </c>
      <c r="I33" s="102">
        <v>0.25</v>
      </c>
      <c r="L33" t="s">
        <v>1241</v>
      </c>
      <c r="W33" t="s">
        <v>1184</v>
      </c>
      <c r="AA33" t="s">
        <v>4</v>
      </c>
    </row>
    <row r="34" spans="1:27" x14ac:dyDescent="0.25">
      <c r="A34" s="3" t="s">
        <v>176</v>
      </c>
      <c r="B34" t="s">
        <v>175</v>
      </c>
      <c r="C34" s="3" t="s">
        <v>176</v>
      </c>
      <c r="D34" s="3" t="s">
        <v>177</v>
      </c>
      <c r="E34" s="3">
        <v>72</v>
      </c>
      <c r="F34" t="s">
        <v>1231</v>
      </c>
      <c r="H34" s="74" t="s">
        <v>1196</v>
      </c>
      <c r="I34" s="102">
        <v>-0.25</v>
      </c>
      <c r="L34" s="74" t="s">
        <v>1240</v>
      </c>
      <c r="M34" s="102">
        <v>-0.25</v>
      </c>
    </row>
    <row r="35" spans="1:27" x14ac:dyDescent="0.25">
      <c r="A35" s="3" t="s">
        <v>179</v>
      </c>
      <c r="B35" s="4" t="s">
        <v>178</v>
      </c>
      <c r="C35" s="3" t="s">
        <v>179</v>
      </c>
      <c r="D35" s="3" t="s">
        <v>180</v>
      </c>
      <c r="E35" s="3">
        <v>74</v>
      </c>
      <c r="F35" t="s">
        <v>1231</v>
      </c>
      <c r="H35" s="100"/>
      <c r="I35" s="101"/>
    </row>
    <row r="36" spans="1:27" x14ac:dyDescent="0.25">
      <c r="A36" s="3" t="s">
        <v>183</v>
      </c>
      <c r="B36" t="s">
        <v>182</v>
      </c>
      <c r="C36" s="3" t="s">
        <v>183</v>
      </c>
      <c r="D36" s="3" t="s">
        <v>184</v>
      </c>
      <c r="E36" s="3">
        <v>76</v>
      </c>
      <c r="F36" t="s">
        <v>1231</v>
      </c>
    </row>
    <row r="37" spans="1:27" x14ac:dyDescent="0.25">
      <c r="A37" s="3" t="s">
        <v>186</v>
      </c>
      <c r="B37" t="s">
        <v>185</v>
      </c>
      <c r="C37" s="3" t="s">
        <v>186</v>
      </c>
      <c r="D37" s="3" t="s">
        <v>187</v>
      </c>
      <c r="E37" s="3">
        <v>92</v>
      </c>
      <c r="F37" t="s">
        <v>1231</v>
      </c>
    </row>
    <row r="38" spans="1:27" x14ac:dyDescent="0.25">
      <c r="A38" s="3" t="s">
        <v>189</v>
      </c>
      <c r="B38" s="4" t="s">
        <v>188</v>
      </c>
      <c r="C38" s="3" t="s">
        <v>189</v>
      </c>
      <c r="D38" s="3" t="s">
        <v>190</v>
      </c>
      <c r="E38" s="3">
        <v>86</v>
      </c>
      <c r="F38" t="s">
        <v>1231</v>
      </c>
      <c r="H38" s="130" t="s">
        <v>1222</v>
      </c>
      <c r="I38" s="131" t="s">
        <v>1233</v>
      </c>
    </row>
    <row r="39" spans="1:27" x14ac:dyDescent="0.25">
      <c r="A39" s="3" t="s">
        <v>192</v>
      </c>
      <c r="B39" t="s">
        <v>191</v>
      </c>
      <c r="C39" s="3" t="s">
        <v>192</v>
      </c>
      <c r="D39" s="3" t="s">
        <v>193</v>
      </c>
      <c r="E39" s="3">
        <v>96</v>
      </c>
      <c r="F39" t="s">
        <v>1231</v>
      </c>
      <c r="H39" s="132" t="s">
        <v>5</v>
      </c>
      <c r="I39" s="133">
        <v>0</v>
      </c>
    </row>
    <row r="40" spans="1:27" x14ac:dyDescent="0.25">
      <c r="A40" s="3" t="s">
        <v>194</v>
      </c>
      <c r="B40" t="s">
        <v>80</v>
      </c>
      <c r="C40" s="3" t="s">
        <v>194</v>
      </c>
      <c r="D40" s="3" t="s">
        <v>195</v>
      </c>
      <c r="E40" s="3">
        <v>100</v>
      </c>
      <c r="F40" t="s">
        <v>1232</v>
      </c>
      <c r="H40" s="132" t="s">
        <v>52</v>
      </c>
      <c r="I40" s="133">
        <v>1.48533333333333E-2</v>
      </c>
    </row>
    <row r="41" spans="1:27" x14ac:dyDescent="0.25">
      <c r="A41" s="3" t="s">
        <v>197</v>
      </c>
      <c r="B41" t="s">
        <v>196</v>
      </c>
      <c r="C41" s="3" t="s">
        <v>197</v>
      </c>
      <c r="D41" s="3" t="s">
        <v>198</v>
      </c>
      <c r="E41" s="3">
        <v>854</v>
      </c>
      <c r="F41" t="s">
        <v>1231</v>
      </c>
      <c r="H41" s="132" t="s">
        <v>44</v>
      </c>
      <c r="I41" s="134">
        <f>I50</f>
        <v>9.9399999999999992E-3</v>
      </c>
    </row>
    <row r="42" spans="1:27" x14ac:dyDescent="0.25">
      <c r="A42" s="3" t="s">
        <v>200</v>
      </c>
      <c r="B42" t="s">
        <v>199</v>
      </c>
      <c r="C42" s="3" t="s">
        <v>200</v>
      </c>
      <c r="D42" s="3" t="s">
        <v>201</v>
      </c>
      <c r="E42" s="3">
        <v>108</v>
      </c>
      <c r="F42" t="s">
        <v>1231</v>
      </c>
      <c r="H42" s="132" t="s">
        <v>55</v>
      </c>
      <c r="I42" s="133">
        <v>0</v>
      </c>
    </row>
    <row r="43" spans="1:27" x14ac:dyDescent="0.25">
      <c r="A43" s="3" t="s">
        <v>203</v>
      </c>
      <c r="B43" t="s">
        <v>202</v>
      </c>
      <c r="C43" s="3" t="s">
        <v>203</v>
      </c>
      <c r="D43" s="3" t="s">
        <v>204</v>
      </c>
      <c r="E43" s="3">
        <v>116</v>
      </c>
      <c r="F43" t="s">
        <v>1231</v>
      </c>
      <c r="H43" s="132" t="s">
        <v>40</v>
      </c>
      <c r="I43" s="133">
        <v>2.8600000000000001E-3</v>
      </c>
    </row>
    <row r="44" spans="1:27" x14ac:dyDescent="0.25">
      <c r="A44" s="3" t="s">
        <v>206</v>
      </c>
      <c r="B44" t="s">
        <v>205</v>
      </c>
      <c r="C44" s="3" t="s">
        <v>206</v>
      </c>
      <c r="D44" s="3" t="s">
        <v>207</v>
      </c>
      <c r="E44" s="3">
        <v>120</v>
      </c>
      <c r="F44" t="s">
        <v>1231</v>
      </c>
      <c r="H44" s="132" t="s">
        <v>58</v>
      </c>
      <c r="I44" s="133">
        <v>-3.31E-3</v>
      </c>
    </row>
    <row r="45" spans="1:27" x14ac:dyDescent="0.25">
      <c r="A45" s="3" t="s">
        <v>209</v>
      </c>
      <c r="B45" t="s">
        <v>208</v>
      </c>
      <c r="C45" s="3" t="s">
        <v>209</v>
      </c>
      <c r="D45" s="3" t="s">
        <v>210</v>
      </c>
      <c r="E45" s="3">
        <v>124</v>
      </c>
      <c r="F45" t="s">
        <v>1232</v>
      </c>
      <c r="H45" s="132" t="s">
        <v>60</v>
      </c>
      <c r="I45" s="133">
        <v>-2.7100000000000002E-3</v>
      </c>
    </row>
    <row r="46" spans="1:27" x14ac:dyDescent="0.25">
      <c r="A46" s="3" t="s">
        <v>212</v>
      </c>
      <c r="B46" t="s">
        <v>211</v>
      </c>
      <c r="C46" s="3" t="s">
        <v>212</v>
      </c>
      <c r="D46" s="3" t="s">
        <v>213</v>
      </c>
      <c r="E46" s="3">
        <v>132</v>
      </c>
      <c r="F46" t="s">
        <v>1231</v>
      </c>
      <c r="H46" s="132" t="s">
        <v>59</v>
      </c>
      <c r="I46" s="133">
        <v>6.7999999999999996E-3</v>
      </c>
    </row>
    <row r="47" spans="1:27" x14ac:dyDescent="0.25">
      <c r="A47" s="3" t="s">
        <v>215</v>
      </c>
      <c r="B47" s="4" t="s">
        <v>214</v>
      </c>
      <c r="C47" s="3" t="s">
        <v>215</v>
      </c>
      <c r="D47" s="3" t="s">
        <v>216</v>
      </c>
      <c r="E47" s="3">
        <v>136</v>
      </c>
      <c r="F47" t="s">
        <v>1231</v>
      </c>
      <c r="H47" s="132" t="s">
        <v>51</v>
      </c>
      <c r="I47" s="133">
        <v>3.0699999999999998E-3</v>
      </c>
    </row>
    <row r="48" spans="1:27" x14ac:dyDescent="0.25">
      <c r="A48" s="3" t="s">
        <v>218</v>
      </c>
      <c r="B48" t="s">
        <v>217</v>
      </c>
      <c r="C48" s="3" t="s">
        <v>218</v>
      </c>
      <c r="D48" s="3" t="s">
        <v>219</v>
      </c>
      <c r="E48" s="3">
        <v>140</v>
      </c>
      <c r="F48" t="s">
        <v>1231</v>
      </c>
      <c r="H48" s="132" t="s">
        <v>53</v>
      </c>
      <c r="I48" s="133">
        <v>4.62E-3</v>
      </c>
    </row>
    <row r="49" spans="1:10" x14ac:dyDescent="0.25">
      <c r="A49" s="3" t="s">
        <v>221</v>
      </c>
      <c r="B49" t="s">
        <v>220</v>
      </c>
      <c r="C49" s="3" t="s">
        <v>221</v>
      </c>
      <c r="D49" s="3" t="s">
        <v>222</v>
      </c>
      <c r="E49" s="3">
        <v>148</v>
      </c>
      <c r="F49" t="s">
        <v>1231</v>
      </c>
      <c r="H49" s="132" t="s">
        <v>62</v>
      </c>
      <c r="I49" s="133">
        <v>1.554E-2</v>
      </c>
    </row>
    <row r="50" spans="1:10" x14ac:dyDescent="0.25">
      <c r="A50" s="3" t="s">
        <v>224</v>
      </c>
      <c r="B50" t="s">
        <v>223</v>
      </c>
      <c r="C50" s="3" t="s">
        <v>224</v>
      </c>
      <c r="D50" s="3" t="s">
        <v>225</v>
      </c>
      <c r="E50" s="3">
        <v>152</v>
      </c>
      <c r="F50" t="s">
        <v>1232</v>
      </c>
      <c r="H50" s="132" t="s">
        <v>50</v>
      </c>
      <c r="I50" s="133">
        <v>9.9399999999999992E-3</v>
      </c>
    </row>
    <row r="51" spans="1:10" x14ac:dyDescent="0.25">
      <c r="A51" s="3" t="s">
        <v>227</v>
      </c>
      <c r="B51" t="s">
        <v>226</v>
      </c>
      <c r="C51" s="3" t="s">
        <v>227</v>
      </c>
      <c r="D51" s="3" t="s">
        <v>228</v>
      </c>
      <c r="E51" s="3">
        <v>156</v>
      </c>
      <c r="F51" t="s">
        <v>1231</v>
      </c>
      <c r="H51" s="132" t="s">
        <v>49</v>
      </c>
      <c r="I51" s="134">
        <f>I50</f>
        <v>9.9399999999999992E-3</v>
      </c>
    </row>
    <row r="52" spans="1:10" x14ac:dyDescent="0.25">
      <c r="A52" s="3" t="s">
        <v>230</v>
      </c>
      <c r="B52" t="s">
        <v>229</v>
      </c>
      <c r="C52" s="3" t="s">
        <v>230</v>
      </c>
      <c r="D52" s="3" t="s">
        <v>231</v>
      </c>
      <c r="E52" s="3">
        <v>344</v>
      </c>
      <c r="F52" t="s">
        <v>1231</v>
      </c>
      <c r="H52" s="132" t="s">
        <v>12</v>
      </c>
      <c r="I52" s="133">
        <v>0.02</v>
      </c>
    </row>
    <row r="53" spans="1:10" x14ac:dyDescent="0.25">
      <c r="A53" s="3" t="s">
        <v>233</v>
      </c>
      <c r="B53" t="s">
        <v>232</v>
      </c>
      <c r="C53" s="3" t="s">
        <v>233</v>
      </c>
      <c r="D53" s="3" t="s">
        <v>234</v>
      </c>
      <c r="E53" s="3">
        <v>446</v>
      </c>
      <c r="F53" t="s">
        <v>1231</v>
      </c>
      <c r="H53" s="132" t="s">
        <v>32</v>
      </c>
      <c r="I53" s="135">
        <f>I44</f>
        <v>-3.31E-3</v>
      </c>
    </row>
    <row r="54" spans="1:10" x14ac:dyDescent="0.25">
      <c r="A54" s="3" t="s">
        <v>236</v>
      </c>
      <c r="B54" s="4" t="s">
        <v>235</v>
      </c>
      <c r="C54" s="3" t="s">
        <v>236</v>
      </c>
      <c r="D54" s="3" t="s">
        <v>237</v>
      </c>
      <c r="E54" s="3">
        <v>162</v>
      </c>
      <c r="F54" t="s">
        <v>1231</v>
      </c>
      <c r="H54" s="132" t="s">
        <v>56</v>
      </c>
      <c r="I54" s="135">
        <f>I45</f>
        <v>-2.7100000000000002E-3</v>
      </c>
    </row>
    <row r="55" spans="1:10" x14ac:dyDescent="0.25">
      <c r="A55" s="3" t="s">
        <v>239</v>
      </c>
      <c r="B55" s="4" t="s">
        <v>238</v>
      </c>
      <c r="C55" s="3" t="s">
        <v>239</v>
      </c>
      <c r="D55" s="3" t="s">
        <v>240</v>
      </c>
      <c r="E55" s="3">
        <v>166</v>
      </c>
      <c r="F55" t="s">
        <v>1231</v>
      </c>
      <c r="H55" s="132" t="s">
        <v>54</v>
      </c>
      <c r="I55" s="135">
        <f>I50</f>
        <v>9.9399999999999992E-3</v>
      </c>
      <c r="J55" t="s">
        <v>2</v>
      </c>
    </row>
    <row r="56" spans="1:10" x14ac:dyDescent="0.25">
      <c r="A56" s="3" t="s">
        <v>242</v>
      </c>
      <c r="B56" t="s">
        <v>241</v>
      </c>
      <c r="C56" s="3" t="s">
        <v>242</v>
      </c>
      <c r="D56" s="3" t="s">
        <v>243</v>
      </c>
      <c r="E56" s="3">
        <v>170</v>
      </c>
      <c r="F56" t="s">
        <v>1231</v>
      </c>
      <c r="H56" s="132" t="s">
        <v>43</v>
      </c>
      <c r="I56" s="135">
        <f>I50</f>
        <v>9.9399999999999992E-3</v>
      </c>
      <c r="J56" t="s">
        <v>2</v>
      </c>
    </row>
    <row r="57" spans="1:10" x14ac:dyDescent="0.25">
      <c r="A57" s="3" t="s">
        <v>245</v>
      </c>
      <c r="B57" t="s">
        <v>244</v>
      </c>
      <c r="C57" s="3" t="s">
        <v>245</v>
      </c>
      <c r="D57" s="3" t="s">
        <v>246</v>
      </c>
      <c r="E57" s="3">
        <v>174</v>
      </c>
      <c r="F57" t="s">
        <v>1231</v>
      </c>
      <c r="H57" s="132" t="s">
        <v>61</v>
      </c>
      <c r="I57" s="135">
        <f>I56</f>
        <v>9.9399999999999992E-3</v>
      </c>
      <c r="J57" t="s">
        <v>2</v>
      </c>
    </row>
    <row r="58" spans="1:10" x14ac:dyDescent="0.25">
      <c r="A58" s="3" t="s">
        <v>248</v>
      </c>
      <c r="B58" t="s">
        <v>247</v>
      </c>
      <c r="C58" s="3" t="s">
        <v>248</v>
      </c>
      <c r="D58" s="3" t="s">
        <v>249</v>
      </c>
      <c r="E58" s="3">
        <v>178</v>
      </c>
      <c r="F58" t="s">
        <v>1231</v>
      </c>
      <c r="H58" s="132"/>
      <c r="I58" s="137"/>
      <c r="J58" t="s">
        <v>2</v>
      </c>
    </row>
    <row r="59" spans="1:10" x14ac:dyDescent="0.25">
      <c r="A59" s="6" t="s">
        <v>251</v>
      </c>
      <c r="B59" t="s">
        <v>250</v>
      </c>
      <c r="C59" s="6" t="s">
        <v>251</v>
      </c>
      <c r="D59" s="6" t="s">
        <v>252</v>
      </c>
      <c r="E59" s="6">
        <v>180</v>
      </c>
      <c r="F59" t="s">
        <v>1231</v>
      </c>
      <c r="H59" s="136"/>
      <c r="I59" s="138"/>
      <c r="J59" t="s">
        <v>2</v>
      </c>
    </row>
    <row r="60" spans="1:10" x14ac:dyDescent="0.25">
      <c r="A60" s="3" t="s">
        <v>254</v>
      </c>
      <c r="B60" s="4" t="s">
        <v>253</v>
      </c>
      <c r="C60" s="3" t="s">
        <v>254</v>
      </c>
      <c r="D60" s="3" t="s">
        <v>255</v>
      </c>
      <c r="E60" s="3">
        <v>184</v>
      </c>
      <c r="F60" t="s">
        <v>1231</v>
      </c>
    </row>
    <row r="61" spans="1:10" x14ac:dyDescent="0.25">
      <c r="A61" s="3" t="s">
        <v>257</v>
      </c>
      <c r="B61" t="s">
        <v>256</v>
      </c>
      <c r="C61" s="3" t="s">
        <v>257</v>
      </c>
      <c r="D61" s="3" t="s">
        <v>258</v>
      </c>
      <c r="E61" s="3">
        <v>188</v>
      </c>
      <c r="F61" t="s">
        <v>1231</v>
      </c>
    </row>
    <row r="62" spans="1:10" x14ac:dyDescent="0.25">
      <c r="A62" s="3" t="s">
        <v>260</v>
      </c>
      <c r="B62" t="s">
        <v>259</v>
      </c>
      <c r="C62" s="3" t="s">
        <v>260</v>
      </c>
      <c r="D62" s="3" t="s">
        <v>261</v>
      </c>
      <c r="E62" s="3">
        <v>384</v>
      </c>
      <c r="F62" t="s">
        <v>1231</v>
      </c>
    </row>
    <row r="63" spans="1:10" x14ac:dyDescent="0.25">
      <c r="A63" s="3" t="s">
        <v>262</v>
      </c>
      <c r="B63" t="s">
        <v>84</v>
      </c>
      <c r="C63" s="3" t="s">
        <v>262</v>
      </c>
      <c r="D63" s="3" t="s">
        <v>263</v>
      </c>
      <c r="E63" s="3">
        <v>191</v>
      </c>
      <c r="F63" t="s">
        <v>1232</v>
      </c>
    </row>
    <row r="64" spans="1:10" x14ac:dyDescent="0.25">
      <c r="A64" s="3" t="s">
        <v>265</v>
      </c>
      <c r="B64" t="s">
        <v>264</v>
      </c>
      <c r="C64" s="3" t="s">
        <v>265</v>
      </c>
      <c r="D64" s="3" t="s">
        <v>266</v>
      </c>
      <c r="E64" s="3">
        <v>192</v>
      </c>
      <c r="F64" t="s">
        <v>1231</v>
      </c>
    </row>
    <row r="65" spans="1:6" x14ac:dyDescent="0.25">
      <c r="A65" s="3" t="s">
        <v>267</v>
      </c>
      <c r="B65" t="s">
        <v>88</v>
      </c>
      <c r="C65" s="3" t="s">
        <v>267</v>
      </c>
      <c r="D65" s="3" t="s">
        <v>268</v>
      </c>
      <c r="E65" s="3">
        <v>196</v>
      </c>
      <c r="F65" t="s">
        <v>1232</v>
      </c>
    </row>
    <row r="66" spans="1:6" x14ac:dyDescent="0.25">
      <c r="A66" s="3" t="s">
        <v>269</v>
      </c>
      <c r="B66" t="s">
        <v>92</v>
      </c>
      <c r="C66" s="3" t="s">
        <v>269</v>
      </c>
      <c r="D66" s="3" t="s">
        <v>270</v>
      </c>
      <c r="E66" s="3">
        <v>203</v>
      </c>
      <c r="F66" t="s">
        <v>1232</v>
      </c>
    </row>
    <row r="67" spans="1:6" x14ac:dyDescent="0.25">
      <c r="A67" s="3" t="s">
        <v>271</v>
      </c>
      <c r="B67" t="s">
        <v>96</v>
      </c>
      <c r="C67" s="3" t="s">
        <v>271</v>
      </c>
      <c r="D67" s="3" t="s">
        <v>272</v>
      </c>
      <c r="E67" s="3">
        <v>208</v>
      </c>
      <c r="F67" t="s">
        <v>1232</v>
      </c>
    </row>
    <row r="68" spans="1:6" x14ac:dyDescent="0.25">
      <c r="A68" s="3" t="s">
        <v>274</v>
      </c>
      <c r="B68" t="s">
        <v>273</v>
      </c>
      <c r="C68" s="3" t="s">
        <v>274</v>
      </c>
      <c r="D68" s="3" t="s">
        <v>275</v>
      </c>
      <c r="E68" s="3">
        <v>262</v>
      </c>
      <c r="F68" t="s">
        <v>1231</v>
      </c>
    </row>
    <row r="69" spans="1:6" x14ac:dyDescent="0.25">
      <c r="A69" s="3" t="s">
        <v>277</v>
      </c>
      <c r="B69" t="s">
        <v>276</v>
      </c>
      <c r="C69" s="3" t="s">
        <v>277</v>
      </c>
      <c r="D69" s="3" t="s">
        <v>278</v>
      </c>
      <c r="E69" s="3">
        <v>212</v>
      </c>
      <c r="F69" t="s">
        <v>1231</v>
      </c>
    </row>
    <row r="70" spans="1:6" x14ac:dyDescent="0.25">
      <c r="A70" s="3" t="s">
        <v>280</v>
      </c>
      <c r="B70" t="s">
        <v>279</v>
      </c>
      <c r="C70" s="3" t="s">
        <v>280</v>
      </c>
      <c r="D70" s="3" t="s">
        <v>281</v>
      </c>
      <c r="E70" s="3">
        <v>214</v>
      </c>
      <c r="F70" t="s">
        <v>1231</v>
      </c>
    </row>
    <row r="71" spans="1:6" x14ac:dyDescent="0.25">
      <c r="A71" s="3" t="s">
        <v>283</v>
      </c>
      <c r="B71" t="s">
        <v>282</v>
      </c>
      <c r="C71" s="3" t="s">
        <v>283</v>
      </c>
      <c r="D71" s="3" t="s">
        <v>284</v>
      </c>
      <c r="E71" s="3">
        <v>218</v>
      </c>
      <c r="F71" t="s">
        <v>1231</v>
      </c>
    </row>
    <row r="72" spans="1:6" x14ac:dyDescent="0.25">
      <c r="A72" s="3" t="s">
        <v>286</v>
      </c>
      <c r="B72" t="s">
        <v>285</v>
      </c>
      <c r="C72" s="3" t="s">
        <v>286</v>
      </c>
      <c r="D72" s="3" t="s">
        <v>287</v>
      </c>
      <c r="E72" s="3">
        <v>818</v>
      </c>
      <c r="F72" t="s">
        <v>1231</v>
      </c>
    </row>
    <row r="73" spans="1:6" x14ac:dyDescent="0.25">
      <c r="A73" s="3" t="s">
        <v>289</v>
      </c>
      <c r="B73" t="s">
        <v>288</v>
      </c>
      <c r="C73" s="3" t="s">
        <v>289</v>
      </c>
      <c r="D73" s="3" t="s">
        <v>290</v>
      </c>
      <c r="E73" s="3">
        <v>222</v>
      </c>
      <c r="F73" t="s">
        <v>1231</v>
      </c>
    </row>
    <row r="74" spans="1:6" x14ac:dyDescent="0.25">
      <c r="A74" s="3" t="s">
        <v>292</v>
      </c>
      <c r="B74" t="s">
        <v>291</v>
      </c>
      <c r="C74" s="3" t="s">
        <v>292</v>
      </c>
      <c r="D74" s="3" t="s">
        <v>293</v>
      </c>
      <c r="E74" s="3">
        <v>226</v>
      </c>
      <c r="F74" t="s">
        <v>1231</v>
      </c>
    </row>
    <row r="75" spans="1:6" x14ac:dyDescent="0.25">
      <c r="A75" s="3" t="s">
        <v>295</v>
      </c>
      <c r="B75" t="s">
        <v>294</v>
      </c>
      <c r="C75" s="3" t="s">
        <v>295</v>
      </c>
      <c r="D75" s="3" t="s">
        <v>296</v>
      </c>
      <c r="E75" s="3">
        <v>232</v>
      </c>
      <c r="F75" t="s">
        <v>1231</v>
      </c>
    </row>
    <row r="76" spans="1:6" x14ac:dyDescent="0.25">
      <c r="A76" s="3" t="s">
        <v>297</v>
      </c>
      <c r="B76" t="s">
        <v>100</v>
      </c>
      <c r="C76" s="3" t="s">
        <v>297</v>
      </c>
      <c r="D76" s="3" t="s">
        <v>298</v>
      </c>
      <c r="E76" s="3">
        <v>233</v>
      </c>
      <c r="F76" t="s">
        <v>1232</v>
      </c>
    </row>
    <row r="77" spans="1:6" x14ac:dyDescent="0.25">
      <c r="A77" s="3" t="s">
        <v>300</v>
      </c>
      <c r="B77" t="s">
        <v>299</v>
      </c>
      <c r="C77" s="3" t="s">
        <v>300</v>
      </c>
      <c r="D77" s="3" t="s">
        <v>301</v>
      </c>
      <c r="E77" s="3">
        <v>231</v>
      </c>
      <c r="F77" t="s">
        <v>1231</v>
      </c>
    </row>
    <row r="78" spans="1:6" x14ac:dyDescent="0.25">
      <c r="A78" s="3" t="s">
        <v>303</v>
      </c>
      <c r="B78" s="4" t="s">
        <v>302</v>
      </c>
      <c r="C78" s="3" t="s">
        <v>303</v>
      </c>
      <c r="D78" s="3" t="s">
        <v>304</v>
      </c>
      <c r="E78" s="3">
        <v>238</v>
      </c>
      <c r="F78" t="s">
        <v>1231</v>
      </c>
    </row>
    <row r="79" spans="1:6" x14ac:dyDescent="0.25">
      <c r="A79" s="3" t="s">
        <v>306</v>
      </c>
      <c r="B79" t="s">
        <v>305</v>
      </c>
      <c r="C79" s="3" t="s">
        <v>306</v>
      </c>
      <c r="D79" s="3" t="s">
        <v>307</v>
      </c>
      <c r="E79" s="3">
        <v>234</v>
      </c>
      <c r="F79" t="s">
        <v>1231</v>
      </c>
    </row>
    <row r="80" spans="1:6" x14ac:dyDescent="0.25">
      <c r="A80" s="3" t="s">
        <v>309</v>
      </c>
      <c r="B80" t="s">
        <v>308</v>
      </c>
      <c r="C80" s="3" t="s">
        <v>309</v>
      </c>
      <c r="D80" s="3" t="s">
        <v>310</v>
      </c>
      <c r="E80" s="3">
        <v>242</v>
      </c>
      <c r="F80" t="s">
        <v>1231</v>
      </c>
    </row>
    <row r="81" spans="1:6" x14ac:dyDescent="0.25">
      <c r="A81" s="3" t="s">
        <v>311</v>
      </c>
      <c r="B81" t="s">
        <v>104</v>
      </c>
      <c r="C81" s="3" t="s">
        <v>311</v>
      </c>
      <c r="D81" s="3" t="s">
        <v>312</v>
      </c>
      <c r="E81" s="3">
        <v>246</v>
      </c>
      <c r="F81" t="s">
        <v>1232</v>
      </c>
    </row>
    <row r="82" spans="1:6" x14ac:dyDescent="0.25">
      <c r="A82" s="3" t="s">
        <v>313</v>
      </c>
      <c r="B82" t="s">
        <v>108</v>
      </c>
      <c r="C82" s="3" t="s">
        <v>313</v>
      </c>
      <c r="D82" s="3" t="s">
        <v>314</v>
      </c>
      <c r="E82" s="3">
        <v>250</v>
      </c>
      <c r="F82" t="s">
        <v>1232</v>
      </c>
    </row>
    <row r="83" spans="1:6" x14ac:dyDescent="0.25">
      <c r="A83" s="3" t="s">
        <v>316</v>
      </c>
      <c r="B83" t="s">
        <v>315</v>
      </c>
      <c r="C83" s="3" t="s">
        <v>316</v>
      </c>
      <c r="D83" s="3" t="s">
        <v>317</v>
      </c>
      <c r="E83" s="3">
        <v>254</v>
      </c>
      <c r="F83" t="s">
        <v>1231</v>
      </c>
    </row>
    <row r="84" spans="1:6" x14ac:dyDescent="0.25">
      <c r="A84" s="3" t="s">
        <v>319</v>
      </c>
      <c r="B84" t="s">
        <v>318</v>
      </c>
      <c r="C84" s="3" t="s">
        <v>319</v>
      </c>
      <c r="D84" s="3" t="s">
        <v>320</v>
      </c>
      <c r="E84" s="3">
        <v>258</v>
      </c>
      <c r="F84" t="s">
        <v>1231</v>
      </c>
    </row>
    <row r="85" spans="1:6" x14ac:dyDescent="0.25">
      <c r="A85" s="3" t="s">
        <v>322</v>
      </c>
      <c r="B85" s="4" t="s">
        <v>321</v>
      </c>
      <c r="C85" s="3" t="s">
        <v>322</v>
      </c>
      <c r="D85" s="3" t="s">
        <v>323</v>
      </c>
      <c r="E85" s="3">
        <v>260</v>
      </c>
      <c r="F85" t="s">
        <v>1231</v>
      </c>
    </row>
    <row r="86" spans="1:6" x14ac:dyDescent="0.25">
      <c r="A86" s="3" t="s">
        <v>325</v>
      </c>
      <c r="B86" t="s">
        <v>324</v>
      </c>
      <c r="C86" s="3" t="s">
        <v>325</v>
      </c>
      <c r="D86" s="3" t="s">
        <v>326</v>
      </c>
      <c r="E86" s="3">
        <v>266</v>
      </c>
      <c r="F86" t="s">
        <v>1231</v>
      </c>
    </row>
    <row r="87" spans="1:6" x14ac:dyDescent="0.25">
      <c r="A87" s="3" t="s">
        <v>328</v>
      </c>
      <c r="B87" t="s">
        <v>327</v>
      </c>
      <c r="C87" s="3" t="s">
        <v>328</v>
      </c>
      <c r="D87" s="3" t="s">
        <v>329</v>
      </c>
      <c r="E87" s="3">
        <v>270</v>
      </c>
      <c r="F87" t="s">
        <v>1231</v>
      </c>
    </row>
    <row r="88" spans="1:6" x14ac:dyDescent="0.25">
      <c r="A88" s="3" t="s">
        <v>331</v>
      </c>
      <c r="B88" t="s">
        <v>330</v>
      </c>
      <c r="C88" s="3" t="s">
        <v>331</v>
      </c>
      <c r="D88" s="3" t="s">
        <v>332</v>
      </c>
      <c r="E88" s="3">
        <v>268</v>
      </c>
      <c r="F88" t="s">
        <v>1231</v>
      </c>
    </row>
    <row r="89" spans="1:6" x14ac:dyDescent="0.25">
      <c r="A89" s="3" t="s">
        <v>333</v>
      </c>
      <c r="B89" t="s">
        <v>112</v>
      </c>
      <c r="C89" s="3" t="s">
        <v>333</v>
      </c>
      <c r="D89" s="3" t="s">
        <v>334</v>
      </c>
      <c r="E89" s="3">
        <v>276</v>
      </c>
      <c r="F89" t="s">
        <v>1232</v>
      </c>
    </row>
    <row r="90" spans="1:6" x14ac:dyDescent="0.25">
      <c r="A90" s="3" t="s">
        <v>336</v>
      </c>
      <c r="B90" t="s">
        <v>335</v>
      </c>
      <c r="C90" s="3" t="s">
        <v>336</v>
      </c>
      <c r="D90" s="3" t="s">
        <v>337</v>
      </c>
      <c r="E90" s="3">
        <v>288</v>
      </c>
      <c r="F90" t="s">
        <v>1231</v>
      </c>
    </row>
    <row r="91" spans="1:6" x14ac:dyDescent="0.25">
      <c r="A91" s="3" t="s">
        <v>339</v>
      </c>
      <c r="B91" s="4" t="s">
        <v>338</v>
      </c>
      <c r="C91" s="3" t="s">
        <v>339</v>
      </c>
      <c r="D91" s="3" t="s">
        <v>340</v>
      </c>
      <c r="E91" s="3">
        <v>292</v>
      </c>
      <c r="F91" t="s">
        <v>1231</v>
      </c>
    </row>
    <row r="92" spans="1:6" x14ac:dyDescent="0.25">
      <c r="A92" s="3" t="s">
        <v>341</v>
      </c>
      <c r="B92" t="s">
        <v>116</v>
      </c>
      <c r="C92" s="3" t="s">
        <v>341</v>
      </c>
      <c r="D92" s="3" t="s">
        <v>342</v>
      </c>
      <c r="E92" s="3">
        <v>300</v>
      </c>
      <c r="F92" t="s">
        <v>1232</v>
      </c>
    </row>
    <row r="93" spans="1:6" x14ac:dyDescent="0.25">
      <c r="A93" s="3" t="s">
        <v>344</v>
      </c>
      <c r="B93" t="s">
        <v>343</v>
      </c>
      <c r="C93" s="3" t="s">
        <v>344</v>
      </c>
      <c r="D93" s="3" t="s">
        <v>345</v>
      </c>
      <c r="E93" s="3">
        <v>304</v>
      </c>
      <c r="F93" t="s">
        <v>1231</v>
      </c>
    </row>
    <row r="94" spans="1:6" x14ac:dyDescent="0.25">
      <c r="A94" s="3" t="s">
        <v>347</v>
      </c>
      <c r="B94" t="s">
        <v>346</v>
      </c>
      <c r="C94" s="3" t="s">
        <v>347</v>
      </c>
      <c r="D94" s="3" t="s">
        <v>348</v>
      </c>
      <c r="E94" s="3">
        <v>308</v>
      </c>
      <c r="F94" t="s">
        <v>1231</v>
      </c>
    </row>
    <row r="95" spans="1:6" x14ac:dyDescent="0.25">
      <c r="A95" s="3" t="s">
        <v>350</v>
      </c>
      <c r="B95" t="s">
        <v>349</v>
      </c>
      <c r="C95" s="3" t="s">
        <v>350</v>
      </c>
      <c r="D95" s="3" t="s">
        <v>351</v>
      </c>
      <c r="E95" s="3">
        <v>312</v>
      </c>
      <c r="F95" t="s">
        <v>1231</v>
      </c>
    </row>
    <row r="96" spans="1:6" x14ac:dyDescent="0.25">
      <c r="A96" s="3" t="s">
        <v>353</v>
      </c>
      <c r="B96" t="s">
        <v>352</v>
      </c>
      <c r="C96" s="3" t="s">
        <v>353</v>
      </c>
      <c r="D96" s="3" t="s">
        <v>354</v>
      </c>
      <c r="E96" s="3">
        <v>316</v>
      </c>
      <c r="F96" t="s">
        <v>1231</v>
      </c>
    </row>
    <row r="97" spans="1:6" x14ac:dyDescent="0.25">
      <c r="A97" s="3" t="s">
        <v>356</v>
      </c>
      <c r="B97" t="s">
        <v>355</v>
      </c>
      <c r="C97" s="3" t="s">
        <v>356</v>
      </c>
      <c r="D97" s="3" t="s">
        <v>357</v>
      </c>
      <c r="E97" s="3">
        <v>320</v>
      </c>
      <c r="F97" t="s">
        <v>1231</v>
      </c>
    </row>
    <row r="98" spans="1:6" x14ac:dyDescent="0.25">
      <c r="A98" s="3" t="s">
        <v>359</v>
      </c>
      <c r="B98" s="4" t="s">
        <v>358</v>
      </c>
      <c r="C98" s="3" t="s">
        <v>359</v>
      </c>
      <c r="D98" s="3" t="s">
        <v>360</v>
      </c>
      <c r="E98" s="3">
        <v>831</v>
      </c>
      <c r="F98" t="s">
        <v>1231</v>
      </c>
    </row>
    <row r="99" spans="1:6" x14ac:dyDescent="0.25">
      <c r="A99" s="6" t="s">
        <v>362</v>
      </c>
      <c r="B99" t="s">
        <v>361</v>
      </c>
      <c r="C99" s="6" t="s">
        <v>362</v>
      </c>
      <c r="D99" s="6" t="s">
        <v>363</v>
      </c>
      <c r="E99" s="6">
        <v>324</v>
      </c>
      <c r="F99" t="s">
        <v>1231</v>
      </c>
    </row>
    <row r="100" spans="1:6" x14ac:dyDescent="0.25">
      <c r="A100" s="3" t="s">
        <v>365</v>
      </c>
      <c r="B100" t="s">
        <v>364</v>
      </c>
      <c r="C100" s="3" t="s">
        <v>365</v>
      </c>
      <c r="D100" s="3" t="s">
        <v>366</v>
      </c>
      <c r="E100" s="3">
        <v>624</v>
      </c>
      <c r="F100" t="s">
        <v>1231</v>
      </c>
    </row>
    <row r="101" spans="1:6" x14ac:dyDescent="0.25">
      <c r="A101" s="6" t="s">
        <v>368</v>
      </c>
      <c r="B101" t="s">
        <v>367</v>
      </c>
      <c r="C101" s="6" t="s">
        <v>368</v>
      </c>
      <c r="D101" s="6" t="s">
        <v>369</v>
      </c>
      <c r="E101" s="6">
        <v>328</v>
      </c>
      <c r="F101" t="s">
        <v>1231</v>
      </c>
    </row>
    <row r="102" spans="1:6" x14ac:dyDescent="0.25">
      <c r="A102" s="3" t="s">
        <v>371</v>
      </c>
      <c r="B102" t="s">
        <v>370</v>
      </c>
      <c r="C102" s="3" t="s">
        <v>371</v>
      </c>
      <c r="D102" s="3" t="s">
        <v>372</v>
      </c>
      <c r="E102" s="3">
        <v>332</v>
      </c>
      <c r="F102" t="s">
        <v>1231</v>
      </c>
    </row>
    <row r="103" spans="1:6" x14ac:dyDescent="0.25">
      <c r="A103" s="3" t="s">
        <v>374</v>
      </c>
      <c r="B103" s="4" t="s">
        <v>373</v>
      </c>
      <c r="C103" s="3" t="s">
        <v>374</v>
      </c>
      <c r="D103" s="3" t="s">
        <v>375</v>
      </c>
      <c r="E103" s="3">
        <v>334</v>
      </c>
      <c r="F103" t="s">
        <v>1231</v>
      </c>
    </row>
    <row r="104" spans="1:6" x14ac:dyDescent="0.25">
      <c r="A104" s="6" t="s">
        <v>377</v>
      </c>
      <c r="B104" t="s">
        <v>376</v>
      </c>
      <c r="C104" s="6" t="s">
        <v>377</v>
      </c>
      <c r="D104" s="6" t="s">
        <v>378</v>
      </c>
      <c r="E104" s="6">
        <v>336</v>
      </c>
      <c r="F104" t="s">
        <v>1231</v>
      </c>
    </row>
    <row r="105" spans="1:6" x14ac:dyDescent="0.25">
      <c r="A105" s="3" t="s">
        <v>380</v>
      </c>
      <c r="B105" t="s">
        <v>379</v>
      </c>
      <c r="C105" s="3" t="s">
        <v>380</v>
      </c>
      <c r="D105" s="3" t="s">
        <v>381</v>
      </c>
      <c r="E105" s="3">
        <v>340</v>
      </c>
      <c r="F105" t="s">
        <v>1231</v>
      </c>
    </row>
    <row r="106" spans="1:6" x14ac:dyDescent="0.25">
      <c r="A106" s="6" t="s">
        <v>382</v>
      </c>
      <c r="B106" t="s">
        <v>120</v>
      </c>
      <c r="C106" s="6" t="s">
        <v>382</v>
      </c>
      <c r="D106" s="6" t="s">
        <v>383</v>
      </c>
      <c r="E106" s="6">
        <v>348</v>
      </c>
      <c r="F106" t="s">
        <v>1232</v>
      </c>
    </row>
    <row r="107" spans="1:6" x14ac:dyDescent="0.25">
      <c r="A107" s="3" t="s">
        <v>384</v>
      </c>
      <c r="B107" t="s">
        <v>123</v>
      </c>
      <c r="C107" s="3" t="s">
        <v>384</v>
      </c>
      <c r="D107" s="3" t="s">
        <v>385</v>
      </c>
      <c r="E107" s="3">
        <v>352</v>
      </c>
      <c r="F107" t="s">
        <v>1232</v>
      </c>
    </row>
    <row r="108" spans="1:6" x14ac:dyDescent="0.25">
      <c r="A108" s="6" t="s">
        <v>387</v>
      </c>
      <c r="B108" t="s">
        <v>386</v>
      </c>
      <c r="C108" s="6" t="s">
        <v>387</v>
      </c>
      <c r="D108" s="6" t="s">
        <v>388</v>
      </c>
      <c r="E108" s="6">
        <v>356</v>
      </c>
      <c r="F108" t="s">
        <v>1231</v>
      </c>
    </row>
    <row r="109" spans="1:6" x14ac:dyDescent="0.25">
      <c r="A109" s="3" t="s">
        <v>390</v>
      </c>
      <c r="B109" t="s">
        <v>389</v>
      </c>
      <c r="C109" s="3" t="s">
        <v>390</v>
      </c>
      <c r="D109" s="3" t="s">
        <v>391</v>
      </c>
      <c r="E109" s="3">
        <v>360</v>
      </c>
      <c r="F109" t="s">
        <v>1231</v>
      </c>
    </row>
    <row r="110" spans="1:6" x14ac:dyDescent="0.25">
      <c r="A110" s="6" t="s">
        <v>393</v>
      </c>
      <c r="B110" t="s">
        <v>392</v>
      </c>
      <c r="C110" s="6" t="s">
        <v>393</v>
      </c>
      <c r="D110" s="6" t="s">
        <v>394</v>
      </c>
      <c r="E110" s="6">
        <v>364</v>
      </c>
      <c r="F110" t="s">
        <v>1231</v>
      </c>
    </row>
    <row r="111" spans="1:6" x14ac:dyDescent="0.25">
      <c r="A111" s="3" t="s">
        <v>396</v>
      </c>
      <c r="B111" t="s">
        <v>395</v>
      </c>
      <c r="C111" s="3" t="s">
        <v>396</v>
      </c>
      <c r="D111" s="3" t="s">
        <v>397</v>
      </c>
      <c r="E111" s="3">
        <v>368</v>
      </c>
      <c r="F111" t="s">
        <v>1231</v>
      </c>
    </row>
    <row r="112" spans="1:6" x14ac:dyDescent="0.25">
      <c r="A112" s="6" t="s">
        <v>398</v>
      </c>
      <c r="B112" t="s">
        <v>126</v>
      </c>
      <c r="C112" s="6" t="s">
        <v>398</v>
      </c>
      <c r="D112" s="6" t="s">
        <v>399</v>
      </c>
      <c r="E112" s="6">
        <v>372</v>
      </c>
      <c r="F112" t="s">
        <v>1232</v>
      </c>
    </row>
    <row r="113" spans="1:6" x14ac:dyDescent="0.25">
      <c r="A113" s="3" t="s">
        <v>401</v>
      </c>
      <c r="B113" s="4" t="s">
        <v>400</v>
      </c>
      <c r="C113" s="3" t="s">
        <v>401</v>
      </c>
      <c r="D113" s="3" t="s">
        <v>402</v>
      </c>
      <c r="E113" s="3">
        <v>833</v>
      </c>
      <c r="F113" t="s">
        <v>1231</v>
      </c>
    </row>
    <row r="114" spans="1:6" x14ac:dyDescent="0.25">
      <c r="A114" s="6" t="s">
        <v>404</v>
      </c>
      <c r="B114" t="s">
        <v>403</v>
      </c>
      <c r="C114" s="6" t="s">
        <v>404</v>
      </c>
      <c r="D114" s="6" t="s">
        <v>405</v>
      </c>
      <c r="E114" s="6">
        <v>376</v>
      </c>
      <c r="F114" t="s">
        <v>1232</v>
      </c>
    </row>
    <row r="115" spans="1:6" x14ac:dyDescent="0.25">
      <c r="A115" s="3" t="s">
        <v>406</v>
      </c>
      <c r="B115" t="s">
        <v>20</v>
      </c>
      <c r="C115" s="3" t="s">
        <v>406</v>
      </c>
      <c r="D115" s="3" t="s">
        <v>407</v>
      </c>
      <c r="E115" s="3">
        <v>380</v>
      </c>
      <c r="F115" t="s">
        <v>1232</v>
      </c>
    </row>
    <row r="116" spans="1:6" x14ac:dyDescent="0.25">
      <c r="A116" s="6" t="s">
        <v>409</v>
      </c>
      <c r="B116" t="s">
        <v>408</v>
      </c>
      <c r="C116" s="6" t="s">
        <v>409</v>
      </c>
      <c r="D116" s="6" t="s">
        <v>410</v>
      </c>
      <c r="E116" s="6">
        <v>388</v>
      </c>
      <c r="F116" t="s">
        <v>1231</v>
      </c>
    </row>
    <row r="117" spans="1:6" x14ac:dyDescent="0.25">
      <c r="A117" s="3" t="s">
        <v>412</v>
      </c>
      <c r="B117" t="s">
        <v>411</v>
      </c>
      <c r="C117" s="3" t="s">
        <v>412</v>
      </c>
      <c r="D117" s="3" t="s">
        <v>413</v>
      </c>
      <c r="E117" s="3">
        <v>392</v>
      </c>
      <c r="F117" t="s">
        <v>1232</v>
      </c>
    </row>
    <row r="118" spans="1:6" x14ac:dyDescent="0.25">
      <c r="A118" s="6" t="s">
        <v>415</v>
      </c>
      <c r="B118" s="7" t="s">
        <v>414</v>
      </c>
      <c r="C118" s="6" t="s">
        <v>415</v>
      </c>
      <c r="D118" s="6" t="s">
        <v>416</v>
      </c>
      <c r="E118" s="6">
        <v>832</v>
      </c>
      <c r="F118" t="s">
        <v>1231</v>
      </c>
    </row>
    <row r="119" spans="1:6" x14ac:dyDescent="0.25">
      <c r="A119" s="3" t="s">
        <v>418</v>
      </c>
      <c r="B119" t="s">
        <v>417</v>
      </c>
      <c r="C119" s="3" t="s">
        <v>418</v>
      </c>
      <c r="D119" s="3" t="s">
        <v>419</v>
      </c>
      <c r="E119" s="3">
        <v>400</v>
      </c>
      <c r="F119" t="s">
        <v>1231</v>
      </c>
    </row>
    <row r="120" spans="1:6" x14ac:dyDescent="0.25">
      <c r="A120" s="3" t="s">
        <v>421</v>
      </c>
      <c r="B120" t="s">
        <v>420</v>
      </c>
      <c r="C120" s="3" t="s">
        <v>421</v>
      </c>
      <c r="D120" s="3" t="s">
        <v>422</v>
      </c>
      <c r="E120" s="3">
        <v>398</v>
      </c>
      <c r="F120" t="s">
        <v>1231</v>
      </c>
    </row>
    <row r="121" spans="1:6" x14ac:dyDescent="0.25">
      <c r="A121" s="3" t="s">
        <v>424</v>
      </c>
      <c r="B121" t="s">
        <v>423</v>
      </c>
      <c r="C121" s="3" t="s">
        <v>424</v>
      </c>
      <c r="D121" s="3" t="s">
        <v>425</v>
      </c>
      <c r="E121" s="3">
        <v>404</v>
      </c>
      <c r="F121" t="s">
        <v>1231</v>
      </c>
    </row>
    <row r="122" spans="1:6" x14ac:dyDescent="0.25">
      <c r="A122" s="3" t="s">
        <v>427</v>
      </c>
      <c r="B122" t="s">
        <v>426</v>
      </c>
      <c r="C122" s="3" t="s">
        <v>427</v>
      </c>
      <c r="D122" s="3" t="s">
        <v>428</v>
      </c>
      <c r="E122" s="3">
        <v>296</v>
      </c>
      <c r="F122" t="s">
        <v>1231</v>
      </c>
    </row>
    <row r="123" spans="1:6" x14ac:dyDescent="0.25">
      <c r="A123" s="3" t="s">
        <v>430</v>
      </c>
      <c r="B123" t="s">
        <v>429</v>
      </c>
      <c r="C123" s="3" t="s">
        <v>430</v>
      </c>
      <c r="D123" s="3" t="s">
        <v>431</v>
      </c>
      <c r="E123" s="3">
        <v>408</v>
      </c>
      <c r="F123" t="s">
        <v>1231</v>
      </c>
    </row>
    <row r="124" spans="1:6" x14ac:dyDescent="0.25">
      <c r="A124" s="3" t="s">
        <v>433</v>
      </c>
      <c r="B124" t="s">
        <v>432</v>
      </c>
      <c r="C124" s="3" t="s">
        <v>433</v>
      </c>
      <c r="D124" s="3" t="s">
        <v>434</v>
      </c>
      <c r="E124" s="3">
        <v>410</v>
      </c>
      <c r="F124" t="s">
        <v>1232</v>
      </c>
    </row>
    <row r="125" spans="1:6" x14ac:dyDescent="0.25">
      <c r="A125" s="3" t="s">
        <v>436</v>
      </c>
      <c r="B125" t="s">
        <v>435</v>
      </c>
      <c r="C125" s="3" t="s">
        <v>436</v>
      </c>
      <c r="D125" s="3" t="s">
        <v>437</v>
      </c>
      <c r="E125" s="3">
        <v>414</v>
      </c>
      <c r="F125" t="s">
        <v>1231</v>
      </c>
    </row>
    <row r="126" spans="1:6" x14ac:dyDescent="0.25">
      <c r="A126" s="3" t="s">
        <v>439</v>
      </c>
      <c r="B126" t="s">
        <v>438</v>
      </c>
      <c r="C126" s="3" t="s">
        <v>439</v>
      </c>
      <c r="D126" s="3" t="s">
        <v>440</v>
      </c>
      <c r="E126" s="3">
        <v>417</v>
      </c>
      <c r="F126" t="s">
        <v>1231</v>
      </c>
    </row>
    <row r="127" spans="1:6" x14ac:dyDescent="0.25">
      <c r="A127" s="3" t="s">
        <v>442</v>
      </c>
      <c r="B127" t="s">
        <v>441</v>
      </c>
      <c r="C127" s="3" t="s">
        <v>442</v>
      </c>
      <c r="D127" s="3" t="s">
        <v>443</v>
      </c>
      <c r="E127" s="3">
        <v>418</v>
      </c>
      <c r="F127" t="s">
        <v>1231</v>
      </c>
    </row>
    <row r="128" spans="1:6" x14ac:dyDescent="0.25">
      <c r="A128" s="3" t="s">
        <v>444</v>
      </c>
      <c r="B128" t="s">
        <v>133</v>
      </c>
      <c r="C128" s="3" t="s">
        <v>444</v>
      </c>
      <c r="D128" s="3" t="s">
        <v>445</v>
      </c>
      <c r="E128" s="3">
        <v>428</v>
      </c>
      <c r="F128" t="s">
        <v>1232</v>
      </c>
    </row>
    <row r="129" spans="1:6" x14ac:dyDescent="0.25">
      <c r="A129" s="3" t="s">
        <v>447</v>
      </c>
      <c r="B129" t="s">
        <v>446</v>
      </c>
      <c r="C129" s="3" t="s">
        <v>447</v>
      </c>
      <c r="D129" s="3" t="s">
        <v>448</v>
      </c>
      <c r="E129" s="3">
        <v>422</v>
      </c>
      <c r="F129" t="s">
        <v>1231</v>
      </c>
    </row>
    <row r="130" spans="1:6" x14ac:dyDescent="0.25">
      <c r="A130" s="3" t="s">
        <v>450</v>
      </c>
      <c r="B130" t="s">
        <v>449</v>
      </c>
      <c r="C130" s="3" t="s">
        <v>450</v>
      </c>
      <c r="D130" s="3" t="s">
        <v>451</v>
      </c>
      <c r="E130" s="3">
        <v>426</v>
      </c>
      <c r="F130" t="s">
        <v>1231</v>
      </c>
    </row>
    <row r="131" spans="1:6" x14ac:dyDescent="0.25">
      <c r="A131" s="3" t="s">
        <v>453</v>
      </c>
      <c r="B131" t="s">
        <v>452</v>
      </c>
      <c r="C131" s="3" t="s">
        <v>453</v>
      </c>
      <c r="D131" s="3" t="s">
        <v>454</v>
      </c>
      <c r="E131" s="3">
        <v>430</v>
      </c>
      <c r="F131" t="s">
        <v>1231</v>
      </c>
    </row>
    <row r="132" spans="1:6" x14ac:dyDescent="0.25">
      <c r="A132" s="3" t="s">
        <v>456</v>
      </c>
      <c r="B132" t="s">
        <v>455</v>
      </c>
      <c r="C132" s="3" t="s">
        <v>456</v>
      </c>
      <c r="D132" s="3" t="s">
        <v>457</v>
      </c>
      <c r="E132" s="3">
        <v>434</v>
      </c>
      <c r="F132" t="s">
        <v>1231</v>
      </c>
    </row>
    <row r="133" spans="1:6" x14ac:dyDescent="0.25">
      <c r="A133" s="3" t="s">
        <v>458</v>
      </c>
      <c r="B133" t="s">
        <v>137</v>
      </c>
      <c r="C133" s="3" t="s">
        <v>458</v>
      </c>
      <c r="D133" s="3" t="s">
        <v>459</v>
      </c>
      <c r="E133" s="3">
        <v>438</v>
      </c>
      <c r="F133" t="s">
        <v>1232</v>
      </c>
    </row>
    <row r="134" spans="1:6" x14ac:dyDescent="0.25">
      <c r="A134" s="3" t="s">
        <v>460</v>
      </c>
      <c r="B134" t="s">
        <v>141</v>
      </c>
      <c r="C134" s="3" t="s">
        <v>460</v>
      </c>
      <c r="D134" s="3" t="s">
        <v>461</v>
      </c>
      <c r="E134" s="3">
        <v>440</v>
      </c>
      <c r="F134" t="s">
        <v>1232</v>
      </c>
    </row>
    <row r="135" spans="1:6" x14ac:dyDescent="0.25">
      <c r="A135" s="3" t="s">
        <v>462</v>
      </c>
      <c r="B135" t="s">
        <v>145</v>
      </c>
      <c r="C135" s="3" t="s">
        <v>462</v>
      </c>
      <c r="D135" s="3" t="s">
        <v>63</v>
      </c>
      <c r="E135" s="3">
        <v>442</v>
      </c>
      <c r="F135" t="s">
        <v>1232</v>
      </c>
    </row>
    <row r="136" spans="1:6" x14ac:dyDescent="0.25">
      <c r="A136" s="6" t="s">
        <v>464</v>
      </c>
      <c r="B136" t="s">
        <v>463</v>
      </c>
      <c r="C136" s="6" t="s">
        <v>464</v>
      </c>
      <c r="D136" s="6" t="s">
        <v>465</v>
      </c>
      <c r="E136" s="6">
        <v>807</v>
      </c>
      <c r="F136" t="s">
        <v>1231</v>
      </c>
    </row>
    <row r="137" spans="1:6" x14ac:dyDescent="0.25">
      <c r="A137" s="3" t="s">
        <v>467</v>
      </c>
      <c r="B137" t="s">
        <v>466</v>
      </c>
      <c r="C137" s="3" t="s">
        <v>467</v>
      </c>
      <c r="D137" s="3" t="s">
        <v>468</v>
      </c>
      <c r="E137" s="3">
        <v>450</v>
      </c>
      <c r="F137" t="s">
        <v>1231</v>
      </c>
    </row>
    <row r="138" spans="1:6" x14ac:dyDescent="0.25">
      <c r="A138" s="3" t="s">
        <v>470</v>
      </c>
      <c r="B138" t="s">
        <v>469</v>
      </c>
      <c r="C138" s="3" t="s">
        <v>470</v>
      </c>
      <c r="D138" s="3" t="s">
        <v>471</v>
      </c>
      <c r="E138" s="3">
        <v>454</v>
      </c>
      <c r="F138" t="s">
        <v>1231</v>
      </c>
    </row>
    <row r="139" spans="1:6" x14ac:dyDescent="0.25">
      <c r="A139" s="3" t="s">
        <v>473</v>
      </c>
      <c r="B139" t="s">
        <v>472</v>
      </c>
      <c r="C139" s="3" t="s">
        <v>473</v>
      </c>
      <c r="D139" s="3" t="s">
        <v>474</v>
      </c>
      <c r="E139" s="3">
        <v>458</v>
      </c>
      <c r="F139" t="s">
        <v>1231</v>
      </c>
    </row>
    <row r="140" spans="1:6" x14ac:dyDescent="0.25">
      <c r="A140" s="3" t="s">
        <v>476</v>
      </c>
      <c r="B140" t="s">
        <v>475</v>
      </c>
      <c r="C140" s="3" t="s">
        <v>476</v>
      </c>
      <c r="D140" s="3" t="s">
        <v>477</v>
      </c>
      <c r="E140" s="3">
        <v>462</v>
      </c>
      <c r="F140" t="s">
        <v>1231</v>
      </c>
    </row>
    <row r="141" spans="1:6" x14ac:dyDescent="0.25">
      <c r="A141" s="3" t="s">
        <v>479</v>
      </c>
      <c r="B141" t="s">
        <v>478</v>
      </c>
      <c r="C141" s="3" t="s">
        <v>479</v>
      </c>
      <c r="D141" s="3" t="s">
        <v>480</v>
      </c>
      <c r="E141" s="3">
        <v>466</v>
      </c>
      <c r="F141" t="s">
        <v>1231</v>
      </c>
    </row>
    <row r="142" spans="1:6" x14ac:dyDescent="0.25">
      <c r="A142" s="3" t="s">
        <v>481</v>
      </c>
      <c r="B142" t="s">
        <v>149</v>
      </c>
      <c r="C142" s="3" t="s">
        <v>481</v>
      </c>
      <c r="D142" s="3" t="s">
        <v>482</v>
      </c>
      <c r="E142" s="3">
        <v>470</v>
      </c>
      <c r="F142" t="s">
        <v>1232</v>
      </c>
    </row>
    <row r="143" spans="1:6" x14ac:dyDescent="0.25">
      <c r="A143" s="3" t="s">
        <v>484</v>
      </c>
      <c r="B143" t="s">
        <v>483</v>
      </c>
      <c r="C143" s="3" t="s">
        <v>484</v>
      </c>
      <c r="D143" s="3" t="s">
        <v>485</v>
      </c>
      <c r="E143" s="3">
        <v>584</v>
      </c>
      <c r="F143" t="s">
        <v>1231</v>
      </c>
    </row>
    <row r="144" spans="1:6" x14ac:dyDescent="0.25">
      <c r="A144" s="3" t="s">
        <v>487</v>
      </c>
      <c r="B144" t="s">
        <v>486</v>
      </c>
      <c r="C144" s="3" t="s">
        <v>487</v>
      </c>
      <c r="D144" s="3" t="s">
        <v>488</v>
      </c>
      <c r="E144" s="3">
        <v>474</v>
      </c>
      <c r="F144" t="s">
        <v>1231</v>
      </c>
    </row>
    <row r="145" spans="1:6" x14ac:dyDescent="0.25">
      <c r="A145" s="3" t="s">
        <v>490</v>
      </c>
      <c r="B145" t="s">
        <v>489</v>
      </c>
      <c r="C145" s="3" t="s">
        <v>490</v>
      </c>
      <c r="D145" s="3" t="s">
        <v>491</v>
      </c>
      <c r="E145" s="3">
        <v>478</v>
      </c>
      <c r="F145" t="s">
        <v>1231</v>
      </c>
    </row>
    <row r="146" spans="1:6" x14ac:dyDescent="0.25">
      <c r="A146" s="3" t="s">
        <v>493</v>
      </c>
      <c r="B146" t="s">
        <v>492</v>
      </c>
      <c r="C146" s="3" t="s">
        <v>493</v>
      </c>
      <c r="D146" s="3" t="s">
        <v>494</v>
      </c>
      <c r="E146" s="3">
        <v>480</v>
      </c>
      <c r="F146" t="s">
        <v>1231</v>
      </c>
    </row>
    <row r="147" spans="1:6" x14ac:dyDescent="0.25">
      <c r="A147" s="3" t="s">
        <v>496</v>
      </c>
      <c r="B147" s="4" t="s">
        <v>495</v>
      </c>
      <c r="C147" s="3" t="s">
        <v>496</v>
      </c>
      <c r="D147" s="3" t="s">
        <v>497</v>
      </c>
      <c r="E147" s="3">
        <v>175</v>
      </c>
      <c r="F147" t="s">
        <v>1231</v>
      </c>
    </row>
    <row r="148" spans="1:6" x14ac:dyDescent="0.25">
      <c r="A148" s="3" t="s">
        <v>499</v>
      </c>
      <c r="B148" t="s">
        <v>498</v>
      </c>
      <c r="C148" s="3" t="s">
        <v>499</v>
      </c>
      <c r="D148" s="3" t="s">
        <v>500</v>
      </c>
      <c r="E148" s="3">
        <v>484</v>
      </c>
      <c r="F148" t="s">
        <v>1232</v>
      </c>
    </row>
    <row r="149" spans="1:6" x14ac:dyDescent="0.25">
      <c r="A149" s="3" t="s">
        <v>502</v>
      </c>
      <c r="B149" t="s">
        <v>501</v>
      </c>
      <c r="C149" s="3" t="s">
        <v>502</v>
      </c>
      <c r="D149" s="3" t="s">
        <v>503</v>
      </c>
      <c r="E149" s="3">
        <v>583</v>
      </c>
      <c r="F149" t="s">
        <v>1231</v>
      </c>
    </row>
    <row r="150" spans="1:6" x14ac:dyDescent="0.25">
      <c r="A150" s="3" t="s">
        <v>505</v>
      </c>
      <c r="B150" t="s">
        <v>504</v>
      </c>
      <c r="C150" s="3" t="s">
        <v>505</v>
      </c>
      <c r="D150" s="3" t="s">
        <v>506</v>
      </c>
      <c r="E150" s="3">
        <v>498</v>
      </c>
      <c r="F150" t="s">
        <v>1231</v>
      </c>
    </row>
    <row r="151" spans="1:6" x14ac:dyDescent="0.25">
      <c r="A151" s="3" t="s">
        <v>508</v>
      </c>
      <c r="B151" t="s">
        <v>507</v>
      </c>
      <c r="C151" s="3" t="s">
        <v>508</v>
      </c>
      <c r="D151" s="3" t="s">
        <v>509</v>
      </c>
      <c r="E151" s="3">
        <v>492</v>
      </c>
      <c r="F151" t="s">
        <v>1231</v>
      </c>
    </row>
    <row r="152" spans="1:6" x14ac:dyDescent="0.25">
      <c r="A152" s="3" t="s">
        <v>511</v>
      </c>
      <c r="B152" t="s">
        <v>510</v>
      </c>
      <c r="C152" s="3" t="s">
        <v>511</v>
      </c>
      <c r="D152" s="3" t="s">
        <v>512</v>
      </c>
      <c r="E152" s="3">
        <v>496</v>
      </c>
      <c r="F152" t="s">
        <v>1231</v>
      </c>
    </row>
    <row r="153" spans="1:6" x14ac:dyDescent="0.25">
      <c r="A153" s="3" t="s">
        <v>514</v>
      </c>
      <c r="B153" t="s">
        <v>513</v>
      </c>
      <c r="C153" s="3" t="s">
        <v>514</v>
      </c>
      <c r="D153" s="3" t="s">
        <v>515</v>
      </c>
      <c r="E153" s="3">
        <v>499</v>
      </c>
      <c r="F153" t="s">
        <v>1231</v>
      </c>
    </row>
    <row r="154" spans="1:6" x14ac:dyDescent="0.25">
      <c r="A154" s="3" t="s">
        <v>517</v>
      </c>
      <c r="B154" t="s">
        <v>516</v>
      </c>
      <c r="C154" s="3" t="s">
        <v>517</v>
      </c>
      <c r="D154" s="3" t="s">
        <v>518</v>
      </c>
      <c r="E154" s="3">
        <v>500</v>
      </c>
      <c r="F154" t="s">
        <v>1231</v>
      </c>
    </row>
    <row r="155" spans="1:6" x14ac:dyDescent="0.25">
      <c r="A155" s="3" t="s">
        <v>520</v>
      </c>
      <c r="B155" t="s">
        <v>519</v>
      </c>
      <c r="C155" s="3" t="s">
        <v>520</v>
      </c>
      <c r="D155" s="3" t="s">
        <v>521</v>
      </c>
      <c r="E155" s="3">
        <v>504</v>
      </c>
      <c r="F155" t="s">
        <v>1231</v>
      </c>
    </row>
    <row r="156" spans="1:6" x14ac:dyDescent="0.25">
      <c r="A156" s="3" t="s">
        <v>523</v>
      </c>
      <c r="B156" t="s">
        <v>522</v>
      </c>
      <c r="C156" s="3" t="s">
        <v>523</v>
      </c>
      <c r="D156" s="3" t="s">
        <v>524</v>
      </c>
      <c r="E156" s="3">
        <v>508</v>
      </c>
      <c r="F156" t="s">
        <v>1231</v>
      </c>
    </row>
    <row r="157" spans="1:6" x14ac:dyDescent="0.25">
      <c r="A157" s="3" t="s">
        <v>526</v>
      </c>
      <c r="B157" t="s">
        <v>525</v>
      </c>
      <c r="C157" s="3" t="s">
        <v>526</v>
      </c>
      <c r="D157" s="3" t="s">
        <v>527</v>
      </c>
      <c r="E157" s="3">
        <v>104</v>
      </c>
      <c r="F157" t="s">
        <v>1231</v>
      </c>
    </row>
    <row r="158" spans="1:6" x14ac:dyDescent="0.25">
      <c r="A158" s="3" t="s">
        <v>529</v>
      </c>
      <c r="B158" t="s">
        <v>528</v>
      </c>
      <c r="C158" s="3" t="s">
        <v>529</v>
      </c>
      <c r="D158" s="3" t="s">
        <v>530</v>
      </c>
      <c r="E158" s="3">
        <v>516</v>
      </c>
      <c r="F158" t="s">
        <v>1231</v>
      </c>
    </row>
    <row r="159" spans="1:6" x14ac:dyDescent="0.25">
      <c r="A159" s="3" t="s">
        <v>41</v>
      </c>
      <c r="B159" t="s">
        <v>531</v>
      </c>
      <c r="C159" s="3" t="s">
        <v>41</v>
      </c>
      <c r="D159" s="3" t="s">
        <v>532</v>
      </c>
      <c r="E159" s="3">
        <v>520</v>
      </c>
      <c r="F159" t="s">
        <v>1231</v>
      </c>
    </row>
    <row r="160" spans="1:6" x14ac:dyDescent="0.25">
      <c r="A160" s="3" t="s">
        <v>534</v>
      </c>
      <c r="B160" t="s">
        <v>533</v>
      </c>
      <c r="C160" s="3" t="s">
        <v>534</v>
      </c>
      <c r="D160" s="3" t="s">
        <v>535</v>
      </c>
      <c r="E160" s="3">
        <v>524</v>
      </c>
      <c r="F160" t="s">
        <v>1231</v>
      </c>
    </row>
    <row r="161" spans="1:6" x14ac:dyDescent="0.25">
      <c r="A161" s="3" t="s">
        <v>536</v>
      </c>
      <c r="B161" t="s">
        <v>152</v>
      </c>
      <c r="C161" s="3" t="s">
        <v>536</v>
      </c>
      <c r="D161" s="3" t="s">
        <v>537</v>
      </c>
      <c r="E161" s="3">
        <v>528</v>
      </c>
      <c r="F161" t="s">
        <v>1232</v>
      </c>
    </row>
    <row r="162" spans="1:6" x14ac:dyDescent="0.25">
      <c r="A162" s="3" t="s">
        <v>539</v>
      </c>
      <c r="B162" t="s">
        <v>538</v>
      </c>
      <c r="C162" s="3" t="s">
        <v>539</v>
      </c>
      <c r="D162" s="3" t="s">
        <v>540</v>
      </c>
      <c r="E162" s="3">
        <v>530</v>
      </c>
      <c r="F162" t="s">
        <v>1231</v>
      </c>
    </row>
    <row r="163" spans="1:6" x14ac:dyDescent="0.25">
      <c r="A163" s="3" t="s">
        <v>542</v>
      </c>
      <c r="B163" t="s">
        <v>541</v>
      </c>
      <c r="C163" s="3" t="s">
        <v>542</v>
      </c>
      <c r="D163" s="3" t="s">
        <v>543</v>
      </c>
      <c r="E163" s="3">
        <v>540</v>
      </c>
      <c r="F163" t="s">
        <v>1231</v>
      </c>
    </row>
    <row r="164" spans="1:6" x14ac:dyDescent="0.25">
      <c r="A164" s="3" t="s">
        <v>545</v>
      </c>
      <c r="B164" t="s">
        <v>544</v>
      </c>
      <c r="C164" s="3" t="s">
        <v>545</v>
      </c>
      <c r="D164" s="3" t="s">
        <v>546</v>
      </c>
      <c r="E164" s="3">
        <v>554</v>
      </c>
      <c r="F164" t="s">
        <v>1232</v>
      </c>
    </row>
    <row r="165" spans="1:6" x14ac:dyDescent="0.25">
      <c r="A165" s="3" t="s">
        <v>548</v>
      </c>
      <c r="B165" t="s">
        <v>547</v>
      </c>
      <c r="C165" s="3" t="s">
        <v>548</v>
      </c>
      <c r="D165" s="3" t="s">
        <v>549</v>
      </c>
      <c r="E165" s="3">
        <v>558</v>
      </c>
      <c r="F165" t="s">
        <v>1231</v>
      </c>
    </row>
    <row r="166" spans="1:6" x14ac:dyDescent="0.25">
      <c r="A166" s="3" t="s">
        <v>551</v>
      </c>
      <c r="B166" t="s">
        <v>550</v>
      </c>
      <c r="C166" s="3" t="s">
        <v>551</v>
      </c>
      <c r="D166" s="3" t="s">
        <v>552</v>
      </c>
      <c r="E166" s="3">
        <v>562</v>
      </c>
      <c r="F166" t="s">
        <v>1231</v>
      </c>
    </row>
    <row r="167" spans="1:6" x14ac:dyDescent="0.25">
      <c r="A167" s="3" t="s">
        <v>554</v>
      </c>
      <c r="B167" t="s">
        <v>553</v>
      </c>
      <c r="C167" s="3" t="s">
        <v>554</v>
      </c>
      <c r="D167" s="3" t="s">
        <v>555</v>
      </c>
      <c r="E167" s="3">
        <v>566</v>
      </c>
      <c r="F167" t="s">
        <v>1231</v>
      </c>
    </row>
    <row r="168" spans="1:6" x14ac:dyDescent="0.25">
      <c r="A168" s="3" t="s">
        <v>557</v>
      </c>
      <c r="B168" s="4" t="s">
        <v>556</v>
      </c>
      <c r="C168" s="3" t="s">
        <v>557</v>
      </c>
      <c r="D168" s="3" t="s">
        <v>558</v>
      </c>
      <c r="E168" s="3">
        <v>570</v>
      </c>
      <c r="F168" t="s">
        <v>1231</v>
      </c>
    </row>
    <row r="169" spans="1:6" x14ac:dyDescent="0.25">
      <c r="A169" s="3" t="s">
        <v>560</v>
      </c>
      <c r="B169" s="4" t="s">
        <v>559</v>
      </c>
      <c r="C169" s="3" t="s">
        <v>560</v>
      </c>
      <c r="D169" s="3" t="s">
        <v>561</v>
      </c>
      <c r="E169" s="3">
        <v>574</v>
      </c>
      <c r="F169" t="s">
        <v>1231</v>
      </c>
    </row>
    <row r="170" spans="1:6" x14ac:dyDescent="0.25">
      <c r="A170" s="3" t="s">
        <v>563</v>
      </c>
      <c r="B170" t="s">
        <v>562</v>
      </c>
      <c r="C170" s="3" t="s">
        <v>563</v>
      </c>
      <c r="D170" s="3" t="s">
        <v>564</v>
      </c>
      <c r="E170" s="3">
        <v>580</v>
      </c>
      <c r="F170" t="s">
        <v>1231</v>
      </c>
    </row>
    <row r="171" spans="1:6" x14ac:dyDescent="0.25">
      <c r="A171" s="3" t="s">
        <v>565</v>
      </c>
      <c r="B171" t="s">
        <v>156</v>
      </c>
      <c r="C171" s="3" t="s">
        <v>565</v>
      </c>
      <c r="D171" s="3" t="s">
        <v>566</v>
      </c>
      <c r="E171" s="3">
        <v>578</v>
      </c>
      <c r="F171" t="s">
        <v>1232</v>
      </c>
    </row>
    <row r="172" spans="1:6" x14ac:dyDescent="0.25">
      <c r="A172" s="3" t="s">
        <v>568</v>
      </c>
      <c r="B172" t="s">
        <v>567</v>
      </c>
      <c r="C172" s="3" t="s">
        <v>568</v>
      </c>
      <c r="D172" s="3" t="s">
        <v>569</v>
      </c>
      <c r="E172" s="3">
        <v>512</v>
      </c>
      <c r="F172" t="s">
        <v>1231</v>
      </c>
    </row>
    <row r="173" spans="1:6" x14ac:dyDescent="0.25">
      <c r="A173" s="3" t="s">
        <v>571</v>
      </c>
      <c r="B173" t="s">
        <v>570</v>
      </c>
      <c r="C173" s="3" t="s">
        <v>571</v>
      </c>
      <c r="D173" s="3" t="s">
        <v>572</v>
      </c>
      <c r="E173" s="3">
        <v>586</v>
      </c>
      <c r="F173" t="s">
        <v>1231</v>
      </c>
    </row>
    <row r="174" spans="1:6" x14ac:dyDescent="0.25">
      <c r="A174" s="3" t="s">
        <v>574</v>
      </c>
      <c r="B174" t="s">
        <v>573</v>
      </c>
      <c r="C174" s="3" t="s">
        <v>574</v>
      </c>
      <c r="D174" s="3" t="s">
        <v>575</v>
      </c>
      <c r="E174" s="3">
        <v>585</v>
      </c>
      <c r="F174" t="s">
        <v>1231</v>
      </c>
    </row>
    <row r="175" spans="1:6" x14ac:dyDescent="0.25">
      <c r="A175" s="3" t="s">
        <v>577</v>
      </c>
      <c r="B175" t="s">
        <v>576</v>
      </c>
      <c r="C175" s="3" t="s">
        <v>577</v>
      </c>
      <c r="D175" s="3" t="s">
        <v>578</v>
      </c>
      <c r="E175" s="3">
        <v>275</v>
      </c>
      <c r="F175" t="s">
        <v>1231</v>
      </c>
    </row>
    <row r="176" spans="1:6" x14ac:dyDescent="0.25">
      <c r="A176" s="3" t="s">
        <v>580</v>
      </c>
      <c r="B176" t="s">
        <v>579</v>
      </c>
      <c r="C176" s="3" t="s">
        <v>580</v>
      </c>
      <c r="D176" s="3" t="s">
        <v>581</v>
      </c>
      <c r="E176" s="3">
        <v>591</v>
      </c>
      <c r="F176" t="s">
        <v>1231</v>
      </c>
    </row>
    <row r="177" spans="1:6" x14ac:dyDescent="0.25">
      <c r="A177" s="3" t="s">
        <v>583</v>
      </c>
      <c r="B177" t="s">
        <v>582</v>
      </c>
      <c r="C177" s="3" t="s">
        <v>583</v>
      </c>
      <c r="D177" s="3" t="s">
        <v>584</v>
      </c>
      <c r="E177" s="3">
        <v>598</v>
      </c>
      <c r="F177" t="s">
        <v>1231</v>
      </c>
    </row>
    <row r="178" spans="1:6" x14ac:dyDescent="0.25">
      <c r="A178" s="3" t="s">
        <v>586</v>
      </c>
      <c r="B178" t="s">
        <v>585</v>
      </c>
      <c r="C178" s="3" t="s">
        <v>586</v>
      </c>
      <c r="D178" s="3" t="s">
        <v>587</v>
      </c>
      <c r="E178" s="3">
        <v>600</v>
      </c>
      <c r="F178" t="s">
        <v>1231</v>
      </c>
    </row>
    <row r="179" spans="1:6" x14ac:dyDescent="0.25">
      <c r="A179" s="3" t="s">
        <v>588</v>
      </c>
      <c r="B179" t="s">
        <v>36</v>
      </c>
      <c r="C179" s="3" t="s">
        <v>588</v>
      </c>
      <c r="D179" s="3" t="s">
        <v>589</v>
      </c>
      <c r="E179" s="3">
        <v>604</v>
      </c>
      <c r="F179" t="s">
        <v>1231</v>
      </c>
    </row>
    <row r="180" spans="1:6" x14ac:dyDescent="0.25">
      <c r="A180" s="3" t="s">
        <v>591</v>
      </c>
      <c r="B180" t="s">
        <v>590</v>
      </c>
      <c r="C180" s="3" t="s">
        <v>591</v>
      </c>
      <c r="D180" s="3" t="s">
        <v>592</v>
      </c>
      <c r="E180" s="3">
        <v>608</v>
      </c>
      <c r="F180" t="s">
        <v>1231</v>
      </c>
    </row>
    <row r="181" spans="1:6" x14ac:dyDescent="0.25">
      <c r="A181" s="3" t="s">
        <v>594</v>
      </c>
      <c r="B181" t="s">
        <v>593</v>
      </c>
      <c r="C181" s="3" t="s">
        <v>594</v>
      </c>
      <c r="D181" s="3" t="s">
        <v>595</v>
      </c>
      <c r="E181" s="3">
        <v>612</v>
      </c>
      <c r="F181" t="s">
        <v>1231</v>
      </c>
    </row>
    <row r="182" spans="1:6" x14ac:dyDescent="0.25">
      <c r="A182" s="3" t="s">
        <v>596</v>
      </c>
      <c r="B182" t="s">
        <v>25</v>
      </c>
      <c r="C182" s="3" t="s">
        <v>596</v>
      </c>
      <c r="D182" s="3" t="s">
        <v>597</v>
      </c>
      <c r="E182" s="3">
        <v>616</v>
      </c>
      <c r="F182" t="s">
        <v>1232</v>
      </c>
    </row>
    <row r="183" spans="1:6" x14ac:dyDescent="0.25">
      <c r="A183" s="3" t="s">
        <v>598</v>
      </c>
      <c r="B183" t="s">
        <v>30</v>
      </c>
      <c r="C183" s="3" t="s">
        <v>598</v>
      </c>
      <c r="D183" s="3" t="s">
        <v>599</v>
      </c>
      <c r="E183" s="3">
        <v>620</v>
      </c>
      <c r="F183" t="s">
        <v>1232</v>
      </c>
    </row>
    <row r="184" spans="1:6" x14ac:dyDescent="0.25">
      <c r="A184" s="3" t="s">
        <v>601</v>
      </c>
      <c r="B184" t="s">
        <v>600</v>
      </c>
      <c r="C184" s="3" t="s">
        <v>601</v>
      </c>
      <c r="D184" s="3" t="s">
        <v>602</v>
      </c>
      <c r="E184" s="3">
        <v>630</v>
      </c>
      <c r="F184" t="s">
        <v>1231</v>
      </c>
    </row>
    <row r="185" spans="1:6" x14ac:dyDescent="0.25">
      <c r="A185" s="3" t="s">
        <v>604</v>
      </c>
      <c r="B185" t="s">
        <v>603</v>
      </c>
      <c r="C185" s="3" t="s">
        <v>604</v>
      </c>
      <c r="D185" s="3" t="s">
        <v>605</v>
      </c>
      <c r="E185" s="3">
        <v>634</v>
      </c>
      <c r="F185" t="s">
        <v>1231</v>
      </c>
    </row>
    <row r="186" spans="1:6" x14ac:dyDescent="0.25">
      <c r="A186" s="3" t="s">
        <v>607</v>
      </c>
      <c r="B186" t="s">
        <v>606</v>
      </c>
      <c r="C186" s="3" t="s">
        <v>607</v>
      </c>
      <c r="D186" s="3" t="s">
        <v>608</v>
      </c>
      <c r="E186" s="3">
        <v>638</v>
      </c>
      <c r="F186" t="s">
        <v>1231</v>
      </c>
    </row>
    <row r="187" spans="1:6" x14ac:dyDescent="0.25">
      <c r="A187" s="3" t="s">
        <v>609</v>
      </c>
      <c r="B187" t="s">
        <v>166</v>
      </c>
      <c r="C187" s="3" t="s">
        <v>609</v>
      </c>
      <c r="D187" s="3" t="s">
        <v>610</v>
      </c>
      <c r="E187" s="3">
        <v>642</v>
      </c>
      <c r="F187" t="s">
        <v>1232</v>
      </c>
    </row>
    <row r="188" spans="1:6" x14ac:dyDescent="0.25">
      <c r="A188" s="3" t="s">
        <v>612</v>
      </c>
      <c r="B188" t="s">
        <v>611</v>
      </c>
      <c r="C188" s="3" t="s">
        <v>612</v>
      </c>
      <c r="D188" s="3" t="s">
        <v>613</v>
      </c>
      <c r="E188" s="3">
        <v>643</v>
      </c>
      <c r="F188" t="s">
        <v>1231</v>
      </c>
    </row>
    <row r="189" spans="1:6" x14ac:dyDescent="0.25">
      <c r="A189" s="3" t="s">
        <v>615</v>
      </c>
      <c r="B189" t="s">
        <v>614</v>
      </c>
      <c r="C189" s="3" t="s">
        <v>615</v>
      </c>
      <c r="D189" s="3" t="s">
        <v>616</v>
      </c>
      <c r="E189" s="3">
        <v>646</v>
      </c>
      <c r="F189" t="s">
        <v>1231</v>
      </c>
    </row>
    <row r="190" spans="1:6" x14ac:dyDescent="0.25">
      <c r="A190" s="3" t="s">
        <v>618</v>
      </c>
      <c r="B190" s="4" t="s">
        <v>617</v>
      </c>
      <c r="C190" s="3" t="s">
        <v>618</v>
      </c>
      <c r="D190" s="3" t="s">
        <v>619</v>
      </c>
      <c r="E190" s="3">
        <v>652</v>
      </c>
      <c r="F190" t="s">
        <v>1231</v>
      </c>
    </row>
    <row r="191" spans="1:6" x14ac:dyDescent="0.25">
      <c r="A191" s="3" t="s">
        <v>621</v>
      </c>
      <c r="B191" s="4" t="s">
        <v>620</v>
      </c>
      <c r="C191" s="3" t="s">
        <v>621</v>
      </c>
      <c r="D191" s="3" t="s">
        <v>622</v>
      </c>
      <c r="E191" s="3">
        <v>654</v>
      </c>
      <c r="F191" t="s">
        <v>1231</v>
      </c>
    </row>
    <row r="192" spans="1:6" x14ac:dyDescent="0.25">
      <c r="A192" s="3" t="s">
        <v>624</v>
      </c>
      <c r="B192" t="s">
        <v>623</v>
      </c>
      <c r="C192" s="3" t="s">
        <v>624</v>
      </c>
      <c r="D192" s="3" t="s">
        <v>625</v>
      </c>
      <c r="E192" s="3">
        <v>659</v>
      </c>
      <c r="F192" t="s">
        <v>1231</v>
      </c>
    </row>
    <row r="193" spans="1:6" x14ac:dyDescent="0.25">
      <c r="A193" s="3" t="s">
        <v>627</v>
      </c>
      <c r="B193" t="s">
        <v>626</v>
      </c>
      <c r="C193" s="3" t="s">
        <v>627</v>
      </c>
      <c r="D193" s="3" t="s">
        <v>628</v>
      </c>
      <c r="E193" s="3">
        <v>662</v>
      </c>
      <c r="F193" t="s">
        <v>1231</v>
      </c>
    </row>
    <row r="194" spans="1:6" x14ac:dyDescent="0.25">
      <c r="A194" s="3" t="s">
        <v>630</v>
      </c>
      <c r="B194" s="4" t="s">
        <v>629</v>
      </c>
      <c r="C194" s="3" t="s">
        <v>630</v>
      </c>
      <c r="D194" s="3" t="s">
        <v>631</v>
      </c>
      <c r="E194" s="3">
        <v>663</v>
      </c>
      <c r="F194" t="s">
        <v>1231</v>
      </c>
    </row>
    <row r="195" spans="1:6" x14ac:dyDescent="0.25">
      <c r="A195" s="3" t="s">
        <v>633</v>
      </c>
      <c r="B195" s="4" t="s">
        <v>632</v>
      </c>
      <c r="C195" s="3" t="s">
        <v>633</v>
      </c>
      <c r="D195" s="3" t="s">
        <v>634</v>
      </c>
      <c r="E195" s="3">
        <v>666</v>
      </c>
      <c r="F195" t="s">
        <v>1231</v>
      </c>
    </row>
    <row r="196" spans="1:6" x14ac:dyDescent="0.25">
      <c r="A196" s="3" t="s">
        <v>636</v>
      </c>
      <c r="B196" t="s">
        <v>635</v>
      </c>
      <c r="C196" s="3" t="s">
        <v>636</v>
      </c>
      <c r="D196" s="3" t="s">
        <v>637</v>
      </c>
      <c r="E196" s="3">
        <v>670</v>
      </c>
      <c r="F196" t="s">
        <v>1231</v>
      </c>
    </row>
    <row r="197" spans="1:6" x14ac:dyDescent="0.25">
      <c r="A197" s="3" t="s">
        <v>639</v>
      </c>
      <c r="B197" t="s">
        <v>638</v>
      </c>
      <c r="C197" s="3" t="s">
        <v>639</v>
      </c>
      <c r="D197" s="3" t="s">
        <v>640</v>
      </c>
      <c r="E197" s="3">
        <v>882</v>
      </c>
      <c r="F197" t="s">
        <v>1231</v>
      </c>
    </row>
    <row r="198" spans="1:6" x14ac:dyDescent="0.25">
      <c r="A198" s="3" t="s">
        <v>642</v>
      </c>
      <c r="B198" t="s">
        <v>641</v>
      </c>
      <c r="C198" s="3" t="s">
        <v>642</v>
      </c>
      <c r="D198" s="3" t="s">
        <v>643</v>
      </c>
      <c r="E198" s="3">
        <v>674</v>
      </c>
      <c r="F198" t="s">
        <v>1231</v>
      </c>
    </row>
    <row r="199" spans="1:6" x14ac:dyDescent="0.25">
      <c r="A199" s="3" t="s">
        <v>645</v>
      </c>
      <c r="B199" t="s">
        <v>644</v>
      </c>
      <c r="C199" s="3" t="s">
        <v>645</v>
      </c>
      <c r="D199" s="3" t="s">
        <v>646</v>
      </c>
      <c r="E199" s="3">
        <v>678</v>
      </c>
      <c r="F199" t="s">
        <v>1231</v>
      </c>
    </row>
    <row r="200" spans="1:6" x14ac:dyDescent="0.25">
      <c r="A200" s="3" t="s">
        <v>648</v>
      </c>
      <c r="B200" t="s">
        <v>647</v>
      </c>
      <c r="C200" s="3" t="s">
        <v>648</v>
      </c>
      <c r="D200" s="3" t="s">
        <v>649</v>
      </c>
      <c r="E200" s="3">
        <v>682</v>
      </c>
      <c r="F200" t="s">
        <v>1231</v>
      </c>
    </row>
    <row r="201" spans="1:6" x14ac:dyDescent="0.25">
      <c r="A201" s="3" t="s">
        <v>651</v>
      </c>
      <c r="B201" t="s">
        <v>650</v>
      </c>
      <c r="C201" s="3" t="s">
        <v>651</v>
      </c>
      <c r="D201" s="3" t="s">
        <v>652</v>
      </c>
      <c r="E201" s="3">
        <v>686</v>
      </c>
      <c r="F201" t="s">
        <v>1231</v>
      </c>
    </row>
    <row r="202" spans="1:6" x14ac:dyDescent="0.25">
      <c r="A202" s="3" t="s">
        <v>654</v>
      </c>
      <c r="B202" t="s">
        <v>653</v>
      </c>
      <c r="C202" s="3" t="s">
        <v>654</v>
      </c>
      <c r="D202" s="3" t="s">
        <v>655</v>
      </c>
      <c r="E202" s="3">
        <v>688</v>
      </c>
      <c r="F202" t="s">
        <v>1231</v>
      </c>
    </row>
    <row r="203" spans="1:6" x14ac:dyDescent="0.25">
      <c r="A203" s="3" t="s">
        <v>657</v>
      </c>
      <c r="B203" t="s">
        <v>656</v>
      </c>
      <c r="C203" s="3" t="s">
        <v>657</v>
      </c>
      <c r="D203" s="3" t="s">
        <v>658</v>
      </c>
      <c r="E203" s="3">
        <v>690</v>
      </c>
      <c r="F203" t="s">
        <v>1231</v>
      </c>
    </row>
    <row r="204" spans="1:6" x14ac:dyDescent="0.25">
      <c r="A204" s="3" t="s">
        <v>660</v>
      </c>
      <c r="B204" t="s">
        <v>659</v>
      </c>
      <c r="C204" s="3" t="s">
        <v>660</v>
      </c>
      <c r="D204" s="3" t="s">
        <v>661</v>
      </c>
      <c r="E204" s="3">
        <v>694</v>
      </c>
      <c r="F204" t="s">
        <v>1231</v>
      </c>
    </row>
    <row r="205" spans="1:6" x14ac:dyDescent="0.25">
      <c r="A205" s="3" t="s">
        <v>663</v>
      </c>
      <c r="B205" t="s">
        <v>662</v>
      </c>
      <c r="C205" s="3" t="s">
        <v>663</v>
      </c>
      <c r="D205" s="3" t="s">
        <v>664</v>
      </c>
      <c r="E205" s="3">
        <v>702</v>
      </c>
      <c r="F205" t="s">
        <v>1231</v>
      </c>
    </row>
    <row r="206" spans="1:6" x14ac:dyDescent="0.25">
      <c r="A206" s="3" t="s">
        <v>665</v>
      </c>
      <c r="B206" t="s">
        <v>170</v>
      </c>
      <c r="C206" s="3" t="s">
        <v>665</v>
      </c>
      <c r="D206" s="3" t="s">
        <v>666</v>
      </c>
      <c r="E206" s="3">
        <v>703</v>
      </c>
      <c r="F206" t="s">
        <v>1232</v>
      </c>
    </row>
    <row r="207" spans="1:6" x14ac:dyDescent="0.25">
      <c r="A207" s="3" t="s">
        <v>667</v>
      </c>
      <c r="B207" t="s">
        <v>174</v>
      </c>
      <c r="C207" s="3" t="s">
        <v>667</v>
      </c>
      <c r="D207" s="3" t="s">
        <v>668</v>
      </c>
      <c r="E207" s="3">
        <v>705</v>
      </c>
      <c r="F207" t="s">
        <v>1232</v>
      </c>
    </row>
    <row r="208" spans="1:6" x14ac:dyDescent="0.25">
      <c r="A208" s="3" t="s">
        <v>670</v>
      </c>
      <c r="B208" t="s">
        <v>669</v>
      </c>
      <c r="C208" s="3" t="s">
        <v>670</v>
      </c>
      <c r="D208" s="3" t="s">
        <v>671</v>
      </c>
      <c r="E208" s="3">
        <v>90</v>
      </c>
      <c r="F208" t="s">
        <v>1231</v>
      </c>
    </row>
    <row r="209" spans="1:6" x14ac:dyDescent="0.25">
      <c r="A209" s="3" t="s">
        <v>673</v>
      </c>
      <c r="B209" t="s">
        <v>672</v>
      </c>
      <c r="C209" s="3" t="s">
        <v>673</v>
      </c>
      <c r="D209" s="3" t="s">
        <v>674</v>
      </c>
      <c r="E209" s="3">
        <v>706</v>
      </c>
      <c r="F209" t="s">
        <v>1231</v>
      </c>
    </row>
    <row r="210" spans="1:6" x14ac:dyDescent="0.25">
      <c r="A210" s="3" t="s">
        <v>675</v>
      </c>
      <c r="B210" t="s">
        <v>38</v>
      </c>
      <c r="C210" s="3" t="s">
        <v>675</v>
      </c>
      <c r="D210" s="3" t="s">
        <v>676</v>
      </c>
      <c r="E210" s="3">
        <v>710</v>
      </c>
      <c r="F210" t="s">
        <v>1231</v>
      </c>
    </row>
    <row r="211" spans="1:6" ht="28.5" x14ac:dyDescent="0.25">
      <c r="A211" s="3" t="s">
        <v>678</v>
      </c>
      <c r="B211" s="4" t="s">
        <v>677</v>
      </c>
      <c r="C211" s="3" t="s">
        <v>678</v>
      </c>
      <c r="D211" s="3" t="s">
        <v>679</v>
      </c>
      <c r="E211" s="3">
        <v>239</v>
      </c>
      <c r="F211" t="s">
        <v>1231</v>
      </c>
    </row>
    <row r="212" spans="1:6" x14ac:dyDescent="0.25">
      <c r="A212" s="6" t="s">
        <v>681</v>
      </c>
      <c r="B212" s="8" t="s">
        <v>680</v>
      </c>
      <c r="C212" s="6" t="s">
        <v>681</v>
      </c>
      <c r="D212" s="6" t="s">
        <v>682</v>
      </c>
      <c r="E212" s="6">
        <v>728</v>
      </c>
      <c r="F212" t="s">
        <v>1231</v>
      </c>
    </row>
    <row r="213" spans="1:6" x14ac:dyDescent="0.25">
      <c r="A213" s="3" t="s">
        <v>683</v>
      </c>
      <c r="B213" t="s">
        <v>34</v>
      </c>
      <c r="C213" s="3" t="s">
        <v>683</v>
      </c>
      <c r="D213" s="3" t="s">
        <v>684</v>
      </c>
      <c r="E213" s="3">
        <v>724</v>
      </c>
      <c r="F213" t="s">
        <v>1232</v>
      </c>
    </row>
    <row r="214" spans="1:6" x14ac:dyDescent="0.25">
      <c r="A214" s="3" t="s">
        <v>686</v>
      </c>
      <c r="B214" t="s">
        <v>685</v>
      </c>
      <c r="C214" s="3" t="s">
        <v>686</v>
      </c>
      <c r="D214" s="3" t="s">
        <v>687</v>
      </c>
      <c r="E214" s="3">
        <v>144</v>
      </c>
      <c r="F214" t="s">
        <v>1231</v>
      </c>
    </row>
    <row r="215" spans="1:6" x14ac:dyDescent="0.25">
      <c r="A215" s="3" t="s">
        <v>689</v>
      </c>
      <c r="B215" t="s">
        <v>688</v>
      </c>
      <c r="C215" s="3" t="s">
        <v>689</v>
      </c>
      <c r="D215" s="3" t="s">
        <v>690</v>
      </c>
      <c r="E215" s="3">
        <v>736</v>
      </c>
      <c r="F215" t="s">
        <v>1231</v>
      </c>
    </row>
    <row r="216" spans="1:6" x14ac:dyDescent="0.25">
      <c r="A216" s="3" t="s">
        <v>692</v>
      </c>
      <c r="B216" t="s">
        <v>691</v>
      </c>
      <c r="C216" s="3" t="s">
        <v>692</v>
      </c>
      <c r="D216" s="3" t="s">
        <v>693</v>
      </c>
      <c r="E216" s="3">
        <v>740</v>
      </c>
      <c r="F216" t="s">
        <v>1231</v>
      </c>
    </row>
    <row r="217" spans="1:6" x14ac:dyDescent="0.25">
      <c r="A217" s="3" t="s">
        <v>695</v>
      </c>
      <c r="B217" s="4" t="s">
        <v>694</v>
      </c>
      <c r="C217" s="3" t="s">
        <v>695</v>
      </c>
      <c r="D217" s="3" t="s">
        <v>696</v>
      </c>
      <c r="E217" s="3">
        <v>744</v>
      </c>
      <c r="F217" t="s">
        <v>1231</v>
      </c>
    </row>
    <row r="218" spans="1:6" x14ac:dyDescent="0.25">
      <c r="A218" s="3" t="s">
        <v>698</v>
      </c>
      <c r="B218" t="s">
        <v>697</v>
      </c>
      <c r="C218" s="3" t="s">
        <v>698</v>
      </c>
      <c r="D218" s="3" t="s">
        <v>699</v>
      </c>
      <c r="E218" s="3">
        <v>748</v>
      </c>
      <c r="F218" t="s">
        <v>1231</v>
      </c>
    </row>
    <row r="219" spans="1:6" x14ac:dyDescent="0.25">
      <c r="A219" s="3" t="s">
        <v>700</v>
      </c>
      <c r="B219" t="s">
        <v>181</v>
      </c>
      <c r="C219" s="3" t="s">
        <v>700</v>
      </c>
      <c r="D219" s="3" t="s">
        <v>701</v>
      </c>
      <c r="E219" s="3">
        <v>752</v>
      </c>
      <c r="F219" t="s">
        <v>1232</v>
      </c>
    </row>
    <row r="220" spans="1:6" x14ac:dyDescent="0.25">
      <c r="A220" s="3" t="s">
        <v>703</v>
      </c>
      <c r="B220" t="s">
        <v>702</v>
      </c>
      <c r="C220" s="3" t="s">
        <v>703</v>
      </c>
      <c r="D220" s="3" t="s">
        <v>704</v>
      </c>
      <c r="E220" s="3">
        <v>756</v>
      </c>
      <c r="F220" t="s">
        <v>1232</v>
      </c>
    </row>
    <row r="221" spans="1:6" x14ac:dyDescent="0.25">
      <c r="A221" s="3" t="s">
        <v>706</v>
      </c>
      <c r="B221" t="s">
        <v>705</v>
      </c>
      <c r="C221" s="3" t="s">
        <v>706</v>
      </c>
      <c r="D221" s="3" t="s">
        <v>707</v>
      </c>
      <c r="E221" s="3">
        <v>760</v>
      </c>
      <c r="F221" t="s">
        <v>1231</v>
      </c>
    </row>
    <row r="222" spans="1:6" x14ac:dyDescent="0.25">
      <c r="A222" s="6" t="s">
        <v>709</v>
      </c>
      <c r="B222" t="s">
        <v>708</v>
      </c>
      <c r="C222" s="6" t="s">
        <v>709</v>
      </c>
      <c r="D222" s="6" t="s">
        <v>710</v>
      </c>
      <c r="E222" s="6">
        <v>158</v>
      </c>
      <c r="F222" t="s">
        <v>1231</v>
      </c>
    </row>
    <row r="223" spans="1:6" x14ac:dyDescent="0.25">
      <c r="A223" s="3" t="s">
        <v>712</v>
      </c>
      <c r="B223" t="s">
        <v>711</v>
      </c>
      <c r="C223" s="3" t="s">
        <v>712</v>
      </c>
      <c r="D223" s="3" t="s">
        <v>713</v>
      </c>
      <c r="E223" s="3">
        <v>762</v>
      </c>
      <c r="F223" t="s">
        <v>1231</v>
      </c>
    </row>
    <row r="224" spans="1:6" x14ac:dyDescent="0.25">
      <c r="A224" s="3" t="s">
        <v>715</v>
      </c>
      <c r="B224" t="s">
        <v>714</v>
      </c>
      <c r="C224" s="3" t="s">
        <v>715</v>
      </c>
      <c r="D224" s="3" t="s">
        <v>716</v>
      </c>
      <c r="E224" s="3">
        <v>834</v>
      </c>
      <c r="F224" t="s">
        <v>1231</v>
      </c>
    </row>
    <row r="225" spans="1:6" x14ac:dyDescent="0.25">
      <c r="A225" s="3" t="s">
        <v>718</v>
      </c>
      <c r="B225" t="s">
        <v>717</v>
      </c>
      <c r="C225" s="3" t="s">
        <v>718</v>
      </c>
      <c r="D225" s="3" t="s">
        <v>719</v>
      </c>
      <c r="E225" s="3">
        <v>764</v>
      </c>
      <c r="F225" t="s">
        <v>1231</v>
      </c>
    </row>
    <row r="226" spans="1:6" x14ac:dyDescent="0.25">
      <c r="A226" s="3" t="s">
        <v>721</v>
      </c>
      <c r="B226" t="s">
        <v>720</v>
      </c>
      <c r="C226" s="3" t="s">
        <v>721</v>
      </c>
      <c r="D226" s="3" t="s">
        <v>722</v>
      </c>
      <c r="E226" s="3">
        <v>626</v>
      </c>
      <c r="F226" t="s">
        <v>1231</v>
      </c>
    </row>
    <row r="227" spans="1:6" x14ac:dyDescent="0.25">
      <c r="A227" s="3" t="s">
        <v>724</v>
      </c>
      <c r="B227" t="s">
        <v>723</v>
      </c>
      <c r="C227" s="3" t="s">
        <v>724</v>
      </c>
      <c r="D227" s="3" t="s">
        <v>725</v>
      </c>
      <c r="E227" s="3">
        <v>768</v>
      </c>
      <c r="F227" t="s">
        <v>1231</v>
      </c>
    </row>
    <row r="228" spans="1:6" x14ac:dyDescent="0.25">
      <c r="A228" s="3" t="s">
        <v>727</v>
      </c>
      <c r="B228" s="4" t="s">
        <v>726</v>
      </c>
      <c r="C228" s="3" t="s">
        <v>727</v>
      </c>
      <c r="D228" s="3" t="s">
        <v>728</v>
      </c>
      <c r="E228" s="3">
        <v>772</v>
      </c>
      <c r="F228" t="s">
        <v>1231</v>
      </c>
    </row>
    <row r="229" spans="1:6" x14ac:dyDescent="0.25">
      <c r="A229" s="3" t="s">
        <v>730</v>
      </c>
      <c r="B229" t="s">
        <v>729</v>
      </c>
      <c r="C229" s="3" t="s">
        <v>730</v>
      </c>
      <c r="D229" s="3" t="s">
        <v>731</v>
      </c>
      <c r="E229" s="3">
        <v>776</v>
      </c>
      <c r="F229" t="s">
        <v>1231</v>
      </c>
    </row>
    <row r="230" spans="1:6" x14ac:dyDescent="0.25">
      <c r="A230" s="3" t="s">
        <v>733</v>
      </c>
      <c r="B230" t="s">
        <v>732</v>
      </c>
      <c r="C230" s="3" t="s">
        <v>733</v>
      </c>
      <c r="D230" s="3" t="s">
        <v>734</v>
      </c>
      <c r="E230" s="3">
        <v>780</v>
      </c>
      <c r="F230" t="s">
        <v>1231</v>
      </c>
    </row>
    <row r="231" spans="1:6" x14ac:dyDescent="0.25">
      <c r="A231" s="3" t="s">
        <v>736</v>
      </c>
      <c r="B231" t="s">
        <v>735</v>
      </c>
      <c r="C231" s="3" t="s">
        <v>736</v>
      </c>
      <c r="D231" s="3" t="s">
        <v>737</v>
      </c>
      <c r="E231" s="3">
        <v>788</v>
      </c>
      <c r="F231" t="s">
        <v>1231</v>
      </c>
    </row>
    <row r="232" spans="1:6" x14ac:dyDescent="0.25">
      <c r="A232" s="3" t="s">
        <v>739</v>
      </c>
      <c r="B232" t="s">
        <v>738</v>
      </c>
      <c r="C232" s="3" t="s">
        <v>739</v>
      </c>
      <c r="D232" s="3" t="s">
        <v>740</v>
      </c>
      <c r="E232" s="3">
        <v>792</v>
      </c>
      <c r="F232" t="s">
        <v>1232</v>
      </c>
    </row>
    <row r="233" spans="1:6" x14ac:dyDescent="0.25">
      <c r="A233" s="3" t="s">
        <v>742</v>
      </c>
      <c r="B233" t="s">
        <v>741</v>
      </c>
      <c r="C233" s="3" t="s">
        <v>742</v>
      </c>
      <c r="D233" s="3" t="s">
        <v>743</v>
      </c>
      <c r="E233" s="3">
        <v>795</v>
      </c>
      <c r="F233" t="s">
        <v>1231</v>
      </c>
    </row>
    <row r="234" spans="1:6" x14ac:dyDescent="0.25">
      <c r="A234" s="3" t="s">
        <v>745</v>
      </c>
      <c r="B234" s="4" t="s">
        <v>744</v>
      </c>
      <c r="C234" s="3" t="s">
        <v>745</v>
      </c>
      <c r="D234" s="3" t="s">
        <v>746</v>
      </c>
      <c r="E234" s="3">
        <v>796</v>
      </c>
      <c r="F234" t="s">
        <v>1231</v>
      </c>
    </row>
    <row r="235" spans="1:6" x14ac:dyDescent="0.25">
      <c r="A235" s="3" t="s">
        <v>748</v>
      </c>
      <c r="B235" t="s">
        <v>747</v>
      </c>
      <c r="C235" s="3" t="s">
        <v>748</v>
      </c>
      <c r="D235" s="3" t="s">
        <v>749</v>
      </c>
      <c r="E235" s="3">
        <v>798</v>
      </c>
      <c r="F235" t="s">
        <v>1231</v>
      </c>
    </row>
    <row r="236" spans="1:6" x14ac:dyDescent="0.25">
      <c r="A236" s="3" t="s">
        <v>751</v>
      </c>
      <c r="B236" t="s">
        <v>750</v>
      </c>
      <c r="C236" s="3" t="s">
        <v>751</v>
      </c>
      <c r="D236" s="3" t="s">
        <v>752</v>
      </c>
      <c r="E236" s="3">
        <v>800</v>
      </c>
      <c r="F236" t="s">
        <v>1231</v>
      </c>
    </row>
    <row r="237" spans="1:6" x14ac:dyDescent="0.25">
      <c r="A237" s="3" t="s">
        <v>754</v>
      </c>
      <c r="B237" t="s">
        <v>753</v>
      </c>
      <c r="C237" s="3" t="s">
        <v>754</v>
      </c>
      <c r="D237" s="3" t="s">
        <v>755</v>
      </c>
      <c r="E237" s="3">
        <v>804</v>
      </c>
      <c r="F237" t="s">
        <v>1231</v>
      </c>
    </row>
    <row r="238" spans="1:6" x14ac:dyDescent="0.25">
      <c r="A238" s="3" t="s">
        <v>757</v>
      </c>
      <c r="B238" t="s">
        <v>756</v>
      </c>
      <c r="C238" s="3" t="s">
        <v>757</v>
      </c>
      <c r="D238" s="3" t="s">
        <v>758</v>
      </c>
      <c r="E238" s="3">
        <v>784</v>
      </c>
      <c r="F238" t="s">
        <v>1231</v>
      </c>
    </row>
    <row r="239" spans="1:6" x14ac:dyDescent="0.25">
      <c r="A239" s="3" t="s">
        <v>759</v>
      </c>
      <c r="B239" t="s">
        <v>16</v>
      </c>
      <c r="C239" s="3" t="s">
        <v>759</v>
      </c>
      <c r="D239" s="3" t="s">
        <v>1</v>
      </c>
      <c r="E239" s="3">
        <v>826</v>
      </c>
      <c r="F239" t="s">
        <v>1232</v>
      </c>
    </row>
    <row r="240" spans="1:6" x14ac:dyDescent="0.25">
      <c r="A240" s="3" t="s">
        <v>761</v>
      </c>
      <c r="B240" t="s">
        <v>760</v>
      </c>
      <c r="C240" s="3" t="s">
        <v>761</v>
      </c>
      <c r="D240" s="3" t="s">
        <v>762</v>
      </c>
      <c r="E240" s="3">
        <v>840</v>
      </c>
      <c r="F240" t="s">
        <v>1232</v>
      </c>
    </row>
    <row r="241" spans="1:6" x14ac:dyDescent="0.25">
      <c r="A241" s="3" t="s">
        <v>764</v>
      </c>
      <c r="B241" s="4" t="s">
        <v>763</v>
      </c>
      <c r="C241" s="3" t="s">
        <v>764</v>
      </c>
      <c r="D241" s="3" t="s">
        <v>765</v>
      </c>
      <c r="E241" s="3">
        <v>581</v>
      </c>
      <c r="F241" t="s">
        <v>1231</v>
      </c>
    </row>
    <row r="242" spans="1:6" x14ac:dyDescent="0.25">
      <c r="A242" s="3" t="s">
        <v>767</v>
      </c>
      <c r="B242" t="s">
        <v>766</v>
      </c>
      <c r="C242" s="3" t="s">
        <v>767</v>
      </c>
      <c r="D242" s="3" t="s">
        <v>768</v>
      </c>
      <c r="E242" s="3">
        <v>858</v>
      </c>
      <c r="F242" t="s">
        <v>1231</v>
      </c>
    </row>
    <row r="243" spans="1:6" x14ac:dyDescent="0.25">
      <c r="A243" s="3" t="s">
        <v>770</v>
      </c>
      <c r="B243" t="s">
        <v>769</v>
      </c>
      <c r="C243" s="3" t="s">
        <v>770</v>
      </c>
      <c r="D243" s="3" t="s">
        <v>771</v>
      </c>
      <c r="E243" s="3">
        <v>860</v>
      </c>
      <c r="F243" t="s">
        <v>1231</v>
      </c>
    </row>
    <row r="244" spans="1:6" x14ac:dyDescent="0.25">
      <c r="A244" s="3" t="s">
        <v>773</v>
      </c>
      <c r="B244" t="s">
        <v>772</v>
      </c>
      <c r="C244" s="3" t="s">
        <v>773</v>
      </c>
      <c r="D244" s="3" t="s">
        <v>774</v>
      </c>
      <c r="E244" s="3">
        <v>548</v>
      </c>
      <c r="F244" t="s">
        <v>1231</v>
      </c>
    </row>
    <row r="245" spans="1:6" x14ac:dyDescent="0.25">
      <c r="A245" s="3" t="s">
        <v>776</v>
      </c>
      <c r="B245" t="s">
        <v>775</v>
      </c>
      <c r="C245" s="3" t="s">
        <v>776</v>
      </c>
      <c r="D245" s="3" t="s">
        <v>777</v>
      </c>
      <c r="E245" s="3">
        <v>862</v>
      </c>
      <c r="F245" t="s">
        <v>1231</v>
      </c>
    </row>
    <row r="246" spans="1:6" x14ac:dyDescent="0.25">
      <c r="A246" s="3" t="s">
        <v>779</v>
      </c>
      <c r="B246" t="s">
        <v>778</v>
      </c>
      <c r="C246" s="3" t="s">
        <v>779</v>
      </c>
      <c r="D246" s="3" t="s">
        <v>780</v>
      </c>
      <c r="E246" s="3">
        <v>704</v>
      </c>
      <c r="F246" t="s">
        <v>1231</v>
      </c>
    </row>
    <row r="247" spans="1:6" x14ac:dyDescent="0.25">
      <c r="A247" s="3" t="s">
        <v>782</v>
      </c>
      <c r="B247" t="s">
        <v>781</v>
      </c>
      <c r="C247" s="3" t="s">
        <v>782</v>
      </c>
      <c r="D247" s="3" t="s">
        <v>783</v>
      </c>
      <c r="E247" s="3">
        <v>850</v>
      </c>
      <c r="F247" t="s">
        <v>1231</v>
      </c>
    </row>
    <row r="248" spans="1:6" x14ac:dyDescent="0.25">
      <c r="A248" s="3" t="s">
        <v>785</v>
      </c>
      <c r="B248" s="4" t="s">
        <v>784</v>
      </c>
      <c r="C248" s="3" t="s">
        <v>785</v>
      </c>
      <c r="D248" s="3" t="s">
        <v>786</v>
      </c>
      <c r="E248" s="3">
        <v>876</v>
      </c>
      <c r="F248" t="s">
        <v>1231</v>
      </c>
    </row>
    <row r="249" spans="1:6" x14ac:dyDescent="0.25">
      <c r="A249" s="3" t="s">
        <v>788</v>
      </c>
      <c r="B249" s="5" t="s">
        <v>787</v>
      </c>
      <c r="C249" s="3" t="s">
        <v>788</v>
      </c>
      <c r="D249" s="3" t="s">
        <v>789</v>
      </c>
      <c r="E249" s="3">
        <v>732</v>
      </c>
      <c r="F249" t="s">
        <v>1231</v>
      </c>
    </row>
    <row r="250" spans="1:6" x14ac:dyDescent="0.25">
      <c r="A250" s="3" t="s">
        <v>791</v>
      </c>
      <c r="B250" t="s">
        <v>790</v>
      </c>
      <c r="C250" s="3" t="s">
        <v>791</v>
      </c>
      <c r="D250" s="3" t="s">
        <v>792</v>
      </c>
      <c r="E250" s="3">
        <v>887</v>
      </c>
      <c r="F250" t="s">
        <v>1231</v>
      </c>
    </row>
    <row r="251" spans="1:6" x14ac:dyDescent="0.25">
      <c r="A251" s="3" t="s">
        <v>794</v>
      </c>
      <c r="B251" t="s">
        <v>793</v>
      </c>
      <c r="C251" s="3" t="s">
        <v>794</v>
      </c>
      <c r="D251" s="3" t="s">
        <v>795</v>
      </c>
      <c r="E251" s="3">
        <v>894</v>
      </c>
      <c r="F251" t="s">
        <v>1231</v>
      </c>
    </row>
    <row r="252" spans="1:6" x14ac:dyDescent="0.25">
      <c r="A252" s="3" t="s">
        <v>797</v>
      </c>
      <c r="B252" t="s">
        <v>796</v>
      </c>
      <c r="C252" s="3" t="s">
        <v>797</v>
      </c>
      <c r="D252" s="3" t="s">
        <v>798</v>
      </c>
      <c r="E252" s="3">
        <v>716</v>
      </c>
      <c r="F252" t="s">
        <v>1231</v>
      </c>
    </row>
    <row r="253" spans="1:6" x14ac:dyDescent="0.25">
      <c r="A253" s="9" t="s">
        <v>800</v>
      </c>
      <c r="B253" s="2" t="s">
        <v>799</v>
      </c>
      <c r="C253" s="9" t="s">
        <v>800</v>
      </c>
      <c r="D253" s="2"/>
      <c r="E253" s="2"/>
      <c r="F253" s="2" t="s">
        <v>1231</v>
      </c>
    </row>
    <row r="254" spans="1:6" x14ac:dyDescent="0.25">
      <c r="A254" s="9" t="s">
        <v>802</v>
      </c>
      <c r="B254" s="2" t="s">
        <v>801</v>
      </c>
      <c r="C254" s="9" t="s">
        <v>802</v>
      </c>
      <c r="D254" s="2"/>
      <c r="E254" s="2"/>
      <c r="F254" s="2" t="s">
        <v>1231</v>
      </c>
    </row>
    <row r="255" spans="1:6" x14ac:dyDescent="0.25">
      <c r="A255" s="9" t="s">
        <v>1212</v>
      </c>
      <c r="B255" s="2" t="s">
        <v>1213</v>
      </c>
      <c r="C255" s="9" t="s">
        <v>1212</v>
      </c>
      <c r="D255" s="2"/>
      <c r="E255" s="2"/>
      <c r="F255" s="2" t="s">
        <v>1231</v>
      </c>
    </row>
  </sheetData>
  <mergeCells count="3">
    <mergeCell ref="V3:X3"/>
    <mergeCell ref="H5:I5"/>
    <mergeCell ref="V5:X5"/>
  </mergeCells>
  <conditionalFormatting sqref="F6:F253 F255">
    <cfRule type="cellIs" dxfId="1" priority="2" operator="equal">
      <formula>"YEs"</formula>
    </cfRule>
  </conditionalFormatting>
  <conditionalFormatting sqref="F254">
    <cfRule type="cellIs" dxfId="0" priority="1" operator="equal">
      <formula>"YEs"</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C000"/>
  </sheetPr>
  <dimension ref="B1:M115"/>
  <sheetViews>
    <sheetView tabSelected="1" topLeftCell="D1" workbookViewId="0">
      <pane ySplit="2" topLeftCell="A39" activePane="bottomLeft" state="frozen"/>
      <selection pane="bottomLeft" activeCell="O1" sqref="O1:O1048576"/>
    </sheetView>
  </sheetViews>
  <sheetFormatPr defaultRowHeight="12.75" x14ac:dyDescent="0.2"/>
  <cols>
    <col min="1" max="1" width="5.140625" style="17" customWidth="1"/>
    <col min="2" max="4" width="7.85546875" style="17" customWidth="1"/>
    <col min="5" max="5" width="43.28515625" style="17" bestFit="1" customWidth="1"/>
    <col min="6" max="6" width="45.5703125" style="17" bestFit="1" customWidth="1"/>
    <col min="7" max="7" width="12.7109375" style="17" bestFit="1" customWidth="1"/>
    <col min="8" max="8" width="13" style="17" bestFit="1" customWidth="1"/>
    <col min="9" max="9" width="8.28515625" style="17" bestFit="1" customWidth="1"/>
    <col min="10" max="10" width="9.85546875" style="17" bestFit="1" customWidth="1"/>
    <col min="11" max="11" width="8.5703125" style="18" bestFit="1" customWidth="1"/>
    <col min="12" max="12" width="14.140625" style="17" bestFit="1" customWidth="1"/>
    <col min="13" max="13" width="10.28515625" style="17" bestFit="1" customWidth="1"/>
    <col min="14" max="14" width="5.140625" style="17" customWidth="1"/>
    <col min="15" max="16384" width="9.140625" style="17"/>
  </cols>
  <sheetData>
    <row r="1" spans="2:13" s="32" customFormat="1" x14ac:dyDescent="0.2">
      <c r="H1" s="32" t="s">
        <v>1230</v>
      </c>
      <c r="K1" s="139"/>
    </row>
    <row r="2" spans="2:13" s="32" customFormat="1" ht="39" thickBot="1" x14ac:dyDescent="0.25">
      <c r="B2" s="140" t="s">
        <v>1227</v>
      </c>
      <c r="C2" s="140" t="s">
        <v>1228</v>
      </c>
      <c r="D2" s="140" t="s">
        <v>1226</v>
      </c>
      <c r="E2" s="32" t="s">
        <v>896</v>
      </c>
      <c r="F2" s="32" t="s">
        <v>876</v>
      </c>
      <c r="G2" s="32" t="s">
        <v>1229</v>
      </c>
      <c r="H2" s="141" t="s">
        <v>1203</v>
      </c>
      <c r="I2" s="141" t="s">
        <v>66</v>
      </c>
      <c r="J2" s="141" t="s">
        <v>67</v>
      </c>
      <c r="K2" s="141" t="s">
        <v>1201</v>
      </c>
      <c r="L2" s="141" t="s">
        <v>1204</v>
      </c>
      <c r="M2" s="141" t="s">
        <v>1197</v>
      </c>
    </row>
    <row r="3" spans="2:13" ht="13.5" thickBot="1" x14ac:dyDescent="0.25">
      <c r="B3" s="22">
        <v>0</v>
      </c>
      <c r="C3" s="17">
        <v>9</v>
      </c>
      <c r="D3" s="17" t="str">
        <f t="shared" ref="D3:D35" si="0">B3&amp;C3</f>
        <v>09</v>
      </c>
      <c r="E3" s="17" t="s">
        <v>884</v>
      </c>
      <c r="G3" s="112" t="s">
        <v>66</v>
      </c>
      <c r="H3" s="115"/>
      <c r="I3" s="115">
        <v>1</v>
      </c>
      <c r="J3" s="115"/>
      <c r="K3" s="115"/>
      <c r="L3" s="115"/>
      <c r="M3" s="115"/>
    </row>
    <row r="4" spans="2:13" ht="13.5" thickBot="1" x14ac:dyDescent="0.25">
      <c r="B4" s="105">
        <v>1</v>
      </c>
      <c r="C4" s="17">
        <v>1</v>
      </c>
      <c r="D4" s="17" t="str">
        <f t="shared" si="0"/>
        <v>11</v>
      </c>
      <c r="E4" s="17" t="s">
        <v>891</v>
      </c>
      <c r="F4" s="17" t="s">
        <v>875</v>
      </c>
      <c r="G4" s="113" t="s">
        <v>1199</v>
      </c>
      <c r="H4" s="115">
        <v>1</v>
      </c>
      <c r="I4" s="115"/>
      <c r="J4" s="115"/>
      <c r="K4" s="115">
        <v>1</v>
      </c>
      <c r="L4" s="115"/>
      <c r="M4" s="115"/>
    </row>
    <row r="5" spans="2:13" ht="13.5" thickBot="1" x14ac:dyDescent="0.25">
      <c r="B5" s="105">
        <v>1</v>
      </c>
      <c r="C5" s="17">
        <v>2</v>
      </c>
      <c r="D5" s="17" t="str">
        <f t="shared" si="0"/>
        <v>12</v>
      </c>
      <c r="E5" s="17" t="s">
        <v>891</v>
      </c>
      <c r="F5" s="17" t="s">
        <v>863</v>
      </c>
      <c r="G5" s="113" t="s">
        <v>1199</v>
      </c>
      <c r="H5" s="115">
        <v>1</v>
      </c>
      <c r="I5" s="115"/>
      <c r="J5" s="115"/>
      <c r="K5" s="115">
        <v>1</v>
      </c>
      <c r="L5" s="115"/>
      <c r="M5" s="115"/>
    </row>
    <row r="6" spans="2:13" ht="13.5" thickBot="1" x14ac:dyDescent="0.25">
      <c r="B6" s="105">
        <v>1</v>
      </c>
      <c r="C6" s="17">
        <v>3</v>
      </c>
      <c r="D6" s="17" t="str">
        <f t="shared" si="0"/>
        <v>13</v>
      </c>
      <c r="E6" s="17" t="s">
        <v>891</v>
      </c>
      <c r="F6" s="17" t="s">
        <v>850</v>
      </c>
      <c r="G6" s="113" t="s">
        <v>1199</v>
      </c>
      <c r="H6" s="115">
        <v>1</v>
      </c>
      <c r="I6" s="115"/>
      <c r="J6" s="115"/>
      <c r="K6" s="115">
        <v>1</v>
      </c>
      <c r="L6" s="115"/>
      <c r="M6" s="115"/>
    </row>
    <row r="7" spans="2:13" ht="13.5" thickBot="1" x14ac:dyDescent="0.25">
      <c r="B7" s="105">
        <v>1</v>
      </c>
      <c r="C7" s="17">
        <v>4</v>
      </c>
      <c r="D7" s="17" t="str">
        <f t="shared" si="0"/>
        <v>14</v>
      </c>
      <c r="E7" s="17" t="s">
        <v>891</v>
      </c>
      <c r="F7" s="17" t="s">
        <v>839</v>
      </c>
      <c r="G7" s="113" t="s">
        <v>1199</v>
      </c>
      <c r="H7" s="115">
        <v>1</v>
      </c>
      <c r="I7" s="115"/>
      <c r="J7" s="115"/>
      <c r="K7" s="115">
        <v>1</v>
      </c>
      <c r="L7" s="115"/>
      <c r="M7" s="115"/>
    </row>
    <row r="8" spans="2:13" ht="13.5" thickBot="1" x14ac:dyDescent="0.25">
      <c r="B8" s="105">
        <v>1</v>
      </c>
      <c r="C8" s="17">
        <v>5</v>
      </c>
      <c r="D8" s="17" t="str">
        <f t="shared" si="0"/>
        <v>15</v>
      </c>
      <c r="E8" s="17" t="s">
        <v>891</v>
      </c>
      <c r="F8" s="17" t="s">
        <v>829</v>
      </c>
      <c r="G8" s="113" t="s">
        <v>1199</v>
      </c>
      <c r="H8" s="115">
        <v>1</v>
      </c>
      <c r="I8" s="115"/>
      <c r="J8" s="115"/>
      <c r="K8" s="115">
        <v>1</v>
      </c>
      <c r="L8" s="115"/>
      <c r="M8" s="115"/>
    </row>
    <row r="9" spans="2:13" ht="13.5" thickBot="1" x14ac:dyDescent="0.25">
      <c r="B9" s="105">
        <v>1</v>
      </c>
      <c r="C9" s="17">
        <v>6</v>
      </c>
      <c r="D9" s="17" t="str">
        <f t="shared" si="0"/>
        <v>16</v>
      </c>
      <c r="E9" s="17" t="s">
        <v>891</v>
      </c>
      <c r="F9" s="17" t="s">
        <v>819</v>
      </c>
      <c r="G9" s="113" t="s">
        <v>1199</v>
      </c>
      <c r="H9" s="115">
        <v>1</v>
      </c>
      <c r="I9" s="115"/>
      <c r="J9" s="115"/>
      <c r="K9" s="115">
        <v>1</v>
      </c>
      <c r="L9" s="115"/>
      <c r="M9" s="115"/>
    </row>
    <row r="10" spans="2:13" ht="13.5" thickBot="1" x14ac:dyDescent="0.25">
      <c r="B10" s="105">
        <v>1</v>
      </c>
      <c r="C10" s="17">
        <v>7</v>
      </c>
      <c r="D10" s="17" t="str">
        <f t="shared" si="0"/>
        <v>17</v>
      </c>
      <c r="E10" s="17" t="s">
        <v>891</v>
      </c>
      <c r="F10" s="17" t="s">
        <v>813</v>
      </c>
      <c r="G10" s="113" t="s">
        <v>1199</v>
      </c>
      <c r="H10" s="115">
        <v>1</v>
      </c>
      <c r="I10" s="115"/>
      <c r="J10" s="115"/>
      <c r="K10" s="115">
        <v>1</v>
      </c>
      <c r="L10" s="115"/>
      <c r="M10" s="115"/>
    </row>
    <row r="11" spans="2:13" ht="13.5" thickBot="1" x14ac:dyDescent="0.25">
      <c r="B11" s="105">
        <v>1</v>
      </c>
      <c r="C11" s="17">
        <v>9</v>
      </c>
      <c r="D11" s="17" t="str">
        <f t="shared" si="0"/>
        <v>19</v>
      </c>
      <c r="E11" s="17" t="s">
        <v>891</v>
      </c>
      <c r="F11" s="17" t="s">
        <v>806</v>
      </c>
      <c r="G11" s="113" t="s">
        <v>1199</v>
      </c>
      <c r="H11" s="115">
        <v>1</v>
      </c>
      <c r="I11" s="115"/>
      <c r="J11" s="115"/>
      <c r="K11" s="115">
        <v>1</v>
      </c>
      <c r="L11" s="115"/>
      <c r="M11" s="115"/>
    </row>
    <row r="12" spans="2:13" ht="13.5" thickBot="1" x14ac:dyDescent="0.25">
      <c r="B12" s="105">
        <v>2</v>
      </c>
      <c r="C12" s="17">
        <v>1</v>
      </c>
      <c r="D12" s="17" t="str">
        <f t="shared" si="0"/>
        <v>21</v>
      </c>
      <c r="E12" s="17" t="s">
        <v>874</v>
      </c>
      <c r="F12" s="17" t="s">
        <v>874</v>
      </c>
      <c r="G12" s="113" t="s">
        <v>1199</v>
      </c>
      <c r="H12" s="115">
        <v>1</v>
      </c>
      <c r="I12" s="115"/>
      <c r="J12" s="115"/>
      <c r="K12" s="115">
        <v>1</v>
      </c>
      <c r="L12" s="115"/>
      <c r="M12" s="115"/>
    </row>
    <row r="13" spans="2:13" ht="13.5" thickBot="1" x14ac:dyDescent="0.25">
      <c r="B13" s="105">
        <v>2</v>
      </c>
      <c r="C13" s="17">
        <v>2</v>
      </c>
      <c r="D13" s="17" t="str">
        <f t="shared" si="0"/>
        <v>22</v>
      </c>
      <c r="E13" s="17" t="s">
        <v>874</v>
      </c>
      <c r="F13" s="17" t="s">
        <v>862</v>
      </c>
      <c r="G13" s="113" t="s">
        <v>1199</v>
      </c>
      <c r="H13" s="115">
        <v>1</v>
      </c>
      <c r="I13" s="115"/>
      <c r="J13" s="115"/>
      <c r="K13" s="115">
        <v>1</v>
      </c>
      <c r="L13" s="115"/>
      <c r="M13" s="115"/>
    </row>
    <row r="14" spans="2:13" ht="13.5" thickBot="1" x14ac:dyDescent="0.25">
      <c r="B14" s="105">
        <v>2</v>
      </c>
      <c r="C14" s="17">
        <v>3</v>
      </c>
      <c r="D14" s="17" t="str">
        <f t="shared" si="0"/>
        <v>23</v>
      </c>
      <c r="E14" s="17" t="s">
        <v>874</v>
      </c>
      <c r="F14" s="17" t="s">
        <v>849</v>
      </c>
      <c r="G14" s="113" t="s">
        <v>1199</v>
      </c>
      <c r="H14" s="115">
        <v>1</v>
      </c>
      <c r="I14" s="115"/>
      <c r="J14" s="115"/>
      <c r="K14" s="115">
        <v>1</v>
      </c>
      <c r="L14" s="115"/>
      <c r="M14" s="115"/>
    </row>
    <row r="15" spans="2:13" ht="13.5" thickBot="1" x14ac:dyDescent="0.25">
      <c r="B15" s="105">
        <v>2</v>
      </c>
      <c r="C15" s="17">
        <v>4</v>
      </c>
      <c r="D15" s="17" t="str">
        <f t="shared" si="0"/>
        <v>24</v>
      </c>
      <c r="E15" s="17" t="s">
        <v>874</v>
      </c>
      <c r="F15" s="17" t="s">
        <v>838</v>
      </c>
      <c r="G15" s="113" t="s">
        <v>1199</v>
      </c>
      <c r="H15" s="115">
        <v>1</v>
      </c>
      <c r="I15" s="115"/>
      <c r="J15" s="115"/>
      <c r="K15" s="115">
        <v>1</v>
      </c>
      <c r="L15" s="115"/>
      <c r="M15" s="115"/>
    </row>
    <row r="16" spans="2:13" ht="13.5" thickBot="1" x14ac:dyDescent="0.25">
      <c r="B16" s="105">
        <v>2</v>
      </c>
      <c r="C16" s="17">
        <v>5</v>
      </c>
      <c r="D16" s="17" t="str">
        <f t="shared" si="0"/>
        <v>25</v>
      </c>
      <c r="E16" s="17" t="s">
        <v>874</v>
      </c>
      <c r="F16" s="17" t="s">
        <v>828</v>
      </c>
      <c r="G16" s="113" t="s">
        <v>1199</v>
      </c>
      <c r="H16" s="115">
        <v>1</v>
      </c>
      <c r="I16" s="115"/>
      <c r="J16" s="115"/>
      <c r="K16" s="115">
        <v>1</v>
      </c>
      <c r="L16" s="115"/>
      <c r="M16" s="115"/>
    </row>
    <row r="17" spans="2:13" ht="13.5" thickBot="1" x14ac:dyDescent="0.25">
      <c r="B17" s="105">
        <v>2</v>
      </c>
      <c r="C17" s="17">
        <v>6</v>
      </c>
      <c r="D17" s="17" t="str">
        <f t="shared" si="0"/>
        <v>26</v>
      </c>
      <c r="E17" s="17" t="s">
        <v>874</v>
      </c>
      <c r="F17" s="17" t="s">
        <v>818</v>
      </c>
      <c r="G17" s="113" t="s">
        <v>1199</v>
      </c>
      <c r="H17" s="115">
        <v>1</v>
      </c>
      <c r="I17" s="115"/>
      <c r="J17" s="115"/>
      <c r="K17" s="115">
        <v>1</v>
      </c>
      <c r="L17" s="115"/>
      <c r="M17" s="115"/>
    </row>
    <row r="18" spans="2:13" ht="13.5" thickBot="1" x14ac:dyDescent="0.25">
      <c r="B18" s="105">
        <v>2</v>
      </c>
      <c r="C18" s="17">
        <v>7</v>
      </c>
      <c r="D18" s="17" t="str">
        <f t="shared" si="0"/>
        <v>27</v>
      </c>
      <c r="E18" s="17" t="s">
        <v>874</v>
      </c>
      <c r="F18" s="17" t="s">
        <v>812</v>
      </c>
      <c r="G18" s="113" t="s">
        <v>1199</v>
      </c>
      <c r="H18" s="115">
        <v>1</v>
      </c>
      <c r="I18" s="115"/>
      <c r="J18" s="115"/>
      <c r="K18" s="115">
        <v>1</v>
      </c>
      <c r="L18" s="115"/>
      <c r="M18" s="115"/>
    </row>
    <row r="19" spans="2:13" ht="13.5" thickBot="1" x14ac:dyDescent="0.25">
      <c r="B19" s="105">
        <v>2</v>
      </c>
      <c r="C19" s="17">
        <v>8</v>
      </c>
      <c r="D19" s="17" t="str">
        <f t="shared" si="0"/>
        <v>28</v>
      </c>
      <c r="E19" s="17" t="s">
        <v>874</v>
      </c>
      <c r="F19" s="17" t="s">
        <v>809</v>
      </c>
      <c r="G19" s="113" t="s">
        <v>1199</v>
      </c>
      <c r="H19" s="115">
        <v>1</v>
      </c>
      <c r="I19" s="115"/>
      <c r="J19" s="115"/>
      <c r="K19" s="115">
        <v>1</v>
      </c>
      <c r="L19" s="115"/>
      <c r="M19" s="115"/>
    </row>
    <row r="20" spans="2:13" ht="13.5" thickBot="1" x14ac:dyDescent="0.25">
      <c r="B20" s="105">
        <v>2</v>
      </c>
      <c r="C20" s="17">
        <v>9</v>
      </c>
      <c r="D20" s="17" t="str">
        <f t="shared" si="0"/>
        <v>29</v>
      </c>
      <c r="E20" s="17" t="s">
        <v>874</v>
      </c>
      <c r="F20" s="17" t="s">
        <v>806</v>
      </c>
      <c r="G20" s="113" t="s">
        <v>1199</v>
      </c>
      <c r="H20" s="115">
        <v>1</v>
      </c>
      <c r="I20" s="115"/>
      <c r="J20" s="115"/>
      <c r="K20" s="115">
        <v>1</v>
      </c>
      <c r="L20" s="115"/>
      <c r="M20" s="115"/>
    </row>
    <row r="21" spans="2:13" ht="13.5" thickBot="1" x14ac:dyDescent="0.25">
      <c r="B21" s="27">
        <v>3</v>
      </c>
      <c r="C21" s="17">
        <v>1</v>
      </c>
      <c r="D21" s="17" t="str">
        <f t="shared" si="0"/>
        <v>31</v>
      </c>
      <c r="E21" s="17" t="s">
        <v>890</v>
      </c>
      <c r="F21" s="17" t="s">
        <v>873</v>
      </c>
      <c r="G21" s="112" t="s">
        <v>66</v>
      </c>
      <c r="H21" s="115"/>
      <c r="I21" s="115">
        <v>1</v>
      </c>
      <c r="J21" s="115"/>
      <c r="K21" s="115"/>
      <c r="L21" s="115"/>
      <c r="M21" s="115"/>
    </row>
    <row r="22" spans="2:13" ht="13.5" thickBot="1" x14ac:dyDescent="0.25">
      <c r="B22" s="27">
        <v>3</v>
      </c>
      <c r="C22" s="17">
        <v>2</v>
      </c>
      <c r="D22" s="17" t="str">
        <f t="shared" si="0"/>
        <v>32</v>
      </c>
      <c r="E22" s="17" t="s">
        <v>890</v>
      </c>
      <c r="F22" s="17" t="s">
        <v>861</v>
      </c>
      <c r="G22" s="112" t="s">
        <v>66</v>
      </c>
      <c r="H22" s="115"/>
      <c r="I22" s="115">
        <v>1</v>
      </c>
      <c r="J22" s="115"/>
      <c r="K22" s="115"/>
      <c r="L22" s="115"/>
      <c r="M22" s="115"/>
    </row>
    <row r="23" spans="2:13" ht="13.5" thickBot="1" x14ac:dyDescent="0.25">
      <c r="B23" s="27">
        <v>3</v>
      </c>
      <c r="C23" s="17">
        <v>3</v>
      </c>
      <c r="D23" s="17" t="str">
        <f t="shared" si="0"/>
        <v>33</v>
      </c>
      <c r="E23" s="17" t="s">
        <v>890</v>
      </c>
      <c r="F23" s="17" t="s">
        <v>848</v>
      </c>
      <c r="G23" s="112" t="s">
        <v>66</v>
      </c>
      <c r="H23" s="115"/>
      <c r="I23" s="115">
        <v>1</v>
      </c>
      <c r="J23" s="115"/>
      <c r="K23" s="115"/>
      <c r="L23" s="115"/>
      <c r="M23" s="115"/>
    </row>
    <row r="24" spans="2:13" ht="13.5" thickBot="1" x14ac:dyDescent="0.25">
      <c r="B24" s="27">
        <v>3</v>
      </c>
      <c r="C24" s="17">
        <v>4</v>
      </c>
      <c r="D24" s="17" t="str">
        <f t="shared" ref="D24" si="1">B24&amp;C24</f>
        <v>34</v>
      </c>
      <c r="E24" s="17" t="s">
        <v>890</v>
      </c>
      <c r="F24" s="17" t="s">
        <v>837</v>
      </c>
      <c r="G24" s="112" t="s">
        <v>66</v>
      </c>
      <c r="H24" s="115"/>
      <c r="I24" s="115">
        <v>1</v>
      </c>
      <c r="J24" s="115"/>
      <c r="K24" s="115"/>
      <c r="L24" s="115"/>
      <c r="M24" s="115"/>
    </row>
    <row r="25" spans="2:13" ht="13.5" thickBot="1" x14ac:dyDescent="0.25">
      <c r="B25" s="27">
        <v>3</v>
      </c>
      <c r="C25" s="17">
        <v>9</v>
      </c>
      <c r="D25" s="17" t="str">
        <f t="shared" si="0"/>
        <v>39</v>
      </c>
      <c r="E25" s="17" t="s">
        <v>890</v>
      </c>
      <c r="F25" s="17" t="s">
        <v>806</v>
      </c>
      <c r="G25" s="112" t="s">
        <v>66</v>
      </c>
      <c r="H25" s="115"/>
      <c r="I25" s="115">
        <v>1</v>
      </c>
      <c r="J25" s="115"/>
      <c r="K25" s="115"/>
      <c r="L25" s="115"/>
      <c r="M25" s="115"/>
    </row>
    <row r="26" spans="2:13" ht="13.5" thickBot="1" x14ac:dyDescent="0.25">
      <c r="B26" s="27">
        <v>4</v>
      </c>
      <c r="C26" s="17">
        <v>1</v>
      </c>
      <c r="D26" s="17" t="str">
        <f t="shared" si="0"/>
        <v>41</v>
      </c>
      <c r="E26" s="17" t="s">
        <v>889</v>
      </c>
      <c r="F26" s="17" t="s">
        <v>872</v>
      </c>
      <c r="G26" s="112" t="s">
        <v>66</v>
      </c>
      <c r="H26" s="115"/>
      <c r="I26" s="115">
        <v>1</v>
      </c>
      <c r="J26" s="115"/>
      <c r="K26" s="115"/>
      <c r="L26" s="115"/>
      <c r="M26" s="115"/>
    </row>
    <row r="27" spans="2:13" ht="13.5" thickBot="1" x14ac:dyDescent="0.25">
      <c r="B27" s="27">
        <v>4</v>
      </c>
      <c r="C27" s="17">
        <v>2</v>
      </c>
      <c r="D27" s="17" t="str">
        <f t="shared" si="0"/>
        <v>42</v>
      </c>
      <c r="E27" s="17" t="s">
        <v>889</v>
      </c>
      <c r="F27" s="17" t="s">
        <v>860</v>
      </c>
      <c r="G27" s="112" t="s">
        <v>66</v>
      </c>
      <c r="H27" s="115"/>
      <c r="I27" s="115">
        <v>1</v>
      </c>
      <c r="J27" s="115"/>
      <c r="K27" s="115"/>
      <c r="L27" s="115"/>
      <c r="M27" s="115"/>
    </row>
    <row r="28" spans="2:13" ht="13.5" thickBot="1" x14ac:dyDescent="0.25">
      <c r="B28" s="27">
        <v>4</v>
      </c>
      <c r="C28" s="17">
        <v>3</v>
      </c>
      <c r="D28" s="17" t="str">
        <f t="shared" si="0"/>
        <v>43</v>
      </c>
      <c r="E28" s="17" t="s">
        <v>889</v>
      </c>
      <c r="F28" s="17" t="s">
        <v>847</v>
      </c>
      <c r="G28" s="110" t="s">
        <v>65</v>
      </c>
      <c r="H28" s="116"/>
      <c r="I28" s="116"/>
      <c r="J28" s="116"/>
      <c r="K28" s="116">
        <v>1</v>
      </c>
      <c r="L28" s="116"/>
      <c r="M28" s="116"/>
    </row>
    <row r="29" spans="2:13" ht="13.5" thickBot="1" x14ac:dyDescent="0.25">
      <c r="B29" s="27">
        <v>4</v>
      </c>
      <c r="C29" s="17">
        <v>4</v>
      </c>
      <c r="D29" s="17" t="str">
        <f t="shared" si="0"/>
        <v>44</v>
      </c>
      <c r="E29" s="17" t="s">
        <v>889</v>
      </c>
      <c r="F29" s="17" t="s">
        <v>836</v>
      </c>
      <c r="G29" s="112" t="s">
        <v>66</v>
      </c>
      <c r="H29" s="115"/>
      <c r="I29" s="115">
        <v>1</v>
      </c>
      <c r="J29" s="115"/>
      <c r="K29" s="115"/>
      <c r="L29" s="115"/>
      <c r="M29" s="115"/>
    </row>
    <row r="30" spans="2:13" ht="13.5" thickBot="1" x14ac:dyDescent="0.25">
      <c r="B30" s="27">
        <v>4</v>
      </c>
      <c r="C30" s="17">
        <v>5</v>
      </c>
      <c r="D30" s="17" t="str">
        <f t="shared" si="0"/>
        <v>45</v>
      </c>
      <c r="E30" s="17" t="s">
        <v>889</v>
      </c>
      <c r="F30" s="17" t="s">
        <v>827</v>
      </c>
      <c r="G30" s="114" t="s">
        <v>67</v>
      </c>
      <c r="H30" s="117"/>
      <c r="I30" s="117"/>
      <c r="J30" s="117">
        <v>1</v>
      </c>
      <c r="K30" s="117"/>
      <c r="L30" s="117"/>
      <c r="M30" s="117"/>
    </row>
    <row r="31" spans="2:13" ht="13.5" thickBot="1" x14ac:dyDescent="0.25">
      <c r="B31" s="27">
        <v>4</v>
      </c>
      <c r="C31" s="17">
        <v>6</v>
      </c>
      <c r="D31" s="17" t="str">
        <f t="shared" si="0"/>
        <v>46</v>
      </c>
      <c r="E31" s="17" t="s">
        <v>889</v>
      </c>
      <c r="F31" s="17" t="s">
        <v>817</v>
      </c>
      <c r="G31" s="112" t="s">
        <v>66</v>
      </c>
      <c r="H31" s="115"/>
      <c r="I31" s="115">
        <v>1</v>
      </c>
      <c r="J31" s="115"/>
      <c r="K31" s="115"/>
      <c r="L31" s="115"/>
      <c r="M31" s="115"/>
    </row>
    <row r="32" spans="2:13" ht="13.5" thickBot="1" x14ac:dyDescent="0.25">
      <c r="B32" s="27">
        <v>4</v>
      </c>
      <c r="C32" s="17">
        <v>7</v>
      </c>
      <c r="D32" s="17" t="str">
        <f t="shared" si="0"/>
        <v>47</v>
      </c>
      <c r="E32" s="17" t="s">
        <v>889</v>
      </c>
      <c r="F32" s="17" t="s">
        <v>811</v>
      </c>
      <c r="G32" s="112" t="s">
        <v>66</v>
      </c>
      <c r="H32" s="115"/>
      <c r="I32" s="115">
        <v>1</v>
      </c>
      <c r="J32" s="115"/>
      <c r="K32" s="115"/>
      <c r="L32" s="115"/>
      <c r="M32" s="115"/>
    </row>
    <row r="33" spans="2:13" ht="13.5" thickBot="1" x14ac:dyDescent="0.25">
      <c r="B33" s="27">
        <v>4</v>
      </c>
      <c r="C33" s="17">
        <v>8</v>
      </c>
      <c r="D33" s="17" t="str">
        <f t="shared" si="0"/>
        <v>48</v>
      </c>
      <c r="E33" s="17" t="s">
        <v>889</v>
      </c>
      <c r="F33" s="17" t="s">
        <v>808</v>
      </c>
      <c r="G33" s="112" t="s">
        <v>66</v>
      </c>
      <c r="H33" s="115"/>
      <c r="I33" s="115">
        <v>1</v>
      </c>
      <c r="J33" s="115"/>
      <c r="K33" s="115"/>
      <c r="L33" s="115"/>
      <c r="M33" s="115"/>
    </row>
    <row r="34" spans="2:13" ht="13.5" thickBot="1" x14ac:dyDescent="0.25">
      <c r="B34" s="27">
        <v>4</v>
      </c>
      <c r="C34" s="17">
        <v>9</v>
      </c>
      <c r="D34" s="17" t="str">
        <f t="shared" si="0"/>
        <v>49</v>
      </c>
      <c r="E34" s="17" t="s">
        <v>889</v>
      </c>
      <c r="F34" s="17" t="s">
        <v>806</v>
      </c>
      <c r="G34" s="112" t="s">
        <v>66</v>
      </c>
      <c r="H34" s="115"/>
      <c r="I34" s="115">
        <v>1</v>
      </c>
      <c r="J34" s="115"/>
      <c r="K34" s="115"/>
      <c r="L34" s="115"/>
      <c r="M34" s="115"/>
    </row>
    <row r="35" spans="2:13" ht="13.5" thickBot="1" x14ac:dyDescent="0.25">
      <c r="B35" s="27">
        <v>5</v>
      </c>
      <c r="C35" s="17">
        <v>1</v>
      </c>
      <c r="D35" s="17" t="str">
        <f t="shared" si="0"/>
        <v>51</v>
      </c>
      <c r="E35" s="17" t="s">
        <v>888</v>
      </c>
      <c r="F35" s="17" t="s">
        <v>871</v>
      </c>
      <c r="G35" s="112" t="s">
        <v>66</v>
      </c>
      <c r="H35" s="115"/>
      <c r="I35" s="115">
        <v>1</v>
      </c>
      <c r="J35" s="115"/>
      <c r="K35" s="115"/>
      <c r="L35" s="115"/>
      <c r="M35" s="115"/>
    </row>
    <row r="36" spans="2:13" ht="13.5" thickBot="1" x14ac:dyDescent="0.25">
      <c r="B36" s="27">
        <v>5</v>
      </c>
      <c r="C36" s="17">
        <v>2</v>
      </c>
      <c r="D36" s="17" t="str">
        <f t="shared" ref="D36:D67" si="2">B36&amp;C36</f>
        <v>52</v>
      </c>
      <c r="E36" s="17" t="s">
        <v>888</v>
      </c>
      <c r="F36" s="17" t="s">
        <v>859</v>
      </c>
      <c r="G36" s="113" t="s">
        <v>1200</v>
      </c>
      <c r="H36" s="115">
        <v>1</v>
      </c>
      <c r="I36" s="115"/>
      <c r="J36" s="115"/>
      <c r="K36" s="115"/>
      <c r="L36" s="115"/>
      <c r="M36" s="115"/>
    </row>
    <row r="37" spans="2:13" ht="13.5" thickBot="1" x14ac:dyDescent="0.25">
      <c r="B37" s="27">
        <v>5</v>
      </c>
      <c r="C37" s="17">
        <v>3</v>
      </c>
      <c r="D37" s="17" t="str">
        <f t="shared" si="2"/>
        <v>53</v>
      </c>
      <c r="E37" s="17" t="s">
        <v>888</v>
      </c>
      <c r="F37" s="17" t="s">
        <v>846</v>
      </c>
      <c r="G37" s="111" t="s">
        <v>1198</v>
      </c>
      <c r="H37" s="116"/>
      <c r="I37" s="116"/>
      <c r="J37" s="116"/>
      <c r="K37" s="116"/>
      <c r="L37" s="116"/>
      <c r="M37" s="116"/>
    </row>
    <row r="38" spans="2:13" ht="13.5" thickBot="1" x14ac:dyDescent="0.25">
      <c r="B38" s="27">
        <v>5</v>
      </c>
      <c r="C38" s="17">
        <v>4</v>
      </c>
      <c r="D38" s="17" t="str">
        <f t="shared" si="2"/>
        <v>54</v>
      </c>
      <c r="E38" s="17" t="s">
        <v>888</v>
      </c>
      <c r="F38" s="17" t="s">
        <v>835</v>
      </c>
      <c r="G38" s="113" t="s">
        <v>1201</v>
      </c>
      <c r="H38" s="115">
        <v>1</v>
      </c>
      <c r="I38" s="115"/>
      <c r="J38" s="115"/>
      <c r="K38" s="115">
        <v>1</v>
      </c>
      <c r="L38" s="115"/>
      <c r="M38" s="115"/>
    </row>
    <row r="39" spans="2:13" ht="13.5" thickBot="1" x14ac:dyDescent="0.25">
      <c r="B39" s="27">
        <v>5</v>
      </c>
      <c r="C39" s="17">
        <v>5</v>
      </c>
      <c r="D39" s="17" t="str">
        <f t="shared" si="2"/>
        <v>55</v>
      </c>
      <c r="E39" s="17" t="s">
        <v>888</v>
      </c>
      <c r="F39" s="17" t="s">
        <v>826</v>
      </c>
      <c r="G39" s="114" t="s">
        <v>67</v>
      </c>
      <c r="H39" s="117"/>
      <c r="I39" s="117"/>
      <c r="J39" s="117">
        <v>1</v>
      </c>
      <c r="K39" s="117"/>
      <c r="L39" s="117"/>
      <c r="M39" s="117"/>
    </row>
    <row r="40" spans="2:13" ht="13.5" thickBot="1" x14ac:dyDescent="0.25">
      <c r="B40" s="27">
        <v>5</v>
      </c>
      <c r="C40" s="17">
        <v>6</v>
      </c>
      <c r="D40" s="17" t="str">
        <f t="shared" si="2"/>
        <v>56</v>
      </c>
      <c r="E40" s="17" t="s">
        <v>888</v>
      </c>
      <c r="F40" s="17" t="s">
        <v>816</v>
      </c>
      <c r="G40" s="112" t="s">
        <v>66</v>
      </c>
      <c r="H40" s="115"/>
      <c r="I40" s="115">
        <v>1</v>
      </c>
      <c r="J40" s="115"/>
      <c r="K40" s="115"/>
      <c r="L40" s="115"/>
      <c r="M40" s="115"/>
    </row>
    <row r="41" spans="2:13" ht="13.5" thickBot="1" x14ac:dyDescent="0.25">
      <c r="B41" s="27">
        <v>5</v>
      </c>
      <c r="C41" s="17">
        <v>7</v>
      </c>
      <c r="D41" s="17" t="str">
        <f t="shared" si="2"/>
        <v>57</v>
      </c>
      <c r="E41" s="17" t="s">
        <v>888</v>
      </c>
      <c r="F41" s="17" t="s">
        <v>810</v>
      </c>
      <c r="G41" s="112" t="s">
        <v>66</v>
      </c>
      <c r="H41" s="115"/>
      <c r="I41" s="115">
        <v>1</v>
      </c>
      <c r="J41" s="115"/>
      <c r="K41" s="115"/>
      <c r="L41" s="115"/>
      <c r="M41" s="115"/>
    </row>
    <row r="42" spans="2:13" ht="13.5" thickBot="1" x14ac:dyDescent="0.25">
      <c r="B42" s="27">
        <v>5</v>
      </c>
      <c r="C42" s="17">
        <v>8</v>
      </c>
      <c r="D42" s="17" t="str">
        <f t="shared" si="2"/>
        <v>58</v>
      </c>
      <c r="E42" s="17" t="s">
        <v>888</v>
      </c>
      <c r="F42" s="17" t="s">
        <v>807</v>
      </c>
      <c r="G42" s="112" t="s">
        <v>66</v>
      </c>
      <c r="H42" s="115"/>
      <c r="I42" s="115">
        <v>1</v>
      </c>
      <c r="J42" s="115"/>
      <c r="K42" s="115"/>
      <c r="L42" s="115"/>
      <c r="M42" s="115"/>
    </row>
    <row r="43" spans="2:13" ht="13.5" thickBot="1" x14ac:dyDescent="0.25">
      <c r="B43" s="27">
        <v>5</v>
      </c>
      <c r="C43" s="17">
        <v>9</v>
      </c>
      <c r="D43" s="17" t="str">
        <f t="shared" si="2"/>
        <v>59</v>
      </c>
      <c r="E43" s="17" t="s">
        <v>888</v>
      </c>
      <c r="F43" s="17" t="s">
        <v>806</v>
      </c>
      <c r="G43" s="112" t="s">
        <v>66</v>
      </c>
      <c r="H43" s="115"/>
      <c r="I43" s="115">
        <v>1</v>
      </c>
      <c r="J43" s="115"/>
      <c r="K43" s="115"/>
      <c r="L43" s="115"/>
      <c r="M43" s="115"/>
    </row>
    <row r="44" spans="2:13" ht="13.5" thickBot="1" x14ac:dyDescent="0.25">
      <c r="B44" s="27">
        <v>6</v>
      </c>
      <c r="C44" s="17">
        <v>1</v>
      </c>
      <c r="D44" s="17" t="str">
        <f t="shared" si="2"/>
        <v>61</v>
      </c>
      <c r="E44" s="17" t="s">
        <v>887</v>
      </c>
      <c r="F44" s="17" t="s">
        <v>871</v>
      </c>
      <c r="G44" s="112" t="s">
        <v>66</v>
      </c>
      <c r="H44" s="115"/>
      <c r="I44" s="115">
        <v>1</v>
      </c>
      <c r="J44" s="115"/>
      <c r="K44" s="115"/>
      <c r="L44" s="115"/>
      <c r="M44" s="115"/>
    </row>
    <row r="45" spans="2:13" ht="13.5" thickBot="1" x14ac:dyDescent="0.25">
      <c r="B45" s="27">
        <v>6</v>
      </c>
      <c r="C45" s="17">
        <v>2</v>
      </c>
      <c r="D45" s="17" t="str">
        <f t="shared" si="2"/>
        <v>62</v>
      </c>
      <c r="E45" s="17" t="s">
        <v>887</v>
      </c>
      <c r="F45" s="17" t="s">
        <v>859</v>
      </c>
      <c r="G45" s="113" t="s">
        <v>1200</v>
      </c>
      <c r="H45" s="115">
        <v>1</v>
      </c>
      <c r="I45" s="115"/>
      <c r="J45" s="115"/>
      <c r="K45" s="115"/>
      <c r="L45" s="115"/>
      <c r="M45" s="115"/>
    </row>
    <row r="46" spans="2:13" ht="13.5" thickBot="1" x14ac:dyDescent="0.25">
      <c r="B46" s="27">
        <v>6</v>
      </c>
      <c r="C46" s="17">
        <v>3</v>
      </c>
      <c r="D46" s="17" t="str">
        <f t="shared" si="2"/>
        <v>63</v>
      </c>
      <c r="E46" s="17" t="s">
        <v>887</v>
      </c>
      <c r="F46" s="17" t="s">
        <v>846</v>
      </c>
      <c r="G46" s="111" t="s">
        <v>1198</v>
      </c>
      <c r="H46" s="116"/>
      <c r="I46" s="116"/>
      <c r="J46" s="116"/>
      <c r="K46" s="116"/>
      <c r="L46" s="116"/>
      <c r="M46" s="116"/>
    </row>
    <row r="47" spans="2:13" ht="13.5" thickBot="1" x14ac:dyDescent="0.25">
      <c r="B47" s="27">
        <v>6</v>
      </c>
      <c r="C47" s="17">
        <v>4</v>
      </c>
      <c r="D47" s="17" t="str">
        <f t="shared" si="2"/>
        <v>64</v>
      </c>
      <c r="E47" s="17" t="s">
        <v>887</v>
      </c>
      <c r="F47" s="17" t="s">
        <v>835</v>
      </c>
      <c r="G47" s="113" t="s">
        <v>1201</v>
      </c>
      <c r="H47" s="115">
        <v>1</v>
      </c>
      <c r="I47" s="115"/>
      <c r="J47" s="115"/>
      <c r="K47" s="115">
        <v>1</v>
      </c>
      <c r="L47" s="115"/>
      <c r="M47" s="115"/>
    </row>
    <row r="48" spans="2:13" ht="13.5" thickBot="1" x14ac:dyDescent="0.25">
      <c r="B48" s="27">
        <v>6</v>
      </c>
      <c r="C48" s="17">
        <v>5</v>
      </c>
      <c r="D48" s="17" t="str">
        <f t="shared" si="2"/>
        <v>65</v>
      </c>
      <c r="E48" s="17" t="s">
        <v>887</v>
      </c>
      <c r="F48" s="17" t="s">
        <v>826</v>
      </c>
      <c r="G48" s="114" t="s">
        <v>67</v>
      </c>
      <c r="H48" s="117"/>
      <c r="I48" s="117"/>
      <c r="J48" s="117">
        <v>1</v>
      </c>
      <c r="K48" s="117"/>
      <c r="L48" s="117"/>
      <c r="M48" s="117"/>
    </row>
    <row r="49" spans="2:13" ht="13.5" thickBot="1" x14ac:dyDescent="0.25">
      <c r="B49" s="27">
        <v>6</v>
      </c>
      <c r="C49" s="17">
        <v>6</v>
      </c>
      <c r="D49" s="17" t="str">
        <f t="shared" si="2"/>
        <v>66</v>
      </c>
      <c r="E49" s="17" t="s">
        <v>887</v>
      </c>
      <c r="F49" s="17" t="s">
        <v>816</v>
      </c>
      <c r="G49" s="112" t="s">
        <v>66</v>
      </c>
      <c r="H49" s="115"/>
      <c r="I49" s="115">
        <v>1</v>
      </c>
      <c r="J49" s="115"/>
      <c r="K49" s="115"/>
      <c r="L49" s="115"/>
      <c r="M49" s="115"/>
    </row>
    <row r="50" spans="2:13" ht="13.5" thickBot="1" x14ac:dyDescent="0.25">
      <c r="B50" s="27">
        <v>6</v>
      </c>
      <c r="C50" s="17">
        <v>7</v>
      </c>
      <c r="D50" s="17" t="str">
        <f t="shared" si="2"/>
        <v>67</v>
      </c>
      <c r="E50" s="17" t="s">
        <v>887</v>
      </c>
      <c r="F50" s="17" t="s">
        <v>810</v>
      </c>
      <c r="G50" s="112" t="s">
        <v>66</v>
      </c>
      <c r="H50" s="115"/>
      <c r="I50" s="115">
        <v>1</v>
      </c>
      <c r="J50" s="115"/>
      <c r="K50" s="115"/>
      <c r="L50" s="115"/>
      <c r="M50" s="115"/>
    </row>
    <row r="51" spans="2:13" ht="13.5" thickBot="1" x14ac:dyDescent="0.25">
      <c r="B51" s="27">
        <v>6</v>
      </c>
      <c r="C51" s="17">
        <v>8</v>
      </c>
      <c r="D51" s="17" t="str">
        <f t="shared" si="2"/>
        <v>68</v>
      </c>
      <c r="E51" s="17" t="s">
        <v>887</v>
      </c>
      <c r="F51" s="17" t="s">
        <v>807</v>
      </c>
      <c r="G51" s="112" t="s">
        <v>66</v>
      </c>
      <c r="H51" s="115"/>
      <c r="I51" s="115">
        <v>1</v>
      </c>
      <c r="J51" s="115"/>
      <c r="K51" s="115"/>
      <c r="L51" s="115"/>
      <c r="M51" s="115"/>
    </row>
    <row r="52" spans="2:13" ht="13.5" thickBot="1" x14ac:dyDescent="0.25">
      <c r="B52" s="27">
        <v>6</v>
      </c>
      <c r="C52" s="17">
        <v>9</v>
      </c>
      <c r="D52" s="17" t="str">
        <f t="shared" si="2"/>
        <v>69</v>
      </c>
      <c r="E52" s="17" t="s">
        <v>887</v>
      </c>
      <c r="F52" s="17" t="s">
        <v>806</v>
      </c>
      <c r="G52" s="112" t="s">
        <v>66</v>
      </c>
      <c r="H52" s="115"/>
      <c r="I52" s="115">
        <v>1</v>
      </c>
      <c r="J52" s="115"/>
      <c r="K52" s="115"/>
      <c r="L52" s="115"/>
      <c r="M52" s="115"/>
    </row>
    <row r="53" spans="2:13" ht="13.5" thickBot="1" x14ac:dyDescent="0.25">
      <c r="B53" s="106">
        <v>7</v>
      </c>
      <c r="C53" s="17">
        <v>1</v>
      </c>
      <c r="D53" s="17" t="str">
        <f t="shared" si="2"/>
        <v>71</v>
      </c>
      <c r="E53" s="17" t="s">
        <v>886</v>
      </c>
      <c r="F53" s="17" t="s">
        <v>65</v>
      </c>
      <c r="G53" s="110" t="s">
        <v>65</v>
      </c>
      <c r="H53" s="116"/>
      <c r="I53" s="116"/>
      <c r="J53" s="116"/>
      <c r="K53" s="116">
        <v>1</v>
      </c>
      <c r="L53" s="116"/>
      <c r="M53" s="116"/>
    </row>
    <row r="54" spans="2:13" ht="13.5" thickBot="1" x14ac:dyDescent="0.25">
      <c r="B54" s="106">
        <v>7</v>
      </c>
      <c r="C54" s="17">
        <v>2</v>
      </c>
      <c r="D54" s="17" t="str">
        <f t="shared" si="2"/>
        <v>72</v>
      </c>
      <c r="E54" s="17" t="s">
        <v>886</v>
      </c>
      <c r="F54" s="17" t="s">
        <v>858</v>
      </c>
      <c r="G54" s="110" t="s">
        <v>65</v>
      </c>
      <c r="H54" s="116"/>
      <c r="I54" s="116"/>
      <c r="J54" s="116"/>
      <c r="K54" s="116">
        <v>1</v>
      </c>
      <c r="L54" s="116"/>
      <c r="M54" s="116"/>
    </row>
    <row r="55" spans="2:13" ht="13.5" thickBot="1" x14ac:dyDescent="0.25">
      <c r="B55" s="106">
        <v>7</v>
      </c>
      <c r="C55" s="17">
        <v>3</v>
      </c>
      <c r="D55" s="17" t="str">
        <f t="shared" si="2"/>
        <v>73</v>
      </c>
      <c r="E55" s="17" t="s">
        <v>886</v>
      </c>
      <c r="F55" s="17" t="s">
        <v>845</v>
      </c>
      <c r="G55" s="110" t="s">
        <v>65</v>
      </c>
      <c r="H55" s="116"/>
      <c r="I55" s="116"/>
      <c r="J55" s="116"/>
      <c r="K55" s="116">
        <v>1</v>
      </c>
      <c r="L55" s="116"/>
      <c r="M55" s="116"/>
    </row>
    <row r="56" spans="2:13" ht="13.5" thickBot="1" x14ac:dyDescent="0.25">
      <c r="B56" s="106">
        <v>7</v>
      </c>
      <c r="C56" s="17">
        <v>4</v>
      </c>
      <c r="D56" s="17" t="str">
        <f t="shared" si="2"/>
        <v>74</v>
      </c>
      <c r="E56" s="17" t="s">
        <v>886</v>
      </c>
      <c r="F56" s="17" t="s">
        <v>834</v>
      </c>
      <c r="G56" s="110" t="s">
        <v>65</v>
      </c>
      <c r="H56" s="116"/>
      <c r="I56" s="116"/>
      <c r="J56" s="116"/>
      <c r="K56" s="116">
        <v>1</v>
      </c>
      <c r="L56" s="116"/>
      <c r="M56" s="116"/>
    </row>
    <row r="57" spans="2:13" ht="13.5" thickBot="1" x14ac:dyDescent="0.25">
      <c r="B57" s="106">
        <v>7</v>
      </c>
      <c r="C57" s="17">
        <v>5</v>
      </c>
      <c r="D57" s="17" t="str">
        <f t="shared" si="2"/>
        <v>75</v>
      </c>
      <c r="E57" s="17" t="s">
        <v>886</v>
      </c>
      <c r="F57" s="17" t="s">
        <v>825</v>
      </c>
      <c r="G57" s="110" t="s">
        <v>65</v>
      </c>
      <c r="H57" s="116"/>
      <c r="I57" s="116"/>
      <c r="J57" s="116"/>
      <c r="K57" s="116">
        <v>1</v>
      </c>
      <c r="L57" s="116"/>
      <c r="M57" s="116"/>
    </row>
    <row r="58" spans="2:13" ht="13.5" thickBot="1" x14ac:dyDescent="0.25">
      <c r="B58" s="106">
        <v>7</v>
      </c>
      <c r="C58" s="17">
        <v>9</v>
      </c>
      <c r="D58" s="17" t="str">
        <f t="shared" si="2"/>
        <v>79</v>
      </c>
      <c r="E58" s="17" t="s">
        <v>886</v>
      </c>
      <c r="F58" s="17" t="s">
        <v>806</v>
      </c>
      <c r="G58" s="110" t="s">
        <v>65</v>
      </c>
      <c r="H58" s="116"/>
      <c r="I58" s="116"/>
      <c r="J58" s="116"/>
      <c r="K58" s="116">
        <v>1</v>
      </c>
      <c r="L58" s="116"/>
      <c r="M58" s="116"/>
    </row>
    <row r="59" spans="2:13" ht="13.5" thickBot="1" x14ac:dyDescent="0.25">
      <c r="B59" s="107">
        <v>8</v>
      </c>
      <c r="C59" s="17">
        <v>1</v>
      </c>
      <c r="D59" s="17" t="str">
        <f t="shared" si="2"/>
        <v>81</v>
      </c>
      <c r="E59" s="17" t="s">
        <v>885</v>
      </c>
      <c r="F59" s="17" t="s">
        <v>870</v>
      </c>
      <c r="G59" s="113" t="s">
        <v>1201</v>
      </c>
      <c r="H59" s="115"/>
      <c r="I59" s="115"/>
      <c r="J59" s="115"/>
      <c r="K59" s="115">
        <v>1</v>
      </c>
      <c r="L59" s="115"/>
      <c r="M59" s="115"/>
    </row>
    <row r="60" spans="2:13" ht="13.5" thickBot="1" x14ac:dyDescent="0.25">
      <c r="B60" s="107">
        <v>8</v>
      </c>
      <c r="C60" s="17">
        <v>2</v>
      </c>
      <c r="D60" s="17" t="str">
        <f t="shared" si="2"/>
        <v>82</v>
      </c>
      <c r="E60" s="17" t="s">
        <v>885</v>
      </c>
      <c r="F60" s="17" t="s">
        <v>857</v>
      </c>
      <c r="G60" s="113" t="s">
        <v>1201</v>
      </c>
      <c r="H60" s="115"/>
      <c r="I60" s="115"/>
      <c r="J60" s="115"/>
      <c r="K60" s="115">
        <v>1</v>
      </c>
      <c r="L60" s="115"/>
      <c r="M60" s="115"/>
    </row>
    <row r="61" spans="2:13" ht="13.5" thickBot="1" x14ac:dyDescent="0.25">
      <c r="B61" s="107">
        <v>8</v>
      </c>
      <c r="C61" s="17">
        <v>4</v>
      </c>
      <c r="D61" s="17" t="str">
        <f t="shared" si="2"/>
        <v>84</v>
      </c>
      <c r="E61" s="17" t="s">
        <v>885</v>
      </c>
      <c r="F61" s="17" t="s">
        <v>833</v>
      </c>
      <c r="G61" s="114" t="s">
        <v>67</v>
      </c>
      <c r="H61" s="117"/>
      <c r="I61" s="117"/>
      <c r="J61" s="117">
        <v>1</v>
      </c>
      <c r="K61" s="117"/>
      <c r="L61" s="117"/>
      <c r="M61" s="117"/>
    </row>
    <row r="62" spans="2:13" ht="13.5" thickBot="1" x14ac:dyDescent="0.25">
      <c r="B62" s="107">
        <v>8</v>
      </c>
      <c r="C62" s="17">
        <v>5</v>
      </c>
      <c r="D62" s="17" t="str">
        <f t="shared" si="2"/>
        <v>85</v>
      </c>
      <c r="E62" s="17" t="s">
        <v>885</v>
      </c>
      <c r="F62" s="17" t="s">
        <v>824</v>
      </c>
      <c r="G62" s="113" t="s">
        <v>1201</v>
      </c>
      <c r="H62" s="115"/>
      <c r="I62" s="115"/>
      <c r="J62" s="115"/>
      <c r="K62" s="115">
        <v>1</v>
      </c>
      <c r="L62" s="115"/>
      <c r="M62" s="115"/>
    </row>
    <row r="63" spans="2:13" ht="13.5" thickBot="1" x14ac:dyDescent="0.25">
      <c r="B63" s="107">
        <v>8</v>
      </c>
      <c r="C63" s="17">
        <v>6</v>
      </c>
      <c r="D63" s="17" t="str">
        <f t="shared" si="2"/>
        <v>86</v>
      </c>
      <c r="E63" s="17" t="s">
        <v>885</v>
      </c>
      <c r="F63" s="17" t="s">
        <v>815</v>
      </c>
      <c r="G63" s="113" t="s">
        <v>1201</v>
      </c>
      <c r="H63" s="115"/>
      <c r="I63" s="115"/>
      <c r="J63" s="115"/>
      <c r="K63" s="115">
        <v>1</v>
      </c>
      <c r="L63" s="115"/>
      <c r="M63" s="115"/>
    </row>
    <row r="64" spans="2:13" ht="13.5" thickBot="1" x14ac:dyDescent="0.25">
      <c r="B64" s="107">
        <v>8</v>
      </c>
      <c r="C64" s="17">
        <v>9</v>
      </c>
      <c r="D64" s="17" t="str">
        <f t="shared" si="2"/>
        <v>89</v>
      </c>
      <c r="E64" s="17" t="s">
        <v>885</v>
      </c>
      <c r="F64" s="17" t="s">
        <v>806</v>
      </c>
      <c r="G64" s="112" t="s">
        <v>66</v>
      </c>
      <c r="H64" s="115"/>
      <c r="I64" s="115">
        <v>1</v>
      </c>
      <c r="J64" s="115"/>
      <c r="K64" s="115"/>
      <c r="L64" s="115"/>
      <c r="M64" s="115"/>
    </row>
    <row r="65" spans="2:13" ht="13.5" thickBot="1" x14ac:dyDescent="0.25">
      <c r="B65" s="107">
        <v>9</v>
      </c>
      <c r="C65" s="17">
        <v>1</v>
      </c>
      <c r="D65" s="17" t="str">
        <f t="shared" si="2"/>
        <v>91</v>
      </c>
      <c r="E65" s="17" t="s">
        <v>67</v>
      </c>
      <c r="F65" s="17" t="s">
        <v>869</v>
      </c>
      <c r="G65" s="114" t="s">
        <v>67</v>
      </c>
      <c r="H65" s="117"/>
      <c r="I65" s="117"/>
      <c r="J65" s="117">
        <v>1</v>
      </c>
      <c r="K65" s="117"/>
      <c r="L65" s="117"/>
      <c r="M65" s="117"/>
    </row>
    <row r="66" spans="2:13" ht="13.5" thickBot="1" x14ac:dyDescent="0.25">
      <c r="B66" s="107">
        <v>9</v>
      </c>
      <c r="C66" s="17">
        <v>2</v>
      </c>
      <c r="D66" s="17" t="str">
        <f t="shared" si="2"/>
        <v>92</v>
      </c>
      <c r="E66" s="17" t="s">
        <v>67</v>
      </c>
      <c r="F66" s="17" t="s">
        <v>856</v>
      </c>
      <c r="G66" s="114" t="s">
        <v>67</v>
      </c>
      <c r="H66" s="117"/>
      <c r="I66" s="117"/>
      <c r="J66" s="117">
        <v>1</v>
      </c>
      <c r="K66" s="117"/>
      <c r="L66" s="117"/>
      <c r="M66" s="117"/>
    </row>
    <row r="67" spans="2:13" ht="13.5" thickBot="1" x14ac:dyDescent="0.25">
      <c r="B67" s="107">
        <v>9</v>
      </c>
      <c r="C67" s="17">
        <v>3</v>
      </c>
      <c r="D67" s="17" t="str">
        <f t="shared" si="2"/>
        <v>93</v>
      </c>
      <c r="E67" s="17" t="s">
        <v>67</v>
      </c>
      <c r="F67" s="17" t="s">
        <v>844</v>
      </c>
      <c r="G67" s="114" t="s">
        <v>67</v>
      </c>
      <c r="H67" s="117"/>
      <c r="I67" s="117"/>
      <c r="J67" s="117">
        <v>1</v>
      </c>
      <c r="K67" s="117"/>
      <c r="L67" s="117"/>
      <c r="M67" s="117"/>
    </row>
    <row r="68" spans="2:13" ht="13.5" thickBot="1" x14ac:dyDescent="0.25">
      <c r="B68" s="107">
        <v>9</v>
      </c>
      <c r="C68" s="17">
        <v>4</v>
      </c>
      <c r="D68" s="17" t="str">
        <f t="shared" ref="D68:D99" si="3">B68&amp;C68</f>
        <v>94</v>
      </c>
      <c r="E68" s="17" t="s">
        <v>67</v>
      </c>
      <c r="F68" s="17" t="s">
        <v>832</v>
      </c>
      <c r="G68" s="114" t="s">
        <v>67</v>
      </c>
      <c r="H68" s="117"/>
      <c r="I68" s="117"/>
      <c r="J68" s="117">
        <v>1</v>
      </c>
      <c r="K68" s="117"/>
      <c r="L68" s="117"/>
      <c r="M68" s="117"/>
    </row>
    <row r="69" spans="2:13" ht="13.5" thickBot="1" x14ac:dyDescent="0.25">
      <c r="B69" s="107">
        <v>9</v>
      </c>
      <c r="C69" s="17">
        <v>5</v>
      </c>
      <c r="D69" s="17" t="str">
        <f t="shared" si="3"/>
        <v>95</v>
      </c>
      <c r="E69" s="17" t="s">
        <v>67</v>
      </c>
      <c r="F69" s="17" t="s">
        <v>823</v>
      </c>
      <c r="G69" s="114" t="s">
        <v>67</v>
      </c>
      <c r="H69" s="117"/>
      <c r="I69" s="117"/>
      <c r="J69" s="117">
        <v>1</v>
      </c>
      <c r="K69" s="117"/>
      <c r="L69" s="117"/>
      <c r="M69" s="117"/>
    </row>
    <row r="70" spans="2:13" ht="13.5" thickBot="1" x14ac:dyDescent="0.25">
      <c r="B70" s="107">
        <v>9</v>
      </c>
      <c r="C70" s="17">
        <v>9</v>
      </c>
      <c r="D70" s="17" t="str">
        <f t="shared" si="3"/>
        <v>99</v>
      </c>
      <c r="E70" s="17" t="s">
        <v>67</v>
      </c>
      <c r="F70" s="17" t="s">
        <v>806</v>
      </c>
      <c r="G70" s="114" t="s">
        <v>67</v>
      </c>
      <c r="H70" s="117"/>
      <c r="I70" s="117"/>
      <c r="J70" s="117">
        <v>1</v>
      </c>
      <c r="K70" s="117"/>
      <c r="L70" s="117"/>
      <c r="M70" s="117"/>
    </row>
    <row r="71" spans="2:13" ht="13.5" thickBot="1" x14ac:dyDescent="0.25">
      <c r="B71" s="27" t="s">
        <v>48</v>
      </c>
      <c r="C71" s="17">
        <v>1</v>
      </c>
      <c r="D71" s="17" t="str">
        <f t="shared" si="3"/>
        <v>A1</v>
      </c>
      <c r="E71" s="17" t="s">
        <v>883</v>
      </c>
      <c r="F71" s="17" t="s">
        <v>868</v>
      </c>
      <c r="G71" s="112" t="s">
        <v>66</v>
      </c>
      <c r="H71" s="115"/>
      <c r="I71" s="115">
        <v>1</v>
      </c>
      <c r="J71" s="115"/>
      <c r="K71" s="115"/>
      <c r="L71" s="115"/>
      <c r="M71" s="115"/>
    </row>
    <row r="72" spans="2:13" ht="13.5" thickBot="1" x14ac:dyDescent="0.25">
      <c r="B72" s="27" t="s">
        <v>48</v>
      </c>
      <c r="C72" s="17">
        <v>2</v>
      </c>
      <c r="D72" s="17" t="str">
        <f t="shared" si="3"/>
        <v>A2</v>
      </c>
      <c r="E72" s="17" t="s">
        <v>883</v>
      </c>
      <c r="F72" s="17" t="s">
        <v>855</v>
      </c>
      <c r="G72" s="113" t="s">
        <v>1200</v>
      </c>
      <c r="H72" s="115">
        <v>1</v>
      </c>
      <c r="I72" s="115"/>
      <c r="J72" s="115"/>
      <c r="K72" s="115"/>
      <c r="L72" s="115"/>
      <c r="M72" s="115"/>
    </row>
    <row r="73" spans="2:13" ht="13.5" thickBot="1" x14ac:dyDescent="0.25">
      <c r="B73" s="27" t="s">
        <v>48</v>
      </c>
      <c r="C73" s="17">
        <v>3</v>
      </c>
      <c r="D73" s="17" t="str">
        <f t="shared" si="3"/>
        <v>A3</v>
      </c>
      <c r="E73" s="17" t="s">
        <v>883</v>
      </c>
      <c r="F73" s="17" t="s">
        <v>843</v>
      </c>
      <c r="G73" s="111" t="s">
        <v>1198</v>
      </c>
      <c r="H73" s="116"/>
      <c r="I73" s="116"/>
      <c r="J73" s="116"/>
      <c r="K73" s="116"/>
      <c r="L73" s="116"/>
      <c r="M73" s="116"/>
    </row>
    <row r="74" spans="2:13" ht="13.5" thickBot="1" x14ac:dyDescent="0.25">
      <c r="B74" s="27" t="s">
        <v>48</v>
      </c>
      <c r="C74" s="17">
        <v>5</v>
      </c>
      <c r="D74" s="17" t="str">
        <f t="shared" si="3"/>
        <v>A5</v>
      </c>
      <c r="E74" s="17" t="s">
        <v>883</v>
      </c>
      <c r="F74" s="17" t="s">
        <v>822</v>
      </c>
      <c r="G74" s="112" t="s">
        <v>66</v>
      </c>
      <c r="H74" s="115"/>
      <c r="I74" s="115">
        <v>1</v>
      </c>
      <c r="J74" s="115"/>
      <c r="K74" s="115"/>
      <c r="L74" s="115"/>
      <c r="M74" s="115"/>
    </row>
    <row r="75" spans="2:13" ht="13.5" thickBot="1" x14ac:dyDescent="0.25">
      <c r="B75" s="27" t="s">
        <v>48</v>
      </c>
      <c r="C75" s="17">
        <v>7</v>
      </c>
      <c r="D75" s="17" t="str">
        <f t="shared" si="3"/>
        <v>A7</v>
      </c>
      <c r="E75" s="17" t="s">
        <v>883</v>
      </c>
      <c r="F75" s="17" t="s">
        <v>810</v>
      </c>
      <c r="G75" s="112" t="s">
        <v>66</v>
      </c>
      <c r="H75" s="115"/>
      <c r="I75" s="115">
        <v>1</v>
      </c>
      <c r="J75" s="115"/>
      <c r="K75" s="115"/>
      <c r="L75" s="115"/>
      <c r="M75" s="115"/>
    </row>
    <row r="76" spans="2:13" ht="13.5" thickBot="1" x14ac:dyDescent="0.25">
      <c r="B76" s="27" t="s">
        <v>48</v>
      </c>
      <c r="C76" s="17">
        <v>8</v>
      </c>
      <c r="D76" s="17" t="str">
        <f t="shared" si="3"/>
        <v>A8</v>
      </c>
      <c r="E76" s="17" t="s">
        <v>883</v>
      </c>
      <c r="F76" s="17" t="s">
        <v>807</v>
      </c>
      <c r="G76" s="112" t="s">
        <v>66</v>
      </c>
      <c r="H76" s="115"/>
      <c r="I76" s="115">
        <v>1</v>
      </c>
      <c r="J76" s="115"/>
      <c r="K76" s="115"/>
      <c r="L76" s="115"/>
      <c r="M76" s="115"/>
    </row>
    <row r="77" spans="2:13" ht="13.5" thickBot="1" x14ac:dyDescent="0.25">
      <c r="B77" s="27" t="s">
        <v>48</v>
      </c>
      <c r="C77" s="17">
        <v>9</v>
      </c>
      <c r="D77" s="17" t="str">
        <f t="shared" si="3"/>
        <v>A9</v>
      </c>
      <c r="E77" s="17" t="s">
        <v>883</v>
      </c>
      <c r="F77" s="17" t="s">
        <v>806</v>
      </c>
      <c r="G77" s="112" t="s">
        <v>66</v>
      </c>
      <c r="H77" s="115"/>
      <c r="I77" s="115">
        <v>1</v>
      </c>
      <c r="J77" s="115"/>
      <c r="K77" s="115"/>
      <c r="L77" s="115"/>
      <c r="M77" s="115"/>
    </row>
    <row r="78" spans="2:13" ht="13.5" thickBot="1" x14ac:dyDescent="0.25">
      <c r="B78" s="27" t="s">
        <v>895</v>
      </c>
      <c r="C78" s="17">
        <v>1</v>
      </c>
      <c r="D78" s="17" t="str">
        <f t="shared" si="3"/>
        <v>B1</v>
      </c>
      <c r="E78" s="17" t="s">
        <v>882</v>
      </c>
      <c r="F78" s="17" t="s">
        <v>867</v>
      </c>
      <c r="G78" s="112" t="s">
        <v>66</v>
      </c>
      <c r="H78" s="115"/>
      <c r="I78" s="115">
        <v>1</v>
      </c>
      <c r="J78" s="115"/>
      <c r="K78" s="115"/>
      <c r="L78" s="115"/>
      <c r="M78" s="115"/>
    </row>
    <row r="79" spans="2:13" ht="13.5" thickBot="1" x14ac:dyDescent="0.25">
      <c r="B79" s="27" t="s">
        <v>895</v>
      </c>
      <c r="C79" s="17">
        <v>2</v>
      </c>
      <c r="D79" s="17" t="str">
        <f t="shared" si="3"/>
        <v>B2</v>
      </c>
      <c r="E79" s="17" t="s">
        <v>882</v>
      </c>
      <c r="F79" s="17" t="s">
        <v>854</v>
      </c>
      <c r="G79" s="113" t="s">
        <v>1199</v>
      </c>
      <c r="H79" s="115">
        <v>1</v>
      </c>
      <c r="I79" s="115"/>
      <c r="J79" s="115"/>
      <c r="K79" s="115">
        <v>1</v>
      </c>
      <c r="L79" s="115"/>
      <c r="M79" s="115"/>
    </row>
    <row r="80" spans="2:13" ht="13.5" thickBot="1" x14ac:dyDescent="0.25">
      <c r="B80" s="27" t="s">
        <v>895</v>
      </c>
      <c r="C80" s="17">
        <v>3</v>
      </c>
      <c r="D80" s="17" t="str">
        <f t="shared" si="3"/>
        <v>B3</v>
      </c>
      <c r="E80" s="17" t="s">
        <v>882</v>
      </c>
      <c r="F80" s="17" t="s">
        <v>842</v>
      </c>
      <c r="G80" s="111" t="s">
        <v>1198</v>
      </c>
      <c r="H80" s="116"/>
      <c r="I80" s="116"/>
      <c r="J80" s="116"/>
      <c r="K80" s="116"/>
      <c r="L80" s="116"/>
      <c r="M80" s="116"/>
    </row>
    <row r="81" spans="2:13" ht="13.5" thickBot="1" x14ac:dyDescent="0.25">
      <c r="B81" s="27" t="s">
        <v>895</v>
      </c>
      <c r="C81" s="17">
        <v>4</v>
      </c>
      <c r="D81" s="17" t="str">
        <f t="shared" si="3"/>
        <v>B4</v>
      </c>
      <c r="E81" s="17" t="s">
        <v>882</v>
      </c>
      <c r="F81" s="17" t="s">
        <v>831</v>
      </c>
      <c r="G81" s="112" t="s">
        <v>66</v>
      </c>
      <c r="H81" s="115"/>
      <c r="I81" s="115">
        <v>1</v>
      </c>
      <c r="J81" s="115"/>
      <c r="K81" s="115"/>
      <c r="L81" s="115"/>
      <c r="M81" s="115"/>
    </row>
    <row r="82" spans="2:13" ht="13.5" thickBot="1" x14ac:dyDescent="0.25">
      <c r="B82" s="27" t="s">
        <v>895</v>
      </c>
      <c r="C82" s="17">
        <v>5</v>
      </c>
      <c r="D82" s="17" t="str">
        <f t="shared" si="3"/>
        <v>B5</v>
      </c>
      <c r="E82" s="17" t="s">
        <v>882</v>
      </c>
      <c r="F82" s="17" t="s">
        <v>821</v>
      </c>
      <c r="G82" s="112" t="s">
        <v>66</v>
      </c>
      <c r="H82" s="115"/>
      <c r="I82" s="115">
        <v>1</v>
      </c>
      <c r="J82" s="115"/>
      <c r="K82" s="115"/>
      <c r="L82" s="115"/>
      <c r="M82" s="115"/>
    </row>
    <row r="83" spans="2:13" ht="13.5" thickBot="1" x14ac:dyDescent="0.25">
      <c r="B83" s="27" t="s">
        <v>895</v>
      </c>
      <c r="C83" s="17">
        <v>6</v>
      </c>
      <c r="D83" s="17" t="str">
        <f t="shared" si="3"/>
        <v>B6</v>
      </c>
      <c r="E83" s="17" t="s">
        <v>882</v>
      </c>
      <c r="F83" s="17" t="s">
        <v>814</v>
      </c>
      <c r="G83" s="113" t="s">
        <v>1200</v>
      </c>
      <c r="H83" s="115">
        <v>1</v>
      </c>
      <c r="I83" s="115"/>
      <c r="J83" s="115"/>
      <c r="K83" s="115"/>
      <c r="L83" s="115"/>
      <c r="M83" s="115"/>
    </row>
    <row r="84" spans="2:13" ht="13.5" thickBot="1" x14ac:dyDescent="0.25">
      <c r="B84" s="27" t="s">
        <v>895</v>
      </c>
      <c r="C84" s="17">
        <v>7</v>
      </c>
      <c r="D84" s="17" t="str">
        <f t="shared" si="3"/>
        <v>B7</v>
      </c>
      <c r="E84" s="17" t="s">
        <v>882</v>
      </c>
      <c r="F84" s="17" t="s">
        <v>810</v>
      </c>
      <c r="G84" s="112" t="s">
        <v>66</v>
      </c>
      <c r="H84" s="115"/>
      <c r="I84" s="115">
        <v>1</v>
      </c>
      <c r="J84" s="115"/>
      <c r="K84" s="115"/>
      <c r="L84" s="115"/>
      <c r="M84" s="115"/>
    </row>
    <row r="85" spans="2:13" ht="13.5" thickBot="1" x14ac:dyDescent="0.25">
      <c r="B85" s="27" t="s">
        <v>895</v>
      </c>
      <c r="C85" s="17">
        <v>8</v>
      </c>
      <c r="D85" s="17" t="str">
        <f t="shared" si="3"/>
        <v>B8</v>
      </c>
      <c r="E85" s="17" t="s">
        <v>882</v>
      </c>
      <c r="F85" s="17" t="s">
        <v>807</v>
      </c>
      <c r="G85" s="112" t="s">
        <v>66</v>
      </c>
      <c r="H85" s="115"/>
      <c r="I85" s="115">
        <v>1</v>
      </c>
      <c r="J85" s="115"/>
      <c r="K85" s="115"/>
      <c r="L85" s="115"/>
      <c r="M85" s="115"/>
    </row>
    <row r="86" spans="2:13" ht="13.5" thickBot="1" x14ac:dyDescent="0.25">
      <c r="B86" s="27" t="s">
        <v>895</v>
      </c>
      <c r="C86" s="17">
        <v>9</v>
      </c>
      <c r="D86" s="17" t="str">
        <f t="shared" si="3"/>
        <v>B9</v>
      </c>
      <c r="E86" s="17" t="s">
        <v>882</v>
      </c>
      <c r="F86" s="17" t="s">
        <v>806</v>
      </c>
      <c r="G86" s="112" t="s">
        <v>66</v>
      </c>
      <c r="H86" s="115"/>
      <c r="I86" s="115">
        <v>1</v>
      </c>
      <c r="J86" s="115"/>
      <c r="K86" s="115"/>
      <c r="L86" s="115"/>
      <c r="M86" s="115"/>
    </row>
    <row r="87" spans="2:13" ht="13.5" thickBot="1" x14ac:dyDescent="0.25">
      <c r="B87" s="27" t="s">
        <v>894</v>
      </c>
      <c r="C87" s="17">
        <v>1</v>
      </c>
      <c r="D87" s="17" t="str">
        <f t="shared" si="3"/>
        <v>C1</v>
      </c>
      <c r="E87" s="17" t="s">
        <v>881</v>
      </c>
      <c r="F87" s="17" t="s">
        <v>867</v>
      </c>
      <c r="G87" s="112" t="s">
        <v>66</v>
      </c>
      <c r="H87" s="115"/>
      <c r="I87" s="115">
        <v>1</v>
      </c>
      <c r="J87" s="115"/>
      <c r="K87" s="115"/>
      <c r="L87" s="115"/>
      <c r="M87" s="115"/>
    </row>
    <row r="88" spans="2:13" ht="13.5" thickBot="1" x14ac:dyDescent="0.25">
      <c r="B88" s="27" t="s">
        <v>894</v>
      </c>
      <c r="C88" s="17">
        <v>2</v>
      </c>
      <c r="D88" s="17" t="str">
        <f t="shared" si="3"/>
        <v>C2</v>
      </c>
      <c r="E88" s="17" t="s">
        <v>881</v>
      </c>
      <c r="F88" s="17" t="s">
        <v>854</v>
      </c>
      <c r="G88" s="113" t="s">
        <v>1199</v>
      </c>
      <c r="H88" s="115">
        <v>1</v>
      </c>
      <c r="I88" s="115"/>
      <c r="J88" s="115"/>
      <c r="K88" s="115">
        <v>1</v>
      </c>
      <c r="L88" s="115"/>
      <c r="M88" s="115"/>
    </row>
    <row r="89" spans="2:13" ht="13.5" thickBot="1" x14ac:dyDescent="0.25">
      <c r="B89" s="27" t="s">
        <v>894</v>
      </c>
      <c r="C89" s="17">
        <v>3</v>
      </c>
      <c r="D89" s="17" t="str">
        <f t="shared" si="3"/>
        <v>C3</v>
      </c>
      <c r="E89" s="17" t="s">
        <v>881</v>
      </c>
      <c r="F89" s="17" t="s">
        <v>842</v>
      </c>
      <c r="G89" s="111" t="s">
        <v>1198</v>
      </c>
      <c r="H89" s="116"/>
      <c r="I89" s="116"/>
      <c r="J89" s="116"/>
      <c r="K89" s="116"/>
      <c r="L89" s="116"/>
      <c r="M89" s="116"/>
    </row>
    <row r="90" spans="2:13" ht="13.5" thickBot="1" x14ac:dyDescent="0.25">
      <c r="B90" s="27" t="s">
        <v>894</v>
      </c>
      <c r="C90" s="17">
        <v>4</v>
      </c>
      <c r="D90" s="17" t="str">
        <f t="shared" si="3"/>
        <v>C4</v>
      </c>
      <c r="E90" s="17" t="s">
        <v>881</v>
      </c>
      <c r="F90" s="17" t="s">
        <v>831</v>
      </c>
      <c r="G90" s="112" t="s">
        <v>66</v>
      </c>
      <c r="H90" s="115"/>
      <c r="I90" s="115">
        <v>1</v>
      </c>
      <c r="J90" s="115"/>
      <c r="K90" s="115"/>
      <c r="L90" s="115"/>
      <c r="M90" s="115"/>
    </row>
    <row r="91" spans="2:13" ht="13.5" thickBot="1" x14ac:dyDescent="0.25">
      <c r="B91" s="27" t="s">
        <v>894</v>
      </c>
      <c r="C91" s="17">
        <v>5</v>
      </c>
      <c r="D91" s="17" t="str">
        <f t="shared" si="3"/>
        <v>C5</v>
      </c>
      <c r="E91" s="17" t="s">
        <v>881</v>
      </c>
      <c r="F91" s="17" t="s">
        <v>821</v>
      </c>
      <c r="G91" s="112" t="s">
        <v>66</v>
      </c>
      <c r="H91" s="115"/>
      <c r="I91" s="115">
        <v>1</v>
      </c>
      <c r="J91" s="115"/>
      <c r="K91" s="115"/>
      <c r="L91" s="115"/>
      <c r="M91" s="115"/>
    </row>
    <row r="92" spans="2:13" ht="13.5" thickBot="1" x14ac:dyDescent="0.25">
      <c r="B92" s="27" t="s">
        <v>894</v>
      </c>
      <c r="C92" s="17">
        <v>6</v>
      </c>
      <c r="D92" s="17" t="str">
        <f t="shared" si="3"/>
        <v>C6</v>
      </c>
      <c r="E92" s="17" t="s">
        <v>881</v>
      </c>
      <c r="F92" s="17" t="s">
        <v>814</v>
      </c>
      <c r="G92" s="113" t="s">
        <v>1200</v>
      </c>
      <c r="H92" s="115">
        <v>1</v>
      </c>
      <c r="I92" s="115"/>
      <c r="J92" s="115"/>
      <c r="K92" s="115"/>
      <c r="L92" s="115"/>
      <c r="M92" s="115"/>
    </row>
    <row r="93" spans="2:13" ht="13.5" thickBot="1" x14ac:dyDescent="0.25">
      <c r="B93" s="27" t="s">
        <v>894</v>
      </c>
      <c r="C93" s="17">
        <v>7</v>
      </c>
      <c r="D93" s="17" t="str">
        <f t="shared" si="3"/>
        <v>C7</v>
      </c>
      <c r="E93" s="17" t="s">
        <v>881</v>
      </c>
      <c r="F93" s="17" t="s">
        <v>810</v>
      </c>
      <c r="G93" s="112" t="s">
        <v>66</v>
      </c>
      <c r="H93" s="115"/>
      <c r="I93" s="115">
        <v>1</v>
      </c>
      <c r="J93" s="115"/>
      <c r="K93" s="115"/>
      <c r="L93" s="115"/>
      <c r="M93" s="115"/>
    </row>
    <row r="94" spans="2:13" ht="13.5" thickBot="1" x14ac:dyDescent="0.25">
      <c r="B94" s="27" t="s">
        <v>894</v>
      </c>
      <c r="C94" s="17">
        <v>8</v>
      </c>
      <c r="D94" s="17" t="str">
        <f t="shared" si="3"/>
        <v>C8</v>
      </c>
      <c r="E94" s="17" t="s">
        <v>881</v>
      </c>
      <c r="F94" s="17" t="s">
        <v>807</v>
      </c>
      <c r="G94" s="112" t="s">
        <v>66</v>
      </c>
      <c r="H94" s="115"/>
      <c r="I94" s="115">
        <v>1</v>
      </c>
      <c r="J94" s="115"/>
      <c r="K94" s="115"/>
      <c r="L94" s="115"/>
      <c r="M94" s="115"/>
    </row>
    <row r="95" spans="2:13" ht="13.5" thickBot="1" x14ac:dyDescent="0.25">
      <c r="B95" s="27" t="s">
        <v>894</v>
      </c>
      <c r="C95" s="17">
        <v>9</v>
      </c>
      <c r="D95" s="17" t="str">
        <f t="shared" si="3"/>
        <v>C9</v>
      </c>
      <c r="E95" s="17" t="s">
        <v>881</v>
      </c>
      <c r="F95" s="17" t="s">
        <v>806</v>
      </c>
      <c r="G95" s="112" t="s">
        <v>66</v>
      </c>
      <c r="H95" s="115"/>
      <c r="I95" s="115">
        <v>1</v>
      </c>
      <c r="J95" s="115"/>
      <c r="K95" s="115"/>
      <c r="L95" s="115"/>
      <c r="M95" s="115"/>
    </row>
    <row r="96" spans="2:13" ht="13.5" thickBot="1" x14ac:dyDescent="0.25">
      <c r="B96" s="27" t="s">
        <v>893</v>
      </c>
      <c r="C96" s="17">
        <v>1</v>
      </c>
      <c r="D96" s="17" t="str">
        <f t="shared" si="3"/>
        <v>D1</v>
      </c>
      <c r="E96" s="17" t="s">
        <v>880</v>
      </c>
      <c r="F96" s="17" t="s">
        <v>866</v>
      </c>
      <c r="G96" s="113" t="s">
        <v>1200</v>
      </c>
      <c r="H96" s="115">
        <v>1</v>
      </c>
      <c r="I96" s="115"/>
      <c r="J96" s="115"/>
      <c r="K96" s="115"/>
      <c r="L96" s="115"/>
      <c r="M96" s="115"/>
    </row>
    <row r="97" spans="2:13" ht="13.5" thickBot="1" x14ac:dyDescent="0.25">
      <c r="B97" s="27" t="s">
        <v>893</v>
      </c>
      <c r="C97" s="17">
        <v>2</v>
      </c>
      <c r="D97" s="17" t="str">
        <f t="shared" si="3"/>
        <v>D2</v>
      </c>
      <c r="E97" s="17" t="s">
        <v>880</v>
      </c>
      <c r="F97" s="17" t="s">
        <v>853</v>
      </c>
      <c r="G97" s="111" t="s">
        <v>1198</v>
      </c>
      <c r="H97" s="116"/>
      <c r="I97" s="116"/>
      <c r="J97" s="116"/>
      <c r="K97" s="116"/>
      <c r="L97" s="116"/>
      <c r="M97" s="116"/>
    </row>
    <row r="98" spans="2:13" ht="13.5" thickBot="1" x14ac:dyDescent="0.25">
      <c r="B98" s="27" t="s">
        <v>893</v>
      </c>
      <c r="C98" s="17">
        <v>3</v>
      </c>
      <c r="D98" s="17" t="str">
        <f t="shared" si="3"/>
        <v>D3</v>
      </c>
      <c r="E98" s="17" t="s">
        <v>880</v>
      </c>
      <c r="F98" s="17" t="s">
        <v>841</v>
      </c>
      <c r="G98" s="113" t="s">
        <v>1202</v>
      </c>
      <c r="H98" s="115">
        <v>1</v>
      </c>
      <c r="I98" s="115"/>
      <c r="J98" s="115"/>
      <c r="K98" s="115"/>
      <c r="L98" s="115"/>
      <c r="M98" s="115"/>
    </row>
    <row r="99" spans="2:13" ht="13.5" thickBot="1" x14ac:dyDescent="0.25">
      <c r="B99" s="27" t="s">
        <v>893</v>
      </c>
      <c r="C99" s="17">
        <v>5</v>
      </c>
      <c r="D99" s="17" t="str">
        <f t="shared" si="3"/>
        <v>D5</v>
      </c>
      <c r="E99" s="17" t="s">
        <v>880</v>
      </c>
      <c r="F99" s="17" t="s">
        <v>820</v>
      </c>
      <c r="G99" s="112" t="s">
        <v>66</v>
      </c>
      <c r="H99" s="115"/>
      <c r="I99" s="115">
        <v>1</v>
      </c>
      <c r="J99" s="115"/>
      <c r="K99" s="115"/>
      <c r="L99" s="115"/>
      <c r="M99" s="115"/>
    </row>
    <row r="100" spans="2:13" ht="13.5" thickBot="1" x14ac:dyDescent="0.25">
      <c r="B100" s="27" t="s">
        <v>893</v>
      </c>
      <c r="C100" s="17">
        <v>7</v>
      </c>
      <c r="D100" s="17" t="str">
        <f t="shared" ref="D100:D111" si="4">B100&amp;C100</f>
        <v>D7</v>
      </c>
      <c r="E100" s="17" t="s">
        <v>880</v>
      </c>
      <c r="F100" s="17" t="s">
        <v>810</v>
      </c>
      <c r="G100" s="112" t="s">
        <v>66</v>
      </c>
      <c r="H100" s="115"/>
      <c r="I100" s="115">
        <v>1</v>
      </c>
      <c r="J100" s="115"/>
      <c r="K100" s="115"/>
      <c r="L100" s="115"/>
      <c r="M100" s="115"/>
    </row>
    <row r="101" spans="2:13" ht="13.5" thickBot="1" x14ac:dyDescent="0.25">
      <c r="B101" s="27" t="s">
        <v>893</v>
      </c>
      <c r="C101" s="17">
        <v>8</v>
      </c>
      <c r="D101" s="17" t="str">
        <f t="shared" si="4"/>
        <v>D8</v>
      </c>
      <c r="E101" s="17" t="s">
        <v>880</v>
      </c>
      <c r="F101" s="17" t="s">
        <v>807</v>
      </c>
      <c r="G101" s="112" t="s">
        <v>66</v>
      </c>
      <c r="H101" s="115"/>
      <c r="I101" s="115">
        <v>1</v>
      </c>
      <c r="J101" s="115"/>
      <c r="K101" s="115"/>
      <c r="L101" s="115"/>
      <c r="M101" s="115"/>
    </row>
    <row r="102" spans="2:13" ht="13.5" thickBot="1" x14ac:dyDescent="0.25">
      <c r="B102" s="27" t="s">
        <v>893</v>
      </c>
      <c r="C102" s="17">
        <v>9</v>
      </c>
      <c r="D102" s="17" t="str">
        <f t="shared" si="4"/>
        <v>D9</v>
      </c>
      <c r="E102" s="17" t="s">
        <v>880</v>
      </c>
      <c r="F102" s="17" t="s">
        <v>806</v>
      </c>
      <c r="G102" s="112" t="s">
        <v>66</v>
      </c>
      <c r="H102" s="115"/>
      <c r="I102" s="115">
        <v>1</v>
      </c>
      <c r="J102" s="115"/>
      <c r="K102" s="115"/>
      <c r="L102" s="115"/>
      <c r="M102" s="115"/>
    </row>
    <row r="103" spans="2:13" ht="13.5" thickBot="1" x14ac:dyDescent="0.25">
      <c r="B103" s="27" t="s">
        <v>13</v>
      </c>
      <c r="C103" s="17">
        <v>1</v>
      </c>
      <c r="D103" s="17" t="str">
        <f t="shared" si="4"/>
        <v>E1</v>
      </c>
      <c r="E103" s="17" t="s">
        <v>879</v>
      </c>
      <c r="F103" s="17" t="s">
        <v>865</v>
      </c>
      <c r="G103" s="113" t="s">
        <v>1200</v>
      </c>
      <c r="H103" s="115">
        <v>1</v>
      </c>
      <c r="I103" s="115"/>
      <c r="J103" s="115"/>
      <c r="K103" s="115">
        <v>1</v>
      </c>
      <c r="L103" s="115"/>
      <c r="M103" s="115"/>
    </row>
    <row r="104" spans="2:13" ht="13.5" thickBot="1" x14ac:dyDescent="0.25">
      <c r="B104" s="27" t="s">
        <v>13</v>
      </c>
      <c r="C104" s="17">
        <v>2</v>
      </c>
      <c r="D104" s="17" t="str">
        <f t="shared" si="4"/>
        <v>E2</v>
      </c>
      <c r="E104" s="17" t="s">
        <v>879</v>
      </c>
      <c r="F104" s="17" t="s">
        <v>852</v>
      </c>
      <c r="G104" s="111" t="s">
        <v>1198</v>
      </c>
      <c r="H104" s="116"/>
      <c r="I104" s="116"/>
      <c r="J104" s="116"/>
      <c r="K104" s="116"/>
      <c r="L104" s="116"/>
      <c r="M104" s="116"/>
    </row>
    <row r="105" spans="2:13" ht="13.5" thickBot="1" x14ac:dyDescent="0.25">
      <c r="B105" s="27" t="s">
        <v>13</v>
      </c>
      <c r="C105" s="17">
        <v>7</v>
      </c>
      <c r="D105" s="17" t="str">
        <f t="shared" si="4"/>
        <v>E7</v>
      </c>
      <c r="E105" s="17" t="s">
        <v>879</v>
      </c>
      <c r="F105" s="17" t="s">
        <v>810</v>
      </c>
      <c r="G105" s="112" t="s">
        <v>66</v>
      </c>
      <c r="H105" s="115"/>
      <c r="I105" s="115">
        <v>1</v>
      </c>
      <c r="J105" s="115"/>
      <c r="K105" s="115"/>
      <c r="L105" s="115"/>
      <c r="M105" s="115"/>
    </row>
    <row r="106" spans="2:13" ht="13.5" thickBot="1" x14ac:dyDescent="0.25">
      <c r="B106" s="27" t="s">
        <v>13</v>
      </c>
      <c r="C106" s="17">
        <v>8</v>
      </c>
      <c r="D106" s="17" t="str">
        <f t="shared" si="4"/>
        <v>E8</v>
      </c>
      <c r="E106" s="17" t="s">
        <v>879</v>
      </c>
      <c r="F106" s="17" t="s">
        <v>807</v>
      </c>
      <c r="G106" s="112" t="s">
        <v>66</v>
      </c>
      <c r="H106" s="115"/>
      <c r="I106" s="115">
        <v>1</v>
      </c>
      <c r="J106" s="115"/>
      <c r="K106" s="115"/>
      <c r="L106" s="115"/>
      <c r="M106" s="115"/>
    </row>
    <row r="107" spans="2:13" ht="13.5" thickBot="1" x14ac:dyDescent="0.25">
      <c r="B107" s="27" t="s">
        <v>13</v>
      </c>
      <c r="C107" s="17">
        <v>9</v>
      </c>
      <c r="D107" s="17" t="str">
        <f t="shared" si="4"/>
        <v>E9</v>
      </c>
      <c r="E107" s="17" t="s">
        <v>879</v>
      </c>
      <c r="F107" s="17" t="s">
        <v>806</v>
      </c>
      <c r="G107" s="112" t="s">
        <v>66</v>
      </c>
      <c r="H107" s="115"/>
      <c r="I107" s="115">
        <v>1</v>
      </c>
      <c r="J107" s="115"/>
      <c r="K107" s="115"/>
      <c r="L107" s="115"/>
      <c r="M107" s="115"/>
    </row>
    <row r="108" spans="2:13" ht="13.5" thickBot="1" x14ac:dyDescent="0.25">
      <c r="B108" s="27" t="s">
        <v>892</v>
      </c>
      <c r="C108" s="17">
        <v>1</v>
      </c>
      <c r="D108" s="17" t="str">
        <f t="shared" si="4"/>
        <v>F1</v>
      </c>
      <c r="E108" s="17" t="s">
        <v>878</v>
      </c>
      <c r="F108" s="17" t="s">
        <v>864</v>
      </c>
      <c r="G108" s="113" t="s">
        <v>1201</v>
      </c>
      <c r="H108" s="115">
        <v>1</v>
      </c>
      <c r="I108" s="115"/>
      <c r="J108" s="115"/>
      <c r="K108" s="115">
        <v>1</v>
      </c>
      <c r="L108" s="115"/>
      <c r="M108" s="115"/>
    </row>
    <row r="109" spans="2:13" ht="13.5" thickBot="1" x14ac:dyDescent="0.25">
      <c r="B109" s="27" t="s">
        <v>892</v>
      </c>
      <c r="C109" s="17">
        <v>2</v>
      </c>
      <c r="D109" s="17" t="str">
        <f t="shared" si="4"/>
        <v>F2</v>
      </c>
      <c r="E109" s="17" t="s">
        <v>878</v>
      </c>
      <c r="F109" s="17" t="s">
        <v>851</v>
      </c>
      <c r="G109" s="113" t="s">
        <v>1201</v>
      </c>
      <c r="H109" s="115">
        <v>1</v>
      </c>
      <c r="I109" s="115"/>
      <c r="J109" s="115"/>
      <c r="K109" s="115">
        <v>1</v>
      </c>
      <c r="L109" s="115"/>
      <c r="M109" s="115"/>
    </row>
    <row r="110" spans="2:13" ht="13.5" thickBot="1" x14ac:dyDescent="0.25">
      <c r="B110" s="27" t="s">
        <v>892</v>
      </c>
      <c r="C110" s="17">
        <v>3</v>
      </c>
      <c r="D110" s="17" t="str">
        <f t="shared" si="4"/>
        <v>F3</v>
      </c>
      <c r="E110" s="17" t="s">
        <v>878</v>
      </c>
      <c r="F110" s="17" t="s">
        <v>840</v>
      </c>
      <c r="G110" s="113" t="s">
        <v>1201</v>
      </c>
      <c r="H110" s="115">
        <v>1</v>
      </c>
      <c r="I110" s="115"/>
      <c r="J110" s="115"/>
      <c r="K110" s="115">
        <v>1</v>
      </c>
      <c r="L110" s="115"/>
      <c r="M110" s="115"/>
    </row>
    <row r="111" spans="2:13" ht="13.5" thickBot="1" x14ac:dyDescent="0.25">
      <c r="B111" s="27" t="s">
        <v>892</v>
      </c>
      <c r="C111" s="17">
        <v>4</v>
      </c>
      <c r="D111" s="17" t="str">
        <f t="shared" si="4"/>
        <v>F4</v>
      </c>
      <c r="E111" s="17" t="s">
        <v>878</v>
      </c>
      <c r="F111" s="17" t="s">
        <v>830</v>
      </c>
      <c r="G111" s="113" t="s">
        <v>1201</v>
      </c>
      <c r="H111" s="115">
        <v>1</v>
      </c>
      <c r="I111" s="115"/>
      <c r="J111" s="115"/>
      <c r="K111" s="115">
        <v>1</v>
      </c>
      <c r="L111" s="115"/>
      <c r="M111" s="115"/>
    </row>
    <row r="112" spans="2:13" ht="13.5" thickBot="1" x14ac:dyDescent="0.25">
      <c r="B112" s="27" t="s">
        <v>892</v>
      </c>
      <c r="C112" s="17">
        <v>9</v>
      </c>
      <c r="D112" s="17" t="str">
        <f t="shared" ref="D112" si="5">B112&amp;C112</f>
        <v>F9</v>
      </c>
      <c r="E112" s="17" t="s">
        <v>878</v>
      </c>
      <c r="F112" s="17" t="s">
        <v>806</v>
      </c>
      <c r="G112" s="113" t="s">
        <v>1201</v>
      </c>
      <c r="H112" s="115">
        <v>1</v>
      </c>
      <c r="I112" s="115"/>
      <c r="J112" s="115"/>
      <c r="K112" s="115">
        <v>1</v>
      </c>
      <c r="L112" s="115"/>
      <c r="M112" s="115"/>
    </row>
    <row r="113" spans="2:13" ht="15.75" thickBot="1" x14ac:dyDescent="0.3">
      <c r="B113" s="27"/>
      <c r="D113"/>
      <c r="G113" s="112" t="s">
        <v>66</v>
      </c>
      <c r="H113" s="115"/>
      <c r="I113" s="115">
        <v>1</v>
      </c>
      <c r="J113" s="115"/>
      <c r="K113" s="115"/>
      <c r="L113" s="115"/>
      <c r="M113" s="115"/>
    </row>
    <row r="114" spans="2:13" x14ac:dyDescent="0.2">
      <c r="H114" s="108"/>
      <c r="I114" s="108"/>
      <c r="J114" s="108"/>
      <c r="K114" s="108"/>
      <c r="L114" s="108"/>
      <c r="M114" s="109"/>
    </row>
    <row r="115" spans="2:13" x14ac:dyDescent="0.2">
      <c r="H115" s="109"/>
      <c r="I115" s="109"/>
      <c r="J115" s="109"/>
      <c r="K115" s="109"/>
      <c r="L115" s="109"/>
      <c r="M115" s="109"/>
    </row>
  </sheetData>
  <autoFilter ref="B2:N115"/>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8" tint="0.39997558519241921"/>
  </sheetPr>
  <dimension ref="A1:BE162"/>
  <sheetViews>
    <sheetView workbookViewId="0">
      <selection activeCell="K19" sqref="K19"/>
    </sheetView>
  </sheetViews>
  <sheetFormatPr defaultRowHeight="15" x14ac:dyDescent="0.25"/>
  <sheetData>
    <row r="1" spans="1:57" x14ac:dyDescent="0.25">
      <c r="A1" s="84"/>
      <c r="B1" s="84"/>
      <c r="C1" s="84"/>
      <c r="D1" s="84"/>
      <c r="E1" s="84"/>
      <c r="F1" s="84"/>
      <c r="G1" s="84"/>
      <c r="H1" s="84"/>
      <c r="I1" s="84"/>
      <c r="J1" s="84"/>
      <c r="K1" s="84"/>
      <c r="L1" s="84"/>
      <c r="M1" s="84"/>
      <c r="N1" s="84"/>
      <c r="O1" s="84"/>
      <c r="P1" s="84"/>
      <c r="Q1" s="84"/>
      <c r="R1" s="84"/>
      <c r="S1" s="84"/>
      <c r="T1" s="84"/>
      <c r="U1" s="84"/>
      <c r="V1" s="84"/>
      <c r="W1" s="84"/>
      <c r="X1" s="84"/>
      <c r="Y1" s="84"/>
      <c r="Z1" s="84"/>
      <c r="AA1" s="84"/>
      <c r="AB1" s="84"/>
      <c r="AC1" s="84"/>
      <c r="AD1" s="84"/>
      <c r="AE1" s="84"/>
      <c r="AF1" s="84"/>
      <c r="AG1" s="84"/>
      <c r="AH1" s="84"/>
      <c r="AI1" s="84"/>
      <c r="AJ1" s="84"/>
      <c r="AK1" s="84"/>
      <c r="AL1" s="84"/>
      <c r="AM1" s="84"/>
      <c r="AN1" s="84"/>
      <c r="AO1" s="84"/>
      <c r="AP1" s="84"/>
      <c r="AQ1" s="84"/>
      <c r="AR1" s="84"/>
      <c r="AS1" s="84"/>
      <c r="AT1" s="84"/>
      <c r="AU1" s="84"/>
      <c r="AV1" s="84"/>
      <c r="AW1" s="84"/>
      <c r="AX1" s="84"/>
      <c r="AY1" s="84"/>
      <c r="AZ1" s="84"/>
      <c r="BA1" s="84"/>
      <c r="BB1" s="84"/>
      <c r="BC1" s="84"/>
      <c r="BD1" s="84"/>
      <c r="BE1" s="84"/>
    </row>
    <row r="2" spans="1:57" x14ac:dyDescent="0.25">
      <c r="A2" s="84"/>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c r="AF2" s="84"/>
      <c r="AG2" s="84"/>
      <c r="AH2" s="84"/>
      <c r="AI2" s="84"/>
      <c r="AJ2" s="84"/>
      <c r="AK2" s="84"/>
      <c r="AL2" s="84"/>
      <c r="AM2" s="84"/>
      <c r="AN2" s="84"/>
      <c r="AO2" s="84"/>
      <c r="AP2" s="84"/>
      <c r="AQ2" s="84"/>
      <c r="AR2" s="84"/>
      <c r="AS2" s="84"/>
      <c r="AT2" s="84"/>
      <c r="AU2" s="84"/>
      <c r="AV2" s="84"/>
      <c r="AW2" s="84"/>
      <c r="AX2" s="84"/>
      <c r="AY2" s="84"/>
      <c r="AZ2" s="84"/>
      <c r="BA2" s="84"/>
      <c r="BB2" s="84"/>
      <c r="BC2" s="84"/>
      <c r="BD2" s="84"/>
      <c r="BE2" s="84"/>
    </row>
    <row r="3" spans="1:57" x14ac:dyDescent="0.25">
      <c r="A3" s="84">
        <v>1</v>
      </c>
      <c r="B3" s="98" t="s">
        <v>1177</v>
      </c>
      <c r="C3" s="97" t="s">
        <v>8</v>
      </c>
      <c r="D3" s="97" t="s">
        <v>8</v>
      </c>
      <c r="E3" s="97" t="s">
        <v>8</v>
      </c>
      <c r="F3" s="97" t="s">
        <v>1160</v>
      </c>
      <c r="G3" s="97" t="s">
        <v>1161</v>
      </c>
      <c r="H3" s="97" t="s">
        <v>8</v>
      </c>
      <c r="I3" s="97" t="s">
        <v>1162</v>
      </c>
      <c r="J3" s="97" t="s">
        <v>64</v>
      </c>
      <c r="K3" s="97" t="s">
        <v>8</v>
      </c>
      <c r="L3" s="97" t="s">
        <v>8</v>
      </c>
      <c r="M3" s="97" t="s">
        <v>8</v>
      </c>
      <c r="N3" s="97" t="s">
        <v>8</v>
      </c>
      <c r="O3" s="97" t="s">
        <v>8</v>
      </c>
      <c r="P3" s="97" t="s">
        <v>26</v>
      </c>
      <c r="Q3" s="97" t="s">
        <v>1163</v>
      </c>
      <c r="R3" s="97" t="s">
        <v>8</v>
      </c>
      <c r="S3" s="97" t="s">
        <v>8</v>
      </c>
      <c r="T3" s="97" t="s">
        <v>8</v>
      </c>
      <c r="U3" s="97" t="s">
        <v>9</v>
      </c>
      <c r="V3" s="97" t="s">
        <v>8</v>
      </c>
      <c r="W3" s="97" t="s">
        <v>8</v>
      </c>
      <c r="X3" s="97" t="s">
        <v>8</v>
      </c>
      <c r="Y3" s="97" t="s">
        <v>8</v>
      </c>
      <c r="Z3" s="97" t="s">
        <v>22</v>
      </c>
      <c r="AA3" s="97" t="s">
        <v>46</v>
      </c>
      <c r="AB3" s="97" t="s">
        <v>8</v>
      </c>
      <c r="AC3" s="97" t="s">
        <v>1164</v>
      </c>
      <c r="AD3" s="97" t="s">
        <v>1165</v>
      </c>
      <c r="AE3" s="97" t="s">
        <v>8</v>
      </c>
      <c r="AF3" s="97" t="s">
        <v>8</v>
      </c>
      <c r="AG3" s="97" t="s">
        <v>8</v>
      </c>
      <c r="AH3" s="97" t="s">
        <v>10</v>
      </c>
      <c r="AI3" s="97" t="s">
        <v>9</v>
      </c>
      <c r="AJ3" s="97" t="s">
        <v>3</v>
      </c>
      <c r="AK3" s="97" t="s">
        <v>17</v>
      </c>
      <c r="AL3" s="97" t="s">
        <v>1166</v>
      </c>
      <c r="AM3" s="97" t="s">
        <v>21</v>
      </c>
      <c r="AN3" s="97" t="s">
        <v>1167</v>
      </c>
      <c r="AO3" s="97" t="s">
        <v>1168</v>
      </c>
      <c r="AP3" s="97" t="s">
        <v>1169</v>
      </c>
      <c r="AQ3" s="97" t="s">
        <v>7</v>
      </c>
      <c r="AR3" s="97" t="s">
        <v>1170</v>
      </c>
      <c r="AS3" s="97" t="s">
        <v>14</v>
      </c>
      <c r="AT3" s="97" t="s">
        <v>1171</v>
      </c>
      <c r="AU3" s="97" t="s">
        <v>27</v>
      </c>
      <c r="AV3" s="97" t="s">
        <v>47</v>
      </c>
      <c r="AW3" s="97" t="s">
        <v>1172</v>
      </c>
      <c r="AX3" s="97" t="s">
        <v>37</v>
      </c>
      <c r="AY3" s="97" t="s">
        <v>1173</v>
      </c>
      <c r="AZ3" s="97" t="s">
        <v>1174</v>
      </c>
      <c r="BA3" s="97" t="s">
        <v>1175</v>
      </c>
      <c r="BB3" s="97" t="s">
        <v>1176</v>
      </c>
      <c r="BC3" s="97" t="s">
        <v>6</v>
      </c>
      <c r="BD3" s="84"/>
      <c r="BE3" s="84"/>
    </row>
    <row r="4" spans="1:57" ht="30" x14ac:dyDescent="0.25">
      <c r="A4" s="84">
        <f>A3+1</f>
        <v>2</v>
      </c>
      <c r="B4" s="93" t="s">
        <v>1094</v>
      </c>
      <c r="C4" s="85" t="s">
        <v>1095</v>
      </c>
      <c r="D4" s="85" t="s">
        <v>72</v>
      </c>
      <c r="E4" s="85" t="s">
        <v>76</v>
      </c>
      <c r="F4" s="85" t="s">
        <v>80</v>
      </c>
      <c r="G4" s="85" t="s">
        <v>84</v>
      </c>
      <c r="H4" s="85" t="s">
        <v>88</v>
      </c>
      <c r="I4" s="85" t="s">
        <v>92</v>
      </c>
      <c r="J4" s="85" t="s">
        <v>96</v>
      </c>
      <c r="K4" s="85" t="s">
        <v>100</v>
      </c>
      <c r="L4" s="85" t="s">
        <v>104</v>
      </c>
      <c r="M4" s="85" t="s">
        <v>108</v>
      </c>
      <c r="N4" s="85" t="s">
        <v>112</v>
      </c>
      <c r="O4" s="85" t="s">
        <v>116</v>
      </c>
      <c r="P4" s="85" t="s">
        <v>120</v>
      </c>
      <c r="Q4" s="85" t="s">
        <v>123</v>
      </c>
      <c r="R4" s="85" t="s">
        <v>126</v>
      </c>
      <c r="S4" s="85" t="s">
        <v>20</v>
      </c>
      <c r="T4" s="85" t="s">
        <v>133</v>
      </c>
      <c r="U4" s="85" t="s">
        <v>137</v>
      </c>
      <c r="V4" s="85" t="s">
        <v>141</v>
      </c>
      <c r="W4" s="85" t="s">
        <v>145</v>
      </c>
      <c r="X4" s="85" t="s">
        <v>149</v>
      </c>
      <c r="Y4" s="85" t="s">
        <v>152</v>
      </c>
      <c r="Z4" s="85" t="s">
        <v>156</v>
      </c>
      <c r="AA4" s="85" t="s">
        <v>25</v>
      </c>
      <c r="AB4" s="85" t="s">
        <v>30</v>
      </c>
      <c r="AC4" s="85" t="s">
        <v>166</v>
      </c>
      <c r="AD4" s="85" t="s">
        <v>1096</v>
      </c>
      <c r="AE4" s="85" t="s">
        <v>170</v>
      </c>
      <c r="AF4" s="85" t="s">
        <v>174</v>
      </c>
      <c r="AG4" s="85" t="s">
        <v>34</v>
      </c>
      <c r="AH4" s="85" t="s">
        <v>181</v>
      </c>
      <c r="AI4" s="85" t="s">
        <v>702</v>
      </c>
      <c r="AJ4" s="85" t="s">
        <v>16</v>
      </c>
      <c r="AK4" s="85" t="s">
        <v>18</v>
      </c>
      <c r="AL4" s="85" t="s">
        <v>182</v>
      </c>
      <c r="AM4" s="85" t="s">
        <v>208</v>
      </c>
      <c r="AN4" s="85" t="s">
        <v>223</v>
      </c>
      <c r="AO4" s="85" t="s">
        <v>226</v>
      </c>
      <c r="AP4" s="85" t="s">
        <v>241</v>
      </c>
      <c r="AQ4" s="85" t="s">
        <v>1097</v>
      </c>
      <c r="AR4" s="85" t="s">
        <v>386</v>
      </c>
      <c r="AS4" s="85" t="s">
        <v>411</v>
      </c>
      <c r="AT4" s="85" t="s">
        <v>472</v>
      </c>
      <c r="AU4" s="85" t="s">
        <v>498</v>
      </c>
      <c r="AV4" s="85" t="s">
        <v>544</v>
      </c>
      <c r="AW4" s="85" t="s">
        <v>662</v>
      </c>
      <c r="AX4" s="85" t="s">
        <v>38</v>
      </c>
      <c r="AY4" s="85" t="s">
        <v>1098</v>
      </c>
      <c r="AZ4" s="85" t="s">
        <v>1099</v>
      </c>
      <c r="BA4" s="85" t="s">
        <v>717</v>
      </c>
      <c r="BB4" s="85" t="s">
        <v>738</v>
      </c>
      <c r="BC4" s="85" t="s">
        <v>1100</v>
      </c>
      <c r="BD4" s="84"/>
      <c r="BE4" s="84"/>
    </row>
    <row r="5" spans="1:57" ht="90" x14ac:dyDescent="0.25">
      <c r="A5" s="84">
        <f t="shared" ref="A5:A68" si="0">A4+1</f>
        <v>3</v>
      </c>
      <c r="B5" s="84"/>
      <c r="C5" s="82" t="s">
        <v>1101</v>
      </c>
      <c r="D5" s="82" t="s">
        <v>1102</v>
      </c>
      <c r="E5" s="82" t="s">
        <v>1103</v>
      </c>
      <c r="F5" s="82" t="s">
        <v>1104</v>
      </c>
      <c r="G5" s="82" t="s">
        <v>1105</v>
      </c>
      <c r="H5" s="82" t="s">
        <v>1106</v>
      </c>
      <c r="I5" s="82" t="s">
        <v>1107</v>
      </c>
      <c r="J5" s="82" t="s">
        <v>1108</v>
      </c>
      <c r="K5" s="82" t="s">
        <v>1109</v>
      </c>
      <c r="L5" s="82" t="s">
        <v>1110</v>
      </c>
      <c r="M5" s="82" t="s">
        <v>1111</v>
      </c>
      <c r="N5" s="82" t="s">
        <v>1112</v>
      </c>
      <c r="O5" s="82" t="s">
        <v>1113</v>
      </c>
      <c r="P5" s="82" t="s">
        <v>1114</v>
      </c>
      <c r="Q5" s="82" t="s">
        <v>1115</v>
      </c>
      <c r="R5" s="82" t="s">
        <v>1116</v>
      </c>
      <c r="S5" s="82" t="s">
        <v>1117</v>
      </c>
      <c r="T5" s="82" t="s">
        <v>1118</v>
      </c>
      <c r="U5" s="82" t="s">
        <v>1119</v>
      </c>
      <c r="V5" s="82" t="s">
        <v>1120</v>
      </c>
      <c r="W5" s="82" t="s">
        <v>1121</v>
      </c>
      <c r="X5" s="82" t="s">
        <v>1122</v>
      </c>
      <c r="Y5" s="82" t="s">
        <v>1123</v>
      </c>
      <c r="Z5" s="82" t="s">
        <v>1124</v>
      </c>
      <c r="AA5" s="82" t="s">
        <v>1125</v>
      </c>
      <c r="AB5" s="82" t="s">
        <v>1126</v>
      </c>
      <c r="AC5" s="82" t="s">
        <v>1127</v>
      </c>
      <c r="AD5" s="82" t="s">
        <v>1128</v>
      </c>
      <c r="AE5" s="82" t="s">
        <v>1129</v>
      </c>
      <c r="AF5" s="82" t="s">
        <v>1130</v>
      </c>
      <c r="AG5" s="82" t="s">
        <v>1131</v>
      </c>
      <c r="AH5" s="82" t="s">
        <v>1132</v>
      </c>
      <c r="AI5" s="82" t="s">
        <v>1133</v>
      </c>
      <c r="AJ5" s="82" t="s">
        <v>1134</v>
      </c>
      <c r="AK5" s="82" t="s">
        <v>1135</v>
      </c>
      <c r="AL5" s="82" t="s">
        <v>1136</v>
      </c>
      <c r="AM5" s="82" t="s">
        <v>1137</v>
      </c>
      <c r="AN5" s="82" t="s">
        <v>1138</v>
      </c>
      <c r="AO5" s="82" t="s">
        <v>1139</v>
      </c>
      <c r="AP5" s="82" t="s">
        <v>1140</v>
      </c>
      <c r="AQ5" s="82" t="s">
        <v>1141</v>
      </c>
      <c r="AR5" s="82" t="s">
        <v>1142</v>
      </c>
      <c r="AS5" s="82" t="s">
        <v>1143</v>
      </c>
      <c r="AT5" s="82" t="s">
        <v>1144</v>
      </c>
      <c r="AU5" s="82" t="s">
        <v>1145</v>
      </c>
      <c r="AV5" s="82" t="s">
        <v>1146</v>
      </c>
      <c r="AW5" s="82" t="s">
        <v>1147</v>
      </c>
      <c r="AX5" s="82" t="s">
        <v>1148</v>
      </c>
      <c r="AY5" s="82" t="s">
        <v>1149</v>
      </c>
      <c r="AZ5" s="82" t="s">
        <v>1150</v>
      </c>
      <c r="BA5" s="82" t="s">
        <v>1151</v>
      </c>
      <c r="BB5" s="82" t="s">
        <v>1152</v>
      </c>
      <c r="BC5" s="82" t="s">
        <v>1153</v>
      </c>
      <c r="BD5" s="84"/>
      <c r="BE5" s="84"/>
    </row>
    <row r="6" spans="1:57" x14ac:dyDescent="0.25">
      <c r="A6" s="84">
        <f t="shared" si="0"/>
        <v>4</v>
      </c>
      <c r="B6" s="91" t="s">
        <v>1154</v>
      </c>
      <c r="C6" s="92">
        <v>1</v>
      </c>
      <c r="D6" s="92">
        <v>1</v>
      </c>
      <c r="E6" s="92">
        <v>1</v>
      </c>
      <c r="F6" s="92">
        <v>1</v>
      </c>
      <c r="G6" s="92">
        <v>0</v>
      </c>
      <c r="H6" s="92">
        <v>1</v>
      </c>
      <c r="I6" s="92">
        <v>1</v>
      </c>
      <c r="J6" s="92">
        <v>1</v>
      </c>
      <c r="K6" s="92">
        <v>1</v>
      </c>
      <c r="L6" s="92">
        <v>1</v>
      </c>
      <c r="M6" s="92">
        <v>1</v>
      </c>
      <c r="N6" s="92">
        <v>1</v>
      </c>
      <c r="O6" s="92">
        <v>1</v>
      </c>
      <c r="P6" s="92">
        <v>0</v>
      </c>
      <c r="Q6" s="92">
        <v>0</v>
      </c>
      <c r="R6" s="92">
        <v>1</v>
      </c>
      <c r="S6" s="92">
        <v>1</v>
      </c>
      <c r="T6" s="92">
        <v>1</v>
      </c>
      <c r="U6" s="92">
        <v>1</v>
      </c>
      <c r="V6" s="92">
        <v>1</v>
      </c>
      <c r="W6" s="92">
        <v>1</v>
      </c>
      <c r="X6" s="92">
        <v>1</v>
      </c>
      <c r="Y6" s="92">
        <v>1</v>
      </c>
      <c r="Z6" s="92">
        <v>1</v>
      </c>
      <c r="AA6" s="92">
        <v>0</v>
      </c>
      <c r="AB6" s="92">
        <v>1</v>
      </c>
      <c r="AC6" s="92">
        <v>0</v>
      </c>
      <c r="AD6" s="92">
        <v>1</v>
      </c>
      <c r="AE6" s="92">
        <v>1</v>
      </c>
      <c r="AF6" s="92">
        <v>1</v>
      </c>
      <c r="AG6" s="92">
        <v>1</v>
      </c>
      <c r="AH6" s="92">
        <v>1</v>
      </c>
      <c r="AI6" s="92">
        <v>1</v>
      </c>
      <c r="AJ6" s="92">
        <v>2</v>
      </c>
      <c r="AK6" s="92">
        <v>2</v>
      </c>
      <c r="AL6" s="92">
        <v>0</v>
      </c>
      <c r="AM6" s="92">
        <v>2</v>
      </c>
      <c r="AN6" s="92">
        <v>2</v>
      </c>
      <c r="AO6" s="92">
        <v>4</v>
      </c>
      <c r="AP6" s="92">
        <v>0</v>
      </c>
      <c r="AQ6" s="92">
        <v>4</v>
      </c>
      <c r="AR6" s="92">
        <v>0</v>
      </c>
      <c r="AS6" s="92">
        <v>2</v>
      </c>
      <c r="AT6" s="92">
        <v>4</v>
      </c>
      <c r="AU6" s="92">
        <v>13</v>
      </c>
      <c r="AV6" s="92">
        <v>2</v>
      </c>
      <c r="AW6" s="92">
        <v>2</v>
      </c>
      <c r="AX6" s="92">
        <v>4</v>
      </c>
      <c r="AY6" s="92">
        <v>4</v>
      </c>
      <c r="AZ6" s="92">
        <v>0</v>
      </c>
      <c r="BA6" s="92">
        <v>2</v>
      </c>
      <c r="BB6" s="92">
        <v>1</v>
      </c>
      <c r="BC6" s="92">
        <v>2</v>
      </c>
      <c r="BD6" s="90"/>
      <c r="BE6" s="90"/>
    </row>
    <row r="7" spans="1:57" x14ac:dyDescent="0.25">
      <c r="A7" s="84">
        <f t="shared" si="0"/>
        <v>5</v>
      </c>
      <c r="B7" s="91" t="s">
        <v>1155</v>
      </c>
      <c r="C7" s="92">
        <v>20</v>
      </c>
      <c r="D7" s="92">
        <v>20</v>
      </c>
      <c r="E7" s="92">
        <v>20</v>
      </c>
      <c r="F7" s="92">
        <v>20</v>
      </c>
      <c r="G7" s="92">
        <v>9</v>
      </c>
      <c r="H7" s="92">
        <v>20</v>
      </c>
      <c r="I7" s="92">
        <v>15</v>
      </c>
      <c r="J7" s="92">
        <v>20</v>
      </c>
      <c r="K7" s="92">
        <v>20</v>
      </c>
      <c r="L7" s="92">
        <v>20</v>
      </c>
      <c r="M7" s="92">
        <v>20</v>
      </c>
      <c r="N7" s="92">
        <v>20</v>
      </c>
      <c r="O7" s="92">
        <v>20</v>
      </c>
      <c r="P7" s="92">
        <v>15</v>
      </c>
      <c r="Q7" s="92">
        <v>8</v>
      </c>
      <c r="R7" s="92">
        <v>20</v>
      </c>
      <c r="S7" s="92">
        <v>20</v>
      </c>
      <c r="T7" s="92">
        <v>20</v>
      </c>
      <c r="U7" s="92">
        <v>25</v>
      </c>
      <c r="V7" s="92">
        <v>20</v>
      </c>
      <c r="W7" s="92">
        <v>20</v>
      </c>
      <c r="X7" s="92">
        <v>20</v>
      </c>
      <c r="Y7" s="92">
        <v>20</v>
      </c>
      <c r="Z7" s="92">
        <v>10</v>
      </c>
      <c r="AA7" s="92">
        <v>10</v>
      </c>
      <c r="AB7" s="92">
        <v>20</v>
      </c>
      <c r="AC7" s="92">
        <v>10</v>
      </c>
      <c r="AD7" s="92">
        <v>10</v>
      </c>
      <c r="AE7" s="92">
        <v>20</v>
      </c>
      <c r="AF7" s="92">
        <v>20</v>
      </c>
      <c r="AG7" s="92">
        <v>20</v>
      </c>
      <c r="AH7" s="92">
        <v>10</v>
      </c>
      <c r="AI7" s="92">
        <v>25</v>
      </c>
      <c r="AJ7" s="92">
        <v>50</v>
      </c>
      <c r="AK7" s="92">
        <v>30</v>
      </c>
      <c r="AL7" s="92">
        <v>10</v>
      </c>
      <c r="AM7" s="92">
        <v>30</v>
      </c>
      <c r="AN7" s="92">
        <v>10</v>
      </c>
      <c r="AO7" s="92">
        <v>10</v>
      </c>
      <c r="AP7" s="92">
        <v>10</v>
      </c>
      <c r="AQ7" s="92">
        <v>15</v>
      </c>
      <c r="AR7" s="92">
        <v>10</v>
      </c>
      <c r="AS7" s="92">
        <v>30</v>
      </c>
      <c r="AT7" s="92">
        <v>20</v>
      </c>
      <c r="AU7" s="92">
        <v>20</v>
      </c>
      <c r="AV7" s="92">
        <v>20</v>
      </c>
      <c r="AW7" s="92">
        <v>20</v>
      </c>
      <c r="AX7" s="92">
        <v>15</v>
      </c>
      <c r="AY7" s="92">
        <v>20</v>
      </c>
      <c r="AZ7" s="92">
        <v>10</v>
      </c>
      <c r="BA7" s="92">
        <v>15</v>
      </c>
      <c r="BB7" s="92">
        <v>10</v>
      </c>
      <c r="BC7" s="92">
        <v>50</v>
      </c>
      <c r="BD7" s="90"/>
      <c r="BE7" s="90"/>
    </row>
    <row r="8" spans="1:57" x14ac:dyDescent="0.25">
      <c r="A8" s="84">
        <f t="shared" si="0"/>
        <v>6</v>
      </c>
      <c r="B8" s="91" t="s">
        <v>1156</v>
      </c>
      <c r="C8" s="92">
        <v>40</v>
      </c>
      <c r="D8" s="92">
        <v>40</v>
      </c>
      <c r="E8" s="92">
        <v>40</v>
      </c>
      <c r="F8" s="92">
        <v>40</v>
      </c>
      <c r="G8" s="92">
        <v>51</v>
      </c>
      <c r="H8" s="92">
        <v>40</v>
      </c>
      <c r="I8" s="92">
        <v>45</v>
      </c>
      <c r="J8" s="92">
        <v>40</v>
      </c>
      <c r="K8" s="92">
        <v>40</v>
      </c>
      <c r="L8" s="92">
        <v>40</v>
      </c>
      <c r="M8" s="92">
        <v>40</v>
      </c>
      <c r="N8" s="92">
        <v>40</v>
      </c>
      <c r="O8" s="92">
        <v>40</v>
      </c>
      <c r="P8" s="92">
        <v>45</v>
      </c>
      <c r="Q8" s="92">
        <v>52</v>
      </c>
      <c r="R8" s="92">
        <v>40</v>
      </c>
      <c r="S8" s="92">
        <v>40</v>
      </c>
      <c r="T8" s="92">
        <v>40</v>
      </c>
      <c r="U8" s="92">
        <v>40</v>
      </c>
      <c r="V8" s="92">
        <v>40</v>
      </c>
      <c r="W8" s="92">
        <v>40</v>
      </c>
      <c r="X8" s="92">
        <v>40</v>
      </c>
      <c r="Y8" s="92">
        <v>40</v>
      </c>
      <c r="Z8" s="92">
        <v>50</v>
      </c>
      <c r="AA8" s="92">
        <v>50</v>
      </c>
      <c r="AB8" s="92">
        <v>40</v>
      </c>
      <c r="AC8" s="92">
        <v>50</v>
      </c>
      <c r="AD8" s="92">
        <v>50</v>
      </c>
      <c r="AE8" s="92">
        <v>40</v>
      </c>
      <c r="AF8" s="92">
        <v>40</v>
      </c>
      <c r="AG8" s="92">
        <v>40</v>
      </c>
      <c r="AH8" s="92">
        <v>10</v>
      </c>
      <c r="AI8" s="92">
        <v>40</v>
      </c>
      <c r="AJ8" s="92">
        <v>40</v>
      </c>
      <c r="AK8" s="92">
        <v>40</v>
      </c>
      <c r="AL8" s="92">
        <v>50</v>
      </c>
      <c r="AM8" s="92">
        <v>40</v>
      </c>
      <c r="AN8" s="92">
        <v>50</v>
      </c>
      <c r="AO8" s="92">
        <v>50</v>
      </c>
      <c r="AP8" s="92">
        <v>50</v>
      </c>
      <c r="AQ8" s="92">
        <v>45</v>
      </c>
      <c r="AR8" s="92">
        <v>50</v>
      </c>
      <c r="AS8" s="92">
        <v>40</v>
      </c>
      <c r="AT8" s="92">
        <v>40</v>
      </c>
      <c r="AU8" s="92">
        <v>40</v>
      </c>
      <c r="AV8" s="92">
        <v>40</v>
      </c>
      <c r="AW8" s="92">
        <v>40</v>
      </c>
      <c r="AX8" s="92">
        <v>45</v>
      </c>
      <c r="AY8" s="92">
        <v>40</v>
      </c>
      <c r="AZ8" s="92">
        <v>50</v>
      </c>
      <c r="BA8" s="92">
        <v>45</v>
      </c>
      <c r="BB8" s="92">
        <v>50</v>
      </c>
      <c r="BC8" s="92">
        <v>40</v>
      </c>
      <c r="BD8" s="90"/>
      <c r="BE8" s="90"/>
    </row>
    <row r="9" spans="1:57" x14ac:dyDescent="0.25">
      <c r="A9" s="84">
        <f t="shared" si="0"/>
        <v>7</v>
      </c>
      <c r="B9" s="91" t="s">
        <v>1157</v>
      </c>
      <c r="C9" s="92">
        <v>4.2</v>
      </c>
      <c r="D9" s="92">
        <v>4.2</v>
      </c>
      <c r="E9" s="92">
        <v>4.2</v>
      </c>
      <c r="F9" s="92">
        <v>4.2</v>
      </c>
      <c r="G9" s="92">
        <v>4.2</v>
      </c>
      <c r="H9" s="92">
        <v>4.2</v>
      </c>
      <c r="I9" s="92">
        <v>4.2</v>
      </c>
      <c r="J9" s="92">
        <v>4.2</v>
      </c>
      <c r="K9" s="92">
        <v>4.2</v>
      </c>
      <c r="L9" s="92">
        <v>4.2</v>
      </c>
      <c r="M9" s="92">
        <v>4.2</v>
      </c>
      <c r="N9" s="92">
        <v>4.2</v>
      </c>
      <c r="O9" s="92">
        <v>4.2</v>
      </c>
      <c r="P9" s="92">
        <v>4.2</v>
      </c>
      <c r="Q9" s="92">
        <v>4.2</v>
      </c>
      <c r="R9" s="92">
        <v>4.2</v>
      </c>
      <c r="S9" s="92">
        <v>4.2</v>
      </c>
      <c r="T9" s="92">
        <v>4.2</v>
      </c>
      <c r="U9" s="92">
        <v>3.2</v>
      </c>
      <c r="V9" s="92">
        <v>4.2</v>
      </c>
      <c r="W9" s="92">
        <v>4.2</v>
      </c>
      <c r="X9" s="92">
        <v>4.2</v>
      </c>
      <c r="Y9" s="92">
        <v>4.2</v>
      </c>
      <c r="Z9" s="92">
        <v>4.2</v>
      </c>
      <c r="AA9" s="92">
        <v>4.2</v>
      </c>
      <c r="AB9" s="92">
        <v>4.2</v>
      </c>
      <c r="AC9" s="92">
        <v>4.2</v>
      </c>
      <c r="AD9" s="92">
        <v>4.2</v>
      </c>
      <c r="AE9" s="92">
        <v>4.2</v>
      </c>
      <c r="AF9" s="92">
        <v>4.2</v>
      </c>
      <c r="AG9" s="92">
        <v>4.2</v>
      </c>
      <c r="AH9" s="92">
        <v>4.2</v>
      </c>
      <c r="AI9" s="92">
        <v>3.2</v>
      </c>
      <c r="AJ9" s="92">
        <v>4.2</v>
      </c>
      <c r="AK9" s="92">
        <v>4.2</v>
      </c>
      <c r="AL9" s="92">
        <v>5.2</v>
      </c>
      <c r="AM9" s="92">
        <v>4.2</v>
      </c>
      <c r="AN9" s="92">
        <v>4.2</v>
      </c>
      <c r="AO9" s="92">
        <v>4.2</v>
      </c>
      <c r="AP9" s="92">
        <v>4.2</v>
      </c>
      <c r="AQ9" s="92">
        <v>4.2</v>
      </c>
      <c r="AR9" s="92">
        <v>5.2</v>
      </c>
      <c r="AS9" s="92">
        <v>3.2</v>
      </c>
      <c r="AT9" s="92">
        <v>4.2</v>
      </c>
      <c r="AU9" s="92">
        <v>5.2</v>
      </c>
      <c r="AV9" s="92">
        <v>4.2</v>
      </c>
      <c r="AW9" s="92">
        <v>4.2</v>
      </c>
      <c r="AX9" s="92">
        <v>5.2</v>
      </c>
      <c r="AY9" s="92">
        <v>4.2</v>
      </c>
      <c r="AZ9" s="92">
        <v>4.2</v>
      </c>
      <c r="BA9" s="92">
        <v>4.2</v>
      </c>
      <c r="BB9" s="92">
        <v>5.2</v>
      </c>
      <c r="BC9" s="92">
        <v>4.2</v>
      </c>
      <c r="BD9" s="90"/>
      <c r="BE9" s="90"/>
    </row>
    <row r="10" spans="1:57" x14ac:dyDescent="0.25">
      <c r="A10" s="84">
        <f t="shared" si="0"/>
        <v>8</v>
      </c>
      <c r="B10" s="91" t="s">
        <v>1158</v>
      </c>
      <c r="C10" s="92">
        <v>0.12842700000000001</v>
      </c>
      <c r="D10" s="92">
        <v>0.12842700000000001</v>
      </c>
      <c r="E10" s="92">
        <v>0.12842700000000001</v>
      </c>
      <c r="F10" s="92">
        <v>0.12887900000000002</v>
      </c>
      <c r="G10" s="92">
        <v>7.8337000000000004E-2</v>
      </c>
      <c r="H10" s="92">
        <v>0.12842700000000001</v>
      </c>
      <c r="I10" s="92">
        <v>0.11327300000000001</v>
      </c>
      <c r="J10" s="92">
        <v>0.12851799999999999</v>
      </c>
      <c r="K10" s="92">
        <v>0.12842700000000001</v>
      </c>
      <c r="L10" s="92">
        <v>0.12842700000000001</v>
      </c>
      <c r="M10" s="92">
        <v>0.12842700000000001</v>
      </c>
      <c r="N10" s="92">
        <v>0.12842700000000001</v>
      </c>
      <c r="O10" s="92">
        <v>0.12842700000000001</v>
      </c>
      <c r="P10" s="92">
        <v>0.10766300000000002</v>
      </c>
      <c r="Q10" s="92">
        <v>7.6901000000000011E-2</v>
      </c>
      <c r="R10" s="92">
        <v>0.12842700000000001</v>
      </c>
      <c r="S10" s="92">
        <v>0.12842700000000001</v>
      </c>
      <c r="T10" s="92">
        <v>0.12842700000000001</v>
      </c>
      <c r="U10" s="92">
        <v>0.128469</v>
      </c>
      <c r="V10" s="92">
        <v>0.12842700000000001</v>
      </c>
      <c r="W10" s="92">
        <v>0.12842700000000001</v>
      </c>
      <c r="X10" s="92">
        <v>0.12842700000000001</v>
      </c>
      <c r="Y10" s="92">
        <v>0.12842700000000001</v>
      </c>
      <c r="Z10" s="92">
        <v>9.901900000000001E-2</v>
      </c>
      <c r="AA10" s="92">
        <v>6.692300000000001E-2</v>
      </c>
      <c r="AB10" s="92">
        <v>0.12842700000000001</v>
      </c>
      <c r="AC10" s="92">
        <v>9.2315000000000022E-2</v>
      </c>
      <c r="AD10" s="92">
        <v>0.11484900000000001</v>
      </c>
      <c r="AE10" s="92">
        <v>0.12842700000000001</v>
      </c>
      <c r="AF10" s="92">
        <v>0.12842700000000001</v>
      </c>
      <c r="AG10" s="92">
        <v>0.12842700000000001</v>
      </c>
      <c r="AH10" s="92">
        <v>0.51346900000000006</v>
      </c>
      <c r="AI10" s="92">
        <v>0.128469</v>
      </c>
      <c r="AJ10" s="92">
        <v>0.13494100000000001</v>
      </c>
      <c r="AK10" s="92">
        <v>0.10837200000000001</v>
      </c>
      <c r="AL10" s="92">
        <v>0.12642600000000001</v>
      </c>
      <c r="AM10" s="92">
        <v>0.12240000000000001</v>
      </c>
      <c r="AN10" s="92">
        <v>7.2651000000000021E-2</v>
      </c>
      <c r="AO10" s="92">
        <v>8.3253000000000008E-2</v>
      </c>
      <c r="AP10" s="92">
        <v>0.11510500000000003</v>
      </c>
      <c r="AQ10" s="92">
        <v>0.10363700000000001</v>
      </c>
      <c r="AR10" s="92">
        <v>0.11097700000000001</v>
      </c>
      <c r="AS10" s="92">
        <v>0.12607499999999999</v>
      </c>
      <c r="AT10" s="92">
        <v>8.2322000000000006E-2</v>
      </c>
      <c r="AU10" s="92">
        <v>0.14502500000000002</v>
      </c>
      <c r="AV10" s="92">
        <v>9.8521000000000011E-2</v>
      </c>
      <c r="AW10" s="92">
        <v>0.11314100000000002</v>
      </c>
      <c r="AX10" s="92">
        <v>0.13158700000000001</v>
      </c>
      <c r="AY10" s="92">
        <v>0.127245</v>
      </c>
      <c r="AZ10" s="92">
        <v>0.10546000000000001</v>
      </c>
      <c r="BA10" s="92">
        <v>9.3079000000000009E-2</v>
      </c>
      <c r="BB10" s="92">
        <v>0.124087</v>
      </c>
      <c r="BC10" s="92">
        <v>0.11961100000000002</v>
      </c>
      <c r="BD10" s="90"/>
      <c r="BE10" s="90"/>
    </row>
    <row r="11" spans="1:57" x14ac:dyDescent="0.25">
      <c r="A11" s="84">
        <f t="shared" si="0"/>
        <v>9</v>
      </c>
      <c r="B11" s="91" t="s">
        <v>1159</v>
      </c>
      <c r="C11" s="92">
        <v>10</v>
      </c>
      <c r="D11" s="92">
        <v>10</v>
      </c>
      <c r="E11" s="92">
        <v>10</v>
      </c>
      <c r="F11" s="92">
        <v>15.000000000000002</v>
      </c>
      <c r="G11" s="92">
        <v>10</v>
      </c>
      <c r="H11" s="92">
        <v>10</v>
      </c>
      <c r="I11" s="92">
        <v>10</v>
      </c>
      <c r="J11" s="92">
        <v>11</v>
      </c>
      <c r="K11" s="92">
        <v>10</v>
      </c>
      <c r="L11" s="92">
        <v>10</v>
      </c>
      <c r="M11" s="92">
        <v>10</v>
      </c>
      <c r="N11" s="92">
        <v>10</v>
      </c>
      <c r="O11" s="92">
        <v>10</v>
      </c>
      <c r="P11" s="92">
        <v>10</v>
      </c>
      <c r="Q11" s="92">
        <v>10</v>
      </c>
      <c r="R11" s="92">
        <v>10</v>
      </c>
      <c r="S11" s="92">
        <v>10</v>
      </c>
      <c r="T11" s="92">
        <v>10</v>
      </c>
      <c r="U11" s="92">
        <v>10</v>
      </c>
      <c r="V11" s="92">
        <v>10</v>
      </c>
      <c r="W11" s="92">
        <v>10</v>
      </c>
      <c r="X11" s="92">
        <v>10</v>
      </c>
      <c r="Y11" s="92">
        <v>10</v>
      </c>
      <c r="Z11" s="92">
        <v>10</v>
      </c>
      <c r="AA11" s="92">
        <v>10</v>
      </c>
      <c r="AB11" s="92">
        <v>10</v>
      </c>
      <c r="AC11" s="92">
        <v>10</v>
      </c>
      <c r="AD11" s="92">
        <v>35</v>
      </c>
      <c r="AE11" s="92">
        <v>10</v>
      </c>
      <c r="AF11" s="92">
        <v>10</v>
      </c>
      <c r="AG11" s="92">
        <v>10</v>
      </c>
      <c r="AH11" s="92">
        <v>10</v>
      </c>
      <c r="AI11" s="92">
        <v>10</v>
      </c>
      <c r="AJ11" s="92">
        <v>17</v>
      </c>
      <c r="AK11" s="92">
        <v>20</v>
      </c>
      <c r="AL11" s="92">
        <v>35</v>
      </c>
      <c r="AM11" s="92">
        <v>21</v>
      </c>
      <c r="AN11" s="92">
        <v>28.000000000000004</v>
      </c>
      <c r="AO11" s="92">
        <v>33</v>
      </c>
      <c r="AP11" s="92">
        <v>35</v>
      </c>
      <c r="AQ11" s="92">
        <v>15</v>
      </c>
      <c r="AR11" s="92">
        <v>35</v>
      </c>
      <c r="AS11" s="92">
        <v>10</v>
      </c>
      <c r="AT11" s="92">
        <v>23</v>
      </c>
      <c r="AU11" s="92">
        <v>35</v>
      </c>
      <c r="AV11" s="92">
        <v>23</v>
      </c>
      <c r="AW11" s="92">
        <v>16</v>
      </c>
      <c r="AX11" s="92">
        <v>35</v>
      </c>
      <c r="AY11" s="92">
        <v>14.000000000000002</v>
      </c>
      <c r="AZ11" s="92">
        <v>10</v>
      </c>
      <c r="BA11" s="92">
        <v>17</v>
      </c>
      <c r="BB11" s="92">
        <v>35</v>
      </c>
      <c r="BC11" s="92">
        <v>16</v>
      </c>
      <c r="BD11" s="90"/>
      <c r="BE11" s="90"/>
    </row>
    <row r="12" spans="1:57" x14ac:dyDescent="0.25">
      <c r="A12" s="84">
        <f t="shared" si="0"/>
        <v>10</v>
      </c>
      <c r="B12" s="91" t="s">
        <v>377</v>
      </c>
      <c r="C12" s="92">
        <v>0</v>
      </c>
      <c r="D12" s="92">
        <v>0</v>
      </c>
      <c r="E12" s="92">
        <v>0</v>
      </c>
      <c r="F12" s="92">
        <v>0</v>
      </c>
      <c r="G12" s="92">
        <v>0</v>
      </c>
      <c r="H12" s="92">
        <v>0</v>
      </c>
      <c r="I12" s="92">
        <v>0</v>
      </c>
      <c r="J12" s="92">
        <v>0</v>
      </c>
      <c r="K12" s="92">
        <v>0</v>
      </c>
      <c r="L12" s="92">
        <v>0</v>
      </c>
      <c r="M12" s="92">
        <v>0</v>
      </c>
      <c r="N12" s="92">
        <v>0</v>
      </c>
      <c r="O12" s="92">
        <v>0</v>
      </c>
      <c r="P12" s="92">
        <v>0</v>
      </c>
      <c r="Q12" s="92">
        <v>0</v>
      </c>
      <c r="R12" s="92">
        <v>0</v>
      </c>
      <c r="S12" s="92">
        <v>0</v>
      </c>
      <c r="T12" s="92">
        <v>0</v>
      </c>
      <c r="U12" s="92">
        <v>0</v>
      </c>
      <c r="V12" s="92">
        <v>0</v>
      </c>
      <c r="W12" s="92">
        <v>0</v>
      </c>
      <c r="X12" s="92">
        <v>0</v>
      </c>
      <c r="Y12" s="92">
        <v>0</v>
      </c>
      <c r="Z12" s="92">
        <v>0</v>
      </c>
      <c r="AA12" s="92">
        <v>0</v>
      </c>
      <c r="AB12" s="92">
        <v>0</v>
      </c>
      <c r="AC12" s="92">
        <v>0</v>
      </c>
      <c r="AD12" s="92">
        <v>0</v>
      </c>
      <c r="AE12" s="92">
        <v>0</v>
      </c>
      <c r="AF12" s="92">
        <v>0</v>
      </c>
      <c r="AG12" s="92">
        <v>0</v>
      </c>
      <c r="AH12" s="92">
        <v>0</v>
      </c>
      <c r="AI12" s="92">
        <v>0</v>
      </c>
      <c r="AJ12" s="92">
        <v>0</v>
      </c>
      <c r="AK12" s="92">
        <v>0</v>
      </c>
      <c r="AL12" s="92">
        <v>0</v>
      </c>
      <c r="AM12" s="92">
        <v>0</v>
      </c>
      <c r="AN12" s="92">
        <v>0</v>
      </c>
      <c r="AO12" s="92">
        <v>0</v>
      </c>
      <c r="AP12" s="92">
        <v>0</v>
      </c>
      <c r="AQ12" s="92">
        <v>0</v>
      </c>
      <c r="AR12" s="92">
        <v>0</v>
      </c>
      <c r="AS12" s="92">
        <v>0</v>
      </c>
      <c r="AT12" s="92">
        <v>0</v>
      </c>
      <c r="AU12" s="92">
        <v>0</v>
      </c>
      <c r="AV12" s="92">
        <v>0</v>
      </c>
      <c r="AW12" s="92">
        <v>0</v>
      </c>
      <c r="AX12" s="92">
        <v>0</v>
      </c>
      <c r="AY12" s="92">
        <v>0</v>
      </c>
      <c r="AZ12" s="92">
        <v>0</v>
      </c>
      <c r="BA12" s="92">
        <v>0</v>
      </c>
      <c r="BB12" s="92">
        <v>0</v>
      </c>
      <c r="BC12" s="92">
        <v>0</v>
      </c>
      <c r="BD12" s="90"/>
      <c r="BE12" s="90"/>
    </row>
    <row r="13" spans="1:57" x14ac:dyDescent="0.25">
      <c r="A13" s="84">
        <f t="shared" si="0"/>
        <v>11</v>
      </c>
      <c r="B13" s="83">
        <v>1</v>
      </c>
      <c r="C13" s="86">
        <v>-3.1800000000000001E-3</v>
      </c>
      <c r="D13" s="86">
        <v>-3.1800000000000001E-3</v>
      </c>
      <c r="E13" s="86">
        <v>-3.1800000000000001E-3</v>
      </c>
      <c r="F13" s="86">
        <v>-3.6800000000000001E-3</v>
      </c>
      <c r="G13" s="86">
        <v>3.79E-3</v>
      </c>
      <c r="H13" s="86">
        <v>-3.1800000000000001E-3</v>
      </c>
      <c r="I13" s="86">
        <v>1.97E-3</v>
      </c>
      <c r="J13" s="86">
        <v>-3.2799999999999999E-3</v>
      </c>
      <c r="K13" s="86">
        <v>-3.1800000000000001E-3</v>
      </c>
      <c r="L13" s="86">
        <v>-3.1800000000000001E-3</v>
      </c>
      <c r="M13" s="86">
        <v>-3.1800000000000001E-3</v>
      </c>
      <c r="N13" s="86">
        <v>-3.1800000000000001E-3</v>
      </c>
      <c r="O13" s="86">
        <v>-3.1800000000000001E-3</v>
      </c>
      <c r="P13" s="86">
        <v>1.16E-3</v>
      </c>
      <c r="Q13" s="86">
        <v>4.8349999999999997E-2</v>
      </c>
      <c r="R13" s="86">
        <v>-3.1800000000000001E-3</v>
      </c>
      <c r="S13" s="86">
        <v>-3.1800000000000001E-3</v>
      </c>
      <c r="T13" s="86">
        <v>-3.1800000000000001E-3</v>
      </c>
      <c r="U13" s="86">
        <v>-7.7999999999999996E-3</v>
      </c>
      <c r="V13" s="86">
        <v>-3.1800000000000001E-3</v>
      </c>
      <c r="W13" s="86">
        <v>-3.1800000000000001E-3</v>
      </c>
      <c r="X13" s="86">
        <v>-3.1800000000000001E-3</v>
      </c>
      <c r="Y13" s="86">
        <v>-3.1800000000000001E-3</v>
      </c>
      <c r="Z13" s="86">
        <v>8.9999999999999993E-3</v>
      </c>
      <c r="AA13" s="86">
        <v>1.451E-2</v>
      </c>
      <c r="AB13" s="86">
        <v>-3.1800000000000001E-3</v>
      </c>
      <c r="AC13" s="86">
        <v>9.5899999999999996E-3</v>
      </c>
      <c r="AD13" s="86">
        <v>9.5750000000000002E-2</v>
      </c>
      <c r="AE13" s="86">
        <v>-3.1800000000000001E-3</v>
      </c>
      <c r="AF13" s="86">
        <v>-3.1800000000000001E-3</v>
      </c>
      <c r="AG13" s="86">
        <v>-3.1800000000000001E-3</v>
      </c>
      <c r="AH13" s="86">
        <v>-5.4200000000000003E-3</v>
      </c>
      <c r="AI13" s="86">
        <v>-7.7999999999999996E-3</v>
      </c>
      <c r="AJ13" s="86">
        <v>3.64E-3</v>
      </c>
      <c r="AK13" s="86">
        <v>1.8259999999999998E-2</v>
      </c>
      <c r="AL13" s="86">
        <v>9.11E-2</v>
      </c>
      <c r="AM13" s="86">
        <v>7.79E-3</v>
      </c>
      <c r="AN13" s="86">
        <v>2.4549999999999999E-2</v>
      </c>
      <c r="AO13" s="86">
        <v>3.3079999999999998E-2</v>
      </c>
      <c r="AP13" s="86">
        <v>5.3220000000000003E-2</v>
      </c>
      <c r="AQ13" s="86">
        <v>1.065E-2</v>
      </c>
      <c r="AR13" s="86">
        <v>5.9200000000000003E-2</v>
      </c>
      <c r="AS13" s="86">
        <v>-5.5000000000000003E-4</v>
      </c>
      <c r="AT13" s="86">
        <v>3.3770000000000001E-2</v>
      </c>
      <c r="AU13" s="86">
        <v>6.9989999999999997E-2</v>
      </c>
      <c r="AV13" s="86">
        <v>1.8589999999999999E-2</v>
      </c>
      <c r="AW13" s="86">
        <v>1.1129999999999999E-2</v>
      </c>
      <c r="AX13" s="86">
        <v>7.1859999999999993E-2</v>
      </c>
      <c r="AY13" s="86">
        <v>1.354E-2</v>
      </c>
      <c r="AZ13" s="86">
        <v>4.0600000000000002E-3</v>
      </c>
      <c r="BA13" s="86">
        <v>1.4200000000000001E-2</v>
      </c>
      <c r="BB13" s="86">
        <v>0.12239999999999999</v>
      </c>
      <c r="BC13" s="86">
        <v>1.2279999999999999E-2</v>
      </c>
      <c r="BD13" s="89"/>
      <c r="BE13" s="83"/>
    </row>
    <row r="14" spans="1:57" x14ac:dyDescent="0.25">
      <c r="A14" s="84">
        <f t="shared" si="0"/>
        <v>12</v>
      </c>
      <c r="B14" s="83">
        <v>2</v>
      </c>
      <c r="C14" s="86">
        <v>-2.3E-3</v>
      </c>
      <c r="D14" s="86">
        <v>-2.3E-3</v>
      </c>
      <c r="E14" s="86">
        <v>-2.3E-3</v>
      </c>
      <c r="F14" s="86">
        <v>-2.8E-3</v>
      </c>
      <c r="G14" s="86">
        <v>1.014E-2</v>
      </c>
      <c r="H14" s="86">
        <v>-2.3E-3</v>
      </c>
      <c r="I14" s="86">
        <v>3.5000000000000001E-3</v>
      </c>
      <c r="J14" s="86">
        <v>-2.3999999999999998E-3</v>
      </c>
      <c r="K14" s="86">
        <v>-2.3E-3</v>
      </c>
      <c r="L14" s="86">
        <v>-2.3E-3</v>
      </c>
      <c r="M14" s="86">
        <v>-2.3E-3</v>
      </c>
      <c r="N14" s="86">
        <v>-2.3E-3</v>
      </c>
      <c r="O14" s="86">
        <v>-2.3E-3</v>
      </c>
      <c r="P14" s="86">
        <v>7.4799999999999997E-3</v>
      </c>
      <c r="Q14" s="86">
        <v>4.8399999999999999E-2</v>
      </c>
      <c r="R14" s="86">
        <v>-2.3E-3</v>
      </c>
      <c r="S14" s="86">
        <v>-2.3E-3</v>
      </c>
      <c r="T14" s="86">
        <v>-2.3E-3</v>
      </c>
      <c r="U14" s="86">
        <v>-7.3499999999999998E-3</v>
      </c>
      <c r="V14" s="86">
        <v>-2.3E-3</v>
      </c>
      <c r="W14" s="86">
        <v>-2.3E-3</v>
      </c>
      <c r="X14" s="86">
        <v>-2.3E-3</v>
      </c>
      <c r="Y14" s="86">
        <v>-2.3E-3</v>
      </c>
      <c r="Z14" s="86">
        <v>1.076E-2</v>
      </c>
      <c r="AA14" s="86">
        <v>1.8370000000000001E-2</v>
      </c>
      <c r="AB14" s="86">
        <v>-2.3E-3</v>
      </c>
      <c r="AC14" s="86">
        <v>1.452E-2</v>
      </c>
      <c r="AD14" s="86">
        <v>8.7970000000000007E-2</v>
      </c>
      <c r="AE14" s="86">
        <v>-2.3E-3</v>
      </c>
      <c r="AF14" s="86">
        <v>-2.3E-3</v>
      </c>
      <c r="AG14" s="86">
        <v>-2.3E-3</v>
      </c>
      <c r="AH14" s="86">
        <v>-3.7499999999999999E-3</v>
      </c>
      <c r="AI14" s="86">
        <v>-7.3499999999999998E-3</v>
      </c>
      <c r="AJ14" s="86">
        <v>4.4999999999999997E-3</v>
      </c>
      <c r="AK14" s="86">
        <v>1.9529999999999999E-2</v>
      </c>
      <c r="AL14" s="86">
        <v>8.8279999999999997E-2</v>
      </c>
      <c r="AM14" s="86">
        <v>8.9099999999999995E-3</v>
      </c>
      <c r="AN14" s="86">
        <v>2.63E-2</v>
      </c>
      <c r="AO14" s="86">
        <v>3.3910000000000003E-2</v>
      </c>
      <c r="AP14" s="86">
        <v>5.3679999999999999E-2</v>
      </c>
      <c r="AQ14" s="86">
        <v>1.349E-2</v>
      </c>
      <c r="AR14" s="86">
        <v>6.0519999999999997E-2</v>
      </c>
      <c r="AS14" s="86">
        <v>-4.6999999999999999E-4</v>
      </c>
      <c r="AT14" s="86">
        <v>3.4819999999999997E-2</v>
      </c>
      <c r="AU14" s="86">
        <v>7.0129999999999998E-2</v>
      </c>
      <c r="AV14" s="86">
        <v>2.1059999999999999E-2</v>
      </c>
      <c r="AW14" s="86">
        <v>1.3899999999999999E-2</v>
      </c>
      <c r="AX14" s="86">
        <v>7.1809999999999999E-2</v>
      </c>
      <c r="AY14" s="86">
        <v>1.426E-2</v>
      </c>
      <c r="AZ14" s="86">
        <v>5.2700000000000004E-3</v>
      </c>
      <c r="BA14" s="86">
        <v>1.5570000000000001E-2</v>
      </c>
      <c r="BB14" s="86">
        <v>0.11933000000000001</v>
      </c>
      <c r="BC14" s="86">
        <v>1.465E-2</v>
      </c>
      <c r="BD14" s="89"/>
      <c r="BE14" s="83"/>
    </row>
    <row r="15" spans="1:57" x14ac:dyDescent="0.25">
      <c r="A15" s="84">
        <f t="shared" si="0"/>
        <v>13</v>
      </c>
      <c r="B15" s="83">
        <v>3</v>
      </c>
      <c r="C15" s="86">
        <v>-1.39E-3</v>
      </c>
      <c r="D15" s="86">
        <v>-1.39E-3</v>
      </c>
      <c r="E15" s="86">
        <v>-1.39E-3</v>
      </c>
      <c r="F15" s="86">
        <v>-1.89E-3</v>
      </c>
      <c r="G15" s="86">
        <v>1.6E-2</v>
      </c>
      <c r="H15" s="86">
        <v>-1.39E-3</v>
      </c>
      <c r="I15" s="86">
        <v>4.3400000000000001E-3</v>
      </c>
      <c r="J15" s="86">
        <v>-1.49E-3</v>
      </c>
      <c r="K15" s="86">
        <v>-1.39E-3</v>
      </c>
      <c r="L15" s="86">
        <v>-1.39E-3</v>
      </c>
      <c r="M15" s="86">
        <v>-1.39E-3</v>
      </c>
      <c r="N15" s="86">
        <v>-1.39E-3</v>
      </c>
      <c r="O15" s="86">
        <v>-1.39E-3</v>
      </c>
      <c r="P15" s="86">
        <v>9.5999999999999992E-3</v>
      </c>
      <c r="Q15" s="86">
        <v>4.8399999999999999E-2</v>
      </c>
      <c r="R15" s="86">
        <v>-1.39E-3</v>
      </c>
      <c r="S15" s="86">
        <v>-1.39E-3</v>
      </c>
      <c r="T15" s="86">
        <v>-1.39E-3</v>
      </c>
      <c r="U15" s="86">
        <v>-6.4799999999999996E-3</v>
      </c>
      <c r="V15" s="86">
        <v>-1.39E-3</v>
      </c>
      <c r="W15" s="86">
        <v>-1.39E-3</v>
      </c>
      <c r="X15" s="86">
        <v>-1.39E-3</v>
      </c>
      <c r="Y15" s="86">
        <v>-1.39E-3</v>
      </c>
      <c r="Z15" s="86">
        <v>1.1820000000000001E-2</v>
      </c>
      <c r="AA15" s="86">
        <v>2.198E-2</v>
      </c>
      <c r="AB15" s="86">
        <v>-1.39E-3</v>
      </c>
      <c r="AC15" s="86">
        <v>1.941E-2</v>
      </c>
      <c r="AD15" s="86">
        <v>8.4180000000000005E-2</v>
      </c>
      <c r="AE15" s="86">
        <v>-1.39E-3</v>
      </c>
      <c r="AF15" s="86">
        <v>-1.39E-3</v>
      </c>
      <c r="AG15" s="86">
        <v>-1.39E-3</v>
      </c>
      <c r="AH15" s="86">
        <v>-1.6199999999999999E-3</v>
      </c>
      <c r="AI15" s="86">
        <v>-6.4799999999999996E-3</v>
      </c>
      <c r="AJ15" s="86">
        <v>5.3299999999999997E-3</v>
      </c>
      <c r="AK15" s="86">
        <v>2.0879999999999999E-2</v>
      </c>
      <c r="AL15" s="86">
        <v>9.0380000000000002E-2</v>
      </c>
      <c r="AM15" s="86">
        <v>1.0410000000000001E-2</v>
      </c>
      <c r="AN15" s="86">
        <v>2.8799999999999999E-2</v>
      </c>
      <c r="AO15" s="86">
        <v>3.4520000000000002E-2</v>
      </c>
      <c r="AP15" s="86">
        <v>5.4859999999999999E-2</v>
      </c>
      <c r="AQ15" s="86">
        <v>1.5640000000000001E-2</v>
      </c>
      <c r="AR15" s="86">
        <v>6.1719999999999997E-2</v>
      </c>
      <c r="AS15" s="86">
        <v>-3.6000000000000002E-4</v>
      </c>
      <c r="AT15" s="86">
        <v>3.5540000000000002E-2</v>
      </c>
      <c r="AU15" s="86">
        <v>7.0269999999999999E-2</v>
      </c>
      <c r="AV15" s="86">
        <v>2.3470000000000001E-2</v>
      </c>
      <c r="AW15" s="86">
        <v>1.609E-2</v>
      </c>
      <c r="AX15" s="86">
        <v>7.2779999999999997E-2</v>
      </c>
      <c r="AY15" s="86">
        <v>1.495E-2</v>
      </c>
      <c r="AZ15" s="86">
        <v>6.2899999999999996E-3</v>
      </c>
      <c r="BA15" s="86">
        <v>1.7520000000000001E-2</v>
      </c>
      <c r="BB15" s="86">
        <v>0.11713999999999999</v>
      </c>
      <c r="BC15" s="86">
        <v>1.6590000000000001E-2</v>
      </c>
      <c r="BD15" s="89"/>
      <c r="BE15" s="83"/>
    </row>
    <row r="16" spans="1:57" x14ac:dyDescent="0.25">
      <c r="A16" s="84">
        <f t="shared" si="0"/>
        <v>14</v>
      </c>
      <c r="B16" s="83">
        <v>4</v>
      </c>
      <c r="C16" s="86">
        <v>-3.2000000000000003E-4</v>
      </c>
      <c r="D16" s="86">
        <v>-3.2000000000000003E-4</v>
      </c>
      <c r="E16" s="86">
        <v>-3.2000000000000003E-4</v>
      </c>
      <c r="F16" s="86">
        <v>-8.1999999999999998E-4</v>
      </c>
      <c r="G16" s="86">
        <v>2.053E-2</v>
      </c>
      <c r="H16" s="86">
        <v>-3.2000000000000003E-4</v>
      </c>
      <c r="I16" s="86">
        <v>5.1700000000000001E-3</v>
      </c>
      <c r="J16" s="86">
        <v>-4.2000000000000002E-4</v>
      </c>
      <c r="K16" s="86">
        <v>-3.2000000000000003E-4</v>
      </c>
      <c r="L16" s="86">
        <v>-3.2000000000000003E-4</v>
      </c>
      <c r="M16" s="86">
        <v>-3.2000000000000003E-4</v>
      </c>
      <c r="N16" s="86">
        <v>-3.2000000000000003E-4</v>
      </c>
      <c r="O16" s="86">
        <v>-3.2000000000000003E-4</v>
      </c>
      <c r="P16" s="86">
        <v>1.37E-2</v>
      </c>
      <c r="Q16" s="86">
        <v>4.82E-2</v>
      </c>
      <c r="R16" s="86">
        <v>-3.2000000000000003E-4</v>
      </c>
      <c r="S16" s="86">
        <v>-3.2000000000000003E-4</v>
      </c>
      <c r="T16" s="86">
        <v>-3.2000000000000003E-4</v>
      </c>
      <c r="U16" s="86">
        <v>-5.45E-3</v>
      </c>
      <c r="V16" s="86">
        <v>-3.2000000000000003E-4</v>
      </c>
      <c r="W16" s="86">
        <v>-3.2000000000000003E-4</v>
      </c>
      <c r="X16" s="86">
        <v>-3.2000000000000003E-4</v>
      </c>
      <c r="Y16" s="86">
        <v>-3.2000000000000003E-4</v>
      </c>
      <c r="Z16" s="86">
        <v>1.289E-2</v>
      </c>
      <c r="AA16" s="86">
        <v>2.5049999999999999E-2</v>
      </c>
      <c r="AB16" s="86">
        <v>-3.2000000000000003E-4</v>
      </c>
      <c r="AC16" s="86">
        <v>2.3890000000000002E-2</v>
      </c>
      <c r="AD16" s="86">
        <v>8.2400000000000001E-2</v>
      </c>
      <c r="AE16" s="86">
        <v>-3.2000000000000003E-4</v>
      </c>
      <c r="AF16" s="86">
        <v>-3.2000000000000003E-4</v>
      </c>
      <c r="AG16" s="86">
        <v>-3.2000000000000003E-4</v>
      </c>
      <c r="AH16" s="86">
        <v>3.8999999999999999E-4</v>
      </c>
      <c r="AI16" s="86">
        <v>-5.45E-3</v>
      </c>
      <c r="AJ16" s="86">
        <v>6.0899999999999999E-3</v>
      </c>
      <c r="AK16" s="86">
        <v>2.2280000000000001E-2</v>
      </c>
      <c r="AL16" s="86">
        <v>9.1980000000000006E-2</v>
      </c>
      <c r="AM16" s="86">
        <v>1.1599999999999999E-2</v>
      </c>
      <c r="AN16" s="86">
        <v>3.1119999999999998E-2</v>
      </c>
      <c r="AO16" s="86">
        <v>3.5299999999999998E-2</v>
      </c>
      <c r="AP16" s="86">
        <v>5.6070000000000002E-2</v>
      </c>
      <c r="AQ16" s="86">
        <v>1.7510000000000001E-2</v>
      </c>
      <c r="AR16" s="86">
        <v>6.2869999999999995E-2</v>
      </c>
      <c r="AS16" s="86">
        <v>-1.8000000000000001E-4</v>
      </c>
      <c r="AT16" s="86">
        <v>3.6249999999999998E-2</v>
      </c>
      <c r="AU16" s="86">
        <v>7.0470000000000005E-2</v>
      </c>
      <c r="AV16" s="86">
        <v>2.5559999999999999E-2</v>
      </c>
      <c r="AW16" s="86">
        <v>1.787E-2</v>
      </c>
      <c r="AX16" s="86">
        <v>7.4179999999999996E-2</v>
      </c>
      <c r="AY16" s="86">
        <v>1.554E-2</v>
      </c>
      <c r="AZ16" s="86">
        <v>7.1500000000000001E-3</v>
      </c>
      <c r="BA16" s="86">
        <v>1.9279999999999999E-2</v>
      </c>
      <c r="BB16" s="86">
        <v>0.11605</v>
      </c>
      <c r="BC16" s="86">
        <v>1.8010000000000002E-2</v>
      </c>
      <c r="BD16" s="89"/>
      <c r="BE16" s="83"/>
    </row>
    <row r="17" spans="1:57" x14ac:dyDescent="0.25">
      <c r="A17" s="84">
        <f t="shared" si="0"/>
        <v>15</v>
      </c>
      <c r="B17" s="87">
        <v>5</v>
      </c>
      <c r="C17" s="88">
        <v>8.1999999999999998E-4</v>
      </c>
      <c r="D17" s="88">
        <v>8.1999999999999998E-4</v>
      </c>
      <c r="E17" s="88">
        <v>8.1999999999999998E-4</v>
      </c>
      <c r="F17" s="88">
        <v>3.2000000000000003E-4</v>
      </c>
      <c r="G17" s="88">
        <v>2.3310000000000001E-2</v>
      </c>
      <c r="H17" s="88">
        <v>8.1999999999999998E-4</v>
      </c>
      <c r="I17" s="88">
        <v>6.0200000000000002E-3</v>
      </c>
      <c r="J17" s="88">
        <v>7.2000000000000005E-4</v>
      </c>
      <c r="K17" s="88">
        <v>8.1999999999999998E-4</v>
      </c>
      <c r="L17" s="88">
        <v>8.1999999999999998E-4</v>
      </c>
      <c r="M17" s="88">
        <v>8.1999999999999998E-4</v>
      </c>
      <c r="N17" s="88">
        <v>8.1999999999999998E-4</v>
      </c>
      <c r="O17" s="88">
        <v>8.1999999999999998E-4</v>
      </c>
      <c r="P17" s="88">
        <v>1.8440000000000002E-2</v>
      </c>
      <c r="Q17" s="88">
        <v>4.7960000000000003E-2</v>
      </c>
      <c r="R17" s="88">
        <v>8.1999999999999998E-4</v>
      </c>
      <c r="S17" s="88">
        <v>8.1999999999999998E-4</v>
      </c>
      <c r="T17" s="88">
        <v>8.1999999999999998E-4</v>
      </c>
      <c r="U17" s="88">
        <v>-4.3800000000000002E-3</v>
      </c>
      <c r="V17" s="88">
        <v>8.1999999999999998E-4</v>
      </c>
      <c r="W17" s="88">
        <v>8.1999999999999998E-4</v>
      </c>
      <c r="X17" s="88">
        <v>8.1999999999999998E-4</v>
      </c>
      <c r="Y17" s="88">
        <v>8.1999999999999998E-4</v>
      </c>
      <c r="Z17" s="88">
        <v>1.401E-2</v>
      </c>
      <c r="AA17" s="88">
        <v>2.7390000000000001E-2</v>
      </c>
      <c r="AB17" s="88">
        <v>8.1999999999999998E-4</v>
      </c>
      <c r="AC17" s="88">
        <v>2.7879999999999999E-2</v>
      </c>
      <c r="AD17" s="88">
        <v>8.1119999999999998E-2</v>
      </c>
      <c r="AE17" s="88">
        <v>8.1999999999999998E-4</v>
      </c>
      <c r="AF17" s="88">
        <v>8.1999999999999998E-4</v>
      </c>
      <c r="AG17" s="88">
        <v>8.1999999999999998E-4</v>
      </c>
      <c r="AH17" s="88">
        <v>2.3800000000000002E-3</v>
      </c>
      <c r="AI17" s="88">
        <v>-4.3800000000000002E-3</v>
      </c>
      <c r="AJ17" s="88">
        <v>6.8399999999999997E-3</v>
      </c>
      <c r="AK17" s="88">
        <v>2.3619999999999999E-2</v>
      </c>
      <c r="AL17" s="88">
        <v>9.2859999999999998E-2</v>
      </c>
      <c r="AM17" s="88">
        <v>1.265E-2</v>
      </c>
      <c r="AN17" s="88">
        <v>3.3270000000000001E-2</v>
      </c>
      <c r="AO17" s="88">
        <v>3.6339999999999997E-2</v>
      </c>
      <c r="AP17" s="88">
        <v>5.6930000000000001E-2</v>
      </c>
      <c r="AQ17" s="88">
        <v>1.8700000000000001E-2</v>
      </c>
      <c r="AR17" s="88">
        <v>6.3899999999999998E-2</v>
      </c>
      <c r="AS17" s="88">
        <v>6.0000000000000002E-5</v>
      </c>
      <c r="AT17" s="88">
        <v>3.7039999999999997E-2</v>
      </c>
      <c r="AU17" s="88">
        <v>7.084E-2</v>
      </c>
      <c r="AV17" s="88">
        <v>2.7349999999999999E-2</v>
      </c>
      <c r="AW17" s="88">
        <v>1.9269999999999999E-2</v>
      </c>
      <c r="AX17" s="88">
        <v>7.5800000000000006E-2</v>
      </c>
      <c r="AY17" s="88">
        <v>1.6080000000000001E-2</v>
      </c>
      <c r="AZ17" s="88">
        <v>7.8899999999999994E-3</v>
      </c>
      <c r="BA17" s="88">
        <v>2.0899999999999998E-2</v>
      </c>
      <c r="BB17" s="88">
        <v>0.11498</v>
      </c>
      <c r="BC17" s="88">
        <v>1.9120000000000002E-2</v>
      </c>
      <c r="BD17" s="89"/>
      <c r="BE17" s="83"/>
    </row>
    <row r="18" spans="1:57" x14ac:dyDescent="0.25">
      <c r="A18" s="84">
        <f t="shared" si="0"/>
        <v>16</v>
      </c>
      <c r="B18" s="83">
        <v>6</v>
      </c>
      <c r="C18" s="86">
        <v>2.0500000000000002E-3</v>
      </c>
      <c r="D18" s="86">
        <v>2.0500000000000002E-3</v>
      </c>
      <c r="E18" s="86">
        <v>2.0500000000000002E-3</v>
      </c>
      <c r="F18" s="86">
        <v>1.5499999999999999E-3</v>
      </c>
      <c r="G18" s="86">
        <v>2.5059999999999999E-2</v>
      </c>
      <c r="H18" s="86">
        <v>2.0500000000000002E-3</v>
      </c>
      <c r="I18" s="86">
        <v>6.7999999999999996E-3</v>
      </c>
      <c r="J18" s="86">
        <v>1.9499999999999999E-3</v>
      </c>
      <c r="K18" s="86">
        <v>2.0500000000000002E-3</v>
      </c>
      <c r="L18" s="86">
        <v>2.0500000000000002E-3</v>
      </c>
      <c r="M18" s="86">
        <v>2.0500000000000002E-3</v>
      </c>
      <c r="N18" s="86">
        <v>2.0500000000000002E-3</v>
      </c>
      <c r="O18" s="86">
        <v>2.0500000000000002E-3</v>
      </c>
      <c r="P18" s="86">
        <v>2.2200000000000001E-2</v>
      </c>
      <c r="Q18" s="86">
        <v>4.7800000000000002E-2</v>
      </c>
      <c r="R18" s="86">
        <v>2.0500000000000002E-3</v>
      </c>
      <c r="S18" s="86">
        <v>2.0500000000000002E-3</v>
      </c>
      <c r="T18" s="86">
        <v>2.0500000000000002E-3</v>
      </c>
      <c r="U18" s="86">
        <v>-3.2699999999999999E-3</v>
      </c>
      <c r="V18" s="86">
        <v>2.0500000000000002E-3</v>
      </c>
      <c r="W18" s="86">
        <v>2.0500000000000002E-3</v>
      </c>
      <c r="X18" s="86">
        <v>2.0500000000000002E-3</v>
      </c>
      <c r="Y18" s="86">
        <v>2.0500000000000002E-3</v>
      </c>
      <c r="Z18" s="86">
        <v>1.515E-2</v>
      </c>
      <c r="AA18" s="86">
        <v>2.8979999999999999E-2</v>
      </c>
      <c r="AB18" s="86">
        <v>2.0500000000000002E-3</v>
      </c>
      <c r="AC18" s="86">
        <v>3.1260000000000003E-2</v>
      </c>
      <c r="AD18" s="86">
        <v>8.0019999999999994E-2</v>
      </c>
      <c r="AE18" s="86">
        <v>2.0500000000000002E-3</v>
      </c>
      <c r="AF18" s="86">
        <v>2.0500000000000002E-3</v>
      </c>
      <c r="AG18" s="86">
        <v>2.0500000000000002E-3</v>
      </c>
      <c r="AH18" s="86">
        <v>4.2700000000000004E-3</v>
      </c>
      <c r="AI18" s="86">
        <v>-3.2699999999999999E-3</v>
      </c>
      <c r="AJ18" s="86">
        <v>7.62E-3</v>
      </c>
      <c r="AK18" s="86">
        <v>2.486E-2</v>
      </c>
      <c r="AL18" s="86">
        <v>9.3350000000000002E-2</v>
      </c>
      <c r="AM18" s="86">
        <v>1.358E-2</v>
      </c>
      <c r="AN18" s="86">
        <v>3.5200000000000002E-2</v>
      </c>
      <c r="AO18" s="86">
        <v>3.7879999999999997E-2</v>
      </c>
      <c r="AP18" s="86">
        <v>5.8380000000000001E-2</v>
      </c>
      <c r="AQ18" s="86">
        <v>1.9689999999999999E-2</v>
      </c>
      <c r="AR18" s="86">
        <v>6.4920000000000005E-2</v>
      </c>
      <c r="AS18" s="86">
        <v>3.3E-4</v>
      </c>
      <c r="AT18" s="86">
        <v>3.7589999999999998E-2</v>
      </c>
      <c r="AU18" s="86">
        <v>7.1529999999999996E-2</v>
      </c>
      <c r="AV18" s="86">
        <v>2.894E-2</v>
      </c>
      <c r="AW18" s="86">
        <v>2.0469999999999999E-2</v>
      </c>
      <c r="AX18" s="86">
        <v>7.732E-2</v>
      </c>
      <c r="AY18" s="86">
        <v>1.6490000000000001E-2</v>
      </c>
      <c r="AZ18" s="86">
        <v>8.6499999999999997E-3</v>
      </c>
      <c r="BA18" s="86">
        <v>2.2179999999999998E-2</v>
      </c>
      <c r="BB18" s="86">
        <v>0.11298999999999999</v>
      </c>
      <c r="BC18" s="86">
        <v>2.0060000000000001E-2</v>
      </c>
      <c r="BD18" s="89"/>
      <c r="BE18" s="83"/>
    </row>
    <row r="19" spans="1:57" x14ac:dyDescent="0.25">
      <c r="A19" s="84">
        <f t="shared" si="0"/>
        <v>17</v>
      </c>
      <c r="B19" s="83">
        <v>7</v>
      </c>
      <c r="C19" s="86">
        <v>3.2799999999999999E-3</v>
      </c>
      <c r="D19" s="86">
        <v>3.2799999999999999E-3</v>
      </c>
      <c r="E19" s="86">
        <v>3.2799999999999999E-3</v>
      </c>
      <c r="F19" s="86">
        <v>2.7799999999999999E-3</v>
      </c>
      <c r="G19" s="86">
        <v>2.631E-2</v>
      </c>
      <c r="H19" s="86">
        <v>3.2799999999999999E-3</v>
      </c>
      <c r="I19" s="86">
        <v>7.4900000000000001E-3</v>
      </c>
      <c r="J19" s="86">
        <v>3.1800000000000001E-3</v>
      </c>
      <c r="K19" s="86">
        <v>3.2799999999999999E-3</v>
      </c>
      <c r="L19" s="86">
        <v>3.2799999999999999E-3</v>
      </c>
      <c r="M19" s="86">
        <v>3.2799999999999999E-3</v>
      </c>
      <c r="N19" s="86">
        <v>3.2799999999999999E-3</v>
      </c>
      <c r="O19" s="86">
        <v>3.2799999999999999E-3</v>
      </c>
      <c r="P19" s="86">
        <v>2.5610000000000001E-2</v>
      </c>
      <c r="Q19" s="86">
        <v>4.7739999999999998E-2</v>
      </c>
      <c r="R19" s="86">
        <v>3.2799999999999999E-3</v>
      </c>
      <c r="S19" s="86">
        <v>3.2799999999999999E-3</v>
      </c>
      <c r="T19" s="86">
        <v>3.2799999999999999E-3</v>
      </c>
      <c r="U19" s="86">
        <v>-2.1800000000000001E-3</v>
      </c>
      <c r="V19" s="86">
        <v>3.2799999999999999E-3</v>
      </c>
      <c r="W19" s="86">
        <v>3.2799999999999999E-3</v>
      </c>
      <c r="X19" s="86">
        <v>3.2799999999999999E-3</v>
      </c>
      <c r="Y19" s="86">
        <v>3.2799999999999999E-3</v>
      </c>
      <c r="Z19" s="86">
        <v>1.619E-2</v>
      </c>
      <c r="AA19" s="86">
        <v>3.0130000000000001E-2</v>
      </c>
      <c r="AB19" s="86">
        <v>3.2799999999999999E-3</v>
      </c>
      <c r="AC19" s="86">
        <v>3.39E-2</v>
      </c>
      <c r="AD19" s="86">
        <v>7.9060000000000005E-2</v>
      </c>
      <c r="AE19" s="86">
        <v>3.2799999999999999E-3</v>
      </c>
      <c r="AF19" s="86">
        <v>3.2799999999999999E-3</v>
      </c>
      <c r="AG19" s="86">
        <v>3.2799999999999999E-3</v>
      </c>
      <c r="AH19" s="86">
        <v>6.1000000000000004E-3</v>
      </c>
      <c r="AI19" s="86">
        <v>-2.1800000000000001E-3</v>
      </c>
      <c r="AJ19" s="86">
        <v>8.3700000000000007E-3</v>
      </c>
      <c r="AK19" s="86">
        <v>2.5839999999999998E-2</v>
      </c>
      <c r="AL19" s="86">
        <v>9.3439999999999995E-2</v>
      </c>
      <c r="AM19" s="86">
        <v>1.453E-2</v>
      </c>
      <c r="AN19" s="86">
        <v>3.678E-2</v>
      </c>
      <c r="AO19" s="86">
        <v>3.9410000000000001E-2</v>
      </c>
      <c r="AP19" s="86">
        <v>5.9499999999999997E-2</v>
      </c>
      <c r="AQ19" s="86">
        <v>2.0549999999999999E-2</v>
      </c>
      <c r="AR19" s="86">
        <v>6.565E-2</v>
      </c>
      <c r="AS19" s="86">
        <v>6.0999999999999997E-4</v>
      </c>
      <c r="AT19" s="86">
        <v>3.8059999999999997E-2</v>
      </c>
      <c r="AU19" s="86">
        <v>7.2239999999999999E-2</v>
      </c>
      <c r="AV19" s="86">
        <v>3.0269999999999998E-2</v>
      </c>
      <c r="AW19" s="86">
        <v>2.154E-2</v>
      </c>
      <c r="AX19" s="86">
        <v>7.8649999999999998E-2</v>
      </c>
      <c r="AY19" s="86">
        <v>1.687E-2</v>
      </c>
      <c r="AZ19" s="86">
        <v>9.2099999999999994E-3</v>
      </c>
      <c r="BA19" s="86">
        <v>2.3230000000000001E-2</v>
      </c>
      <c r="BB19" s="86">
        <v>0.11078</v>
      </c>
      <c r="BC19" s="86">
        <v>2.085E-2</v>
      </c>
      <c r="BD19" s="89"/>
      <c r="BE19" s="83"/>
    </row>
    <row r="20" spans="1:57" x14ac:dyDescent="0.25">
      <c r="A20" s="84">
        <f t="shared" si="0"/>
        <v>18</v>
      </c>
      <c r="B20" s="83">
        <v>8</v>
      </c>
      <c r="C20" s="86">
        <v>4.5199999999999997E-3</v>
      </c>
      <c r="D20" s="86">
        <v>4.5199999999999997E-3</v>
      </c>
      <c r="E20" s="86">
        <v>4.5199999999999997E-3</v>
      </c>
      <c r="F20" s="86">
        <v>4.0099999999999997E-3</v>
      </c>
      <c r="G20" s="86">
        <v>2.733E-2</v>
      </c>
      <c r="H20" s="86">
        <v>4.5199999999999997E-3</v>
      </c>
      <c r="I20" s="86">
        <v>8.1899999999999994E-3</v>
      </c>
      <c r="J20" s="86">
        <v>4.4200000000000003E-3</v>
      </c>
      <c r="K20" s="86">
        <v>4.5199999999999997E-3</v>
      </c>
      <c r="L20" s="86">
        <v>4.5199999999999997E-3</v>
      </c>
      <c r="M20" s="86">
        <v>4.5199999999999997E-3</v>
      </c>
      <c r="N20" s="86">
        <v>4.5199999999999997E-3</v>
      </c>
      <c r="O20" s="86">
        <v>4.5199999999999997E-3</v>
      </c>
      <c r="P20" s="86">
        <v>2.8139999999999998E-2</v>
      </c>
      <c r="Q20" s="86">
        <v>4.7699999999999999E-2</v>
      </c>
      <c r="R20" s="86">
        <v>4.5199999999999997E-3</v>
      </c>
      <c r="S20" s="86">
        <v>4.5199999999999997E-3</v>
      </c>
      <c r="T20" s="86">
        <v>4.5199999999999997E-3</v>
      </c>
      <c r="U20" s="86">
        <v>-1.2099999999999999E-3</v>
      </c>
      <c r="V20" s="86">
        <v>4.5199999999999997E-3</v>
      </c>
      <c r="W20" s="86">
        <v>4.5199999999999997E-3</v>
      </c>
      <c r="X20" s="86">
        <v>4.5199999999999997E-3</v>
      </c>
      <c r="Y20" s="86">
        <v>4.5199999999999997E-3</v>
      </c>
      <c r="Z20" s="86">
        <v>1.7080000000000001E-2</v>
      </c>
      <c r="AA20" s="86">
        <v>3.1320000000000001E-2</v>
      </c>
      <c r="AB20" s="86">
        <v>4.5199999999999997E-3</v>
      </c>
      <c r="AC20" s="86">
        <v>3.5810000000000002E-2</v>
      </c>
      <c r="AD20" s="86">
        <v>7.8210000000000002E-2</v>
      </c>
      <c r="AE20" s="86">
        <v>4.5199999999999997E-3</v>
      </c>
      <c r="AF20" s="86">
        <v>4.5199999999999997E-3</v>
      </c>
      <c r="AG20" s="86">
        <v>4.5199999999999997E-3</v>
      </c>
      <c r="AH20" s="86">
        <v>7.7299999999999999E-3</v>
      </c>
      <c r="AI20" s="86">
        <v>-1.2099999999999999E-3</v>
      </c>
      <c r="AJ20" s="86">
        <v>9.0799999999999995E-3</v>
      </c>
      <c r="AK20" s="86">
        <v>2.6780000000000002E-2</v>
      </c>
      <c r="AL20" s="86">
        <v>9.3509999999999996E-2</v>
      </c>
      <c r="AM20" s="86">
        <v>1.5440000000000001E-2</v>
      </c>
      <c r="AN20" s="86">
        <v>3.798E-2</v>
      </c>
      <c r="AO20" s="86">
        <v>4.0620000000000003E-2</v>
      </c>
      <c r="AP20" s="86">
        <v>6.0720000000000003E-2</v>
      </c>
      <c r="AQ20" s="86">
        <v>2.1270000000000001E-2</v>
      </c>
      <c r="AR20" s="86">
        <v>6.6460000000000005E-2</v>
      </c>
      <c r="AS20" s="86">
        <v>9.3999999999999997E-4</v>
      </c>
      <c r="AT20" s="86">
        <v>3.8580000000000003E-2</v>
      </c>
      <c r="AU20" s="86">
        <v>7.2770000000000001E-2</v>
      </c>
      <c r="AV20" s="86">
        <v>3.1390000000000001E-2</v>
      </c>
      <c r="AW20" s="86">
        <v>2.2499999999999999E-2</v>
      </c>
      <c r="AX20" s="86">
        <v>7.9850000000000004E-2</v>
      </c>
      <c r="AY20" s="86">
        <v>1.7270000000000001E-2</v>
      </c>
      <c r="AZ20" s="86">
        <v>9.8200000000000006E-3</v>
      </c>
      <c r="BA20" s="86">
        <v>2.4140000000000002E-2</v>
      </c>
      <c r="BB20" s="86">
        <v>0.10888</v>
      </c>
      <c r="BC20" s="86">
        <v>2.1520000000000001E-2</v>
      </c>
      <c r="BD20" s="89"/>
      <c r="BE20" s="83"/>
    </row>
    <row r="21" spans="1:57" x14ac:dyDescent="0.25">
      <c r="A21" s="84">
        <f t="shared" si="0"/>
        <v>19</v>
      </c>
      <c r="B21" s="83">
        <v>9</v>
      </c>
      <c r="C21" s="86">
        <v>5.7099999999999998E-3</v>
      </c>
      <c r="D21" s="86">
        <v>5.7099999999999998E-3</v>
      </c>
      <c r="E21" s="86">
        <v>5.7099999999999998E-3</v>
      </c>
      <c r="F21" s="86">
        <v>5.1999999999999998E-3</v>
      </c>
      <c r="G21" s="86">
        <v>2.8250000000000001E-2</v>
      </c>
      <c r="H21" s="86">
        <v>5.7099999999999998E-3</v>
      </c>
      <c r="I21" s="86">
        <v>8.9200000000000008E-3</v>
      </c>
      <c r="J21" s="86">
        <v>5.6100000000000004E-3</v>
      </c>
      <c r="K21" s="86">
        <v>5.7099999999999998E-3</v>
      </c>
      <c r="L21" s="86">
        <v>5.7099999999999998E-3</v>
      </c>
      <c r="M21" s="86">
        <v>5.7099999999999998E-3</v>
      </c>
      <c r="N21" s="86">
        <v>5.7099999999999998E-3</v>
      </c>
      <c r="O21" s="86">
        <v>5.7099999999999998E-3</v>
      </c>
      <c r="P21" s="86">
        <v>3.0120000000000001E-2</v>
      </c>
      <c r="Q21" s="86">
        <v>4.7640000000000002E-2</v>
      </c>
      <c r="R21" s="86">
        <v>5.7099999999999998E-3</v>
      </c>
      <c r="S21" s="86">
        <v>5.7099999999999998E-3</v>
      </c>
      <c r="T21" s="86">
        <v>5.7099999999999998E-3</v>
      </c>
      <c r="U21" s="86">
        <v>-3.3E-4</v>
      </c>
      <c r="V21" s="86">
        <v>5.7099999999999998E-3</v>
      </c>
      <c r="W21" s="86">
        <v>5.7099999999999998E-3</v>
      </c>
      <c r="X21" s="86">
        <v>5.7099999999999998E-3</v>
      </c>
      <c r="Y21" s="86">
        <v>5.7099999999999998E-3</v>
      </c>
      <c r="Z21" s="86">
        <v>1.7770000000000001E-2</v>
      </c>
      <c r="AA21" s="86">
        <v>3.2280000000000003E-2</v>
      </c>
      <c r="AB21" s="86">
        <v>5.7099999999999998E-3</v>
      </c>
      <c r="AC21" s="86">
        <v>3.7379999999999997E-2</v>
      </c>
      <c r="AD21" s="86">
        <v>7.739E-2</v>
      </c>
      <c r="AE21" s="86">
        <v>5.7099999999999998E-3</v>
      </c>
      <c r="AF21" s="86">
        <v>5.7099999999999998E-3</v>
      </c>
      <c r="AG21" s="86">
        <v>5.7099999999999998E-3</v>
      </c>
      <c r="AH21" s="86">
        <v>9.1400000000000006E-3</v>
      </c>
      <c r="AI21" s="86">
        <v>-3.3E-4</v>
      </c>
      <c r="AJ21" s="86">
        <v>9.75E-3</v>
      </c>
      <c r="AK21" s="86">
        <v>2.758E-2</v>
      </c>
      <c r="AL21" s="86">
        <v>9.3630000000000005E-2</v>
      </c>
      <c r="AM21" s="86">
        <v>1.6310000000000002E-2</v>
      </c>
      <c r="AN21" s="86">
        <v>3.8879999999999998E-2</v>
      </c>
      <c r="AO21" s="86">
        <v>4.1529999999999997E-2</v>
      </c>
      <c r="AP21" s="86">
        <v>6.1830000000000003E-2</v>
      </c>
      <c r="AQ21" s="86">
        <v>2.188E-2</v>
      </c>
      <c r="AR21" s="86">
        <v>6.7239999999999994E-2</v>
      </c>
      <c r="AS21" s="86">
        <v>1.2899999999999999E-3</v>
      </c>
      <c r="AT21" s="86">
        <v>3.9140000000000001E-2</v>
      </c>
      <c r="AU21" s="86">
        <v>7.324E-2</v>
      </c>
      <c r="AV21" s="86">
        <v>3.2340000000000001E-2</v>
      </c>
      <c r="AW21" s="86">
        <v>2.333E-2</v>
      </c>
      <c r="AX21" s="86">
        <v>8.0930000000000002E-2</v>
      </c>
      <c r="AY21" s="86">
        <v>1.7649999999999999E-2</v>
      </c>
      <c r="AZ21" s="86">
        <v>1.0410000000000001E-2</v>
      </c>
      <c r="BA21" s="86">
        <v>2.4920000000000001E-2</v>
      </c>
      <c r="BB21" s="86">
        <v>0.10722</v>
      </c>
      <c r="BC21" s="86">
        <v>2.2110000000000001E-2</v>
      </c>
      <c r="BD21" s="89"/>
      <c r="BE21" s="83"/>
    </row>
    <row r="22" spans="1:57" x14ac:dyDescent="0.25">
      <c r="A22" s="84">
        <f t="shared" si="0"/>
        <v>20</v>
      </c>
      <c r="B22" s="87">
        <v>10</v>
      </c>
      <c r="C22" s="88">
        <v>6.77E-3</v>
      </c>
      <c r="D22" s="88">
        <v>6.77E-3</v>
      </c>
      <c r="E22" s="88">
        <v>6.77E-3</v>
      </c>
      <c r="F22" s="88">
        <v>6.2599999999999999E-3</v>
      </c>
      <c r="G22" s="88">
        <v>2.904E-2</v>
      </c>
      <c r="H22" s="88">
        <v>6.77E-3</v>
      </c>
      <c r="I22" s="88">
        <v>9.7199999999999995E-3</v>
      </c>
      <c r="J22" s="88">
        <v>6.6699999999999997E-3</v>
      </c>
      <c r="K22" s="88">
        <v>6.77E-3</v>
      </c>
      <c r="L22" s="88">
        <v>6.77E-3</v>
      </c>
      <c r="M22" s="88">
        <v>6.77E-3</v>
      </c>
      <c r="N22" s="88">
        <v>6.77E-3</v>
      </c>
      <c r="O22" s="88">
        <v>6.77E-3</v>
      </c>
      <c r="P22" s="88">
        <v>3.1699999999999999E-2</v>
      </c>
      <c r="Q22" s="88">
        <v>4.7550000000000002E-2</v>
      </c>
      <c r="R22" s="88">
        <v>6.77E-3</v>
      </c>
      <c r="S22" s="88">
        <v>6.77E-3</v>
      </c>
      <c r="T22" s="88">
        <v>6.77E-3</v>
      </c>
      <c r="U22" s="88">
        <v>3.1E-4</v>
      </c>
      <c r="V22" s="88">
        <v>6.77E-3</v>
      </c>
      <c r="W22" s="88">
        <v>6.77E-3</v>
      </c>
      <c r="X22" s="88">
        <v>6.77E-3</v>
      </c>
      <c r="Y22" s="88">
        <v>6.77E-3</v>
      </c>
      <c r="Z22" s="88">
        <v>1.8409999999999999E-2</v>
      </c>
      <c r="AA22" s="88">
        <v>3.3430000000000001E-2</v>
      </c>
      <c r="AB22" s="88">
        <v>6.77E-3</v>
      </c>
      <c r="AC22" s="88">
        <v>3.8769999999999999E-2</v>
      </c>
      <c r="AD22" s="88">
        <v>7.6539999999999997E-2</v>
      </c>
      <c r="AE22" s="88">
        <v>6.77E-3</v>
      </c>
      <c r="AF22" s="88">
        <v>6.77E-3</v>
      </c>
      <c r="AG22" s="88">
        <v>6.77E-3</v>
      </c>
      <c r="AH22" s="88">
        <v>1.0319999999999999E-2</v>
      </c>
      <c r="AI22" s="88">
        <v>3.1E-4</v>
      </c>
      <c r="AJ22" s="88">
        <v>1.038E-2</v>
      </c>
      <c r="AK22" s="88">
        <v>2.8330000000000001E-2</v>
      </c>
      <c r="AL22" s="88">
        <v>9.3719999999999998E-2</v>
      </c>
      <c r="AM22" s="88">
        <v>1.729E-2</v>
      </c>
      <c r="AN22" s="88">
        <v>3.9579999999999997E-2</v>
      </c>
      <c r="AO22" s="88">
        <v>4.2220000000000001E-2</v>
      </c>
      <c r="AP22" s="88">
        <v>6.2570000000000001E-2</v>
      </c>
      <c r="AQ22" s="88">
        <v>2.2370000000000001E-2</v>
      </c>
      <c r="AR22" s="88">
        <v>6.7970000000000003E-2</v>
      </c>
      <c r="AS22" s="88">
        <v>1.66E-3</v>
      </c>
      <c r="AT22" s="88">
        <v>3.968E-2</v>
      </c>
      <c r="AU22" s="88">
        <v>7.3770000000000002E-2</v>
      </c>
      <c r="AV22" s="88">
        <v>3.3090000000000001E-2</v>
      </c>
      <c r="AW22" s="88">
        <v>2.4E-2</v>
      </c>
      <c r="AX22" s="88">
        <v>8.1939999999999999E-2</v>
      </c>
      <c r="AY22" s="88">
        <v>1.796E-2</v>
      </c>
      <c r="AZ22" s="88">
        <v>1.099E-2</v>
      </c>
      <c r="BA22" s="88">
        <v>2.5559999999999999E-2</v>
      </c>
      <c r="BB22" s="88">
        <v>0.10564</v>
      </c>
      <c r="BC22" s="88">
        <v>2.264E-2</v>
      </c>
      <c r="BD22" s="89"/>
      <c r="BE22" s="83"/>
    </row>
    <row r="23" spans="1:57" x14ac:dyDescent="0.25">
      <c r="A23" s="84">
        <f t="shared" si="0"/>
        <v>21</v>
      </c>
      <c r="B23" s="83">
        <v>11</v>
      </c>
      <c r="C23" s="86">
        <v>7.77E-3</v>
      </c>
      <c r="D23" s="86">
        <v>7.77E-3</v>
      </c>
      <c r="E23" s="86">
        <v>7.77E-3</v>
      </c>
      <c r="F23" s="86">
        <v>7.26E-3</v>
      </c>
      <c r="G23" s="86">
        <v>2.9729999999999999E-2</v>
      </c>
      <c r="H23" s="86">
        <v>7.77E-3</v>
      </c>
      <c r="I23" s="86">
        <v>1.0580000000000001E-2</v>
      </c>
      <c r="J23" s="86">
        <v>7.6699999999999997E-3</v>
      </c>
      <c r="K23" s="86">
        <v>7.77E-3</v>
      </c>
      <c r="L23" s="86">
        <v>7.77E-3</v>
      </c>
      <c r="M23" s="86">
        <v>7.77E-3</v>
      </c>
      <c r="N23" s="86">
        <v>7.77E-3</v>
      </c>
      <c r="O23" s="86">
        <v>7.77E-3</v>
      </c>
      <c r="P23" s="86">
        <v>3.3239999999999999E-2</v>
      </c>
      <c r="Q23" s="86">
        <v>4.7449999999999999E-2</v>
      </c>
      <c r="R23" s="86">
        <v>7.77E-3</v>
      </c>
      <c r="S23" s="86">
        <v>7.77E-3</v>
      </c>
      <c r="T23" s="86">
        <v>7.77E-3</v>
      </c>
      <c r="U23" s="86">
        <v>1.0200000000000001E-3</v>
      </c>
      <c r="V23" s="86">
        <v>7.77E-3</v>
      </c>
      <c r="W23" s="86">
        <v>7.77E-3</v>
      </c>
      <c r="X23" s="86">
        <v>7.77E-3</v>
      </c>
      <c r="Y23" s="86">
        <v>7.77E-3</v>
      </c>
      <c r="Z23" s="86">
        <v>1.9089999999999999E-2</v>
      </c>
      <c r="AA23" s="86">
        <v>3.4450000000000001E-2</v>
      </c>
      <c r="AB23" s="86">
        <v>7.77E-3</v>
      </c>
      <c r="AC23" s="86">
        <v>3.9890000000000002E-2</v>
      </c>
      <c r="AD23" s="86">
        <v>7.5649999999999995E-2</v>
      </c>
      <c r="AE23" s="86">
        <v>7.77E-3</v>
      </c>
      <c r="AF23" s="86">
        <v>7.77E-3</v>
      </c>
      <c r="AG23" s="86">
        <v>7.77E-3</v>
      </c>
      <c r="AH23" s="86">
        <v>1.191E-2</v>
      </c>
      <c r="AI23" s="86">
        <v>1.0200000000000001E-3</v>
      </c>
      <c r="AJ23" s="86">
        <v>1.093E-2</v>
      </c>
      <c r="AK23" s="86">
        <v>2.9010000000000001E-2</v>
      </c>
      <c r="AL23" s="86">
        <v>9.3530000000000002E-2</v>
      </c>
      <c r="AM23" s="86">
        <v>1.8200000000000001E-2</v>
      </c>
      <c r="AN23" s="86">
        <v>4.0129999999999999E-2</v>
      </c>
      <c r="AO23" s="86">
        <v>4.274E-2</v>
      </c>
      <c r="AP23" s="86">
        <v>6.2969999999999998E-2</v>
      </c>
      <c r="AQ23" s="86">
        <v>2.2780000000000002E-2</v>
      </c>
      <c r="AR23" s="86">
        <v>6.8440000000000001E-2</v>
      </c>
      <c r="AS23" s="86">
        <v>2.0699999999999998E-3</v>
      </c>
      <c r="AT23" s="86">
        <v>4.0210000000000003E-2</v>
      </c>
      <c r="AU23" s="86">
        <v>7.4410000000000004E-2</v>
      </c>
      <c r="AV23" s="86">
        <v>3.3840000000000002E-2</v>
      </c>
      <c r="AW23" s="86">
        <v>2.453E-2</v>
      </c>
      <c r="AX23" s="86">
        <v>8.2860000000000003E-2</v>
      </c>
      <c r="AY23" s="86">
        <v>1.8190000000000001E-2</v>
      </c>
      <c r="AZ23" s="86">
        <v>1.171E-2</v>
      </c>
      <c r="BA23" s="86">
        <v>2.6079999999999999E-2</v>
      </c>
      <c r="BB23" s="86">
        <v>0.10403999999999999</v>
      </c>
      <c r="BC23" s="86">
        <v>2.3109999999999999E-2</v>
      </c>
      <c r="BD23" s="89"/>
      <c r="BE23" s="83"/>
    </row>
    <row r="24" spans="1:57" x14ac:dyDescent="0.25">
      <c r="A24" s="84">
        <f t="shared" si="0"/>
        <v>22</v>
      </c>
      <c r="B24" s="83">
        <v>12</v>
      </c>
      <c r="C24" s="86">
        <v>8.7100000000000007E-3</v>
      </c>
      <c r="D24" s="86">
        <v>8.7100000000000007E-3</v>
      </c>
      <c r="E24" s="86">
        <v>8.7100000000000007E-3</v>
      </c>
      <c r="F24" s="86">
        <v>8.1899999999999994E-3</v>
      </c>
      <c r="G24" s="86">
        <v>3.0339999999999999E-2</v>
      </c>
      <c r="H24" s="86">
        <v>8.7100000000000007E-3</v>
      </c>
      <c r="I24" s="86">
        <v>1.1350000000000001E-2</v>
      </c>
      <c r="J24" s="86">
        <v>8.6E-3</v>
      </c>
      <c r="K24" s="86">
        <v>8.7100000000000007E-3</v>
      </c>
      <c r="L24" s="86">
        <v>8.7100000000000007E-3</v>
      </c>
      <c r="M24" s="86">
        <v>8.7100000000000007E-3</v>
      </c>
      <c r="N24" s="86">
        <v>8.7100000000000007E-3</v>
      </c>
      <c r="O24" s="86">
        <v>8.7100000000000007E-3</v>
      </c>
      <c r="P24" s="86">
        <v>3.4759999999999999E-2</v>
      </c>
      <c r="Q24" s="86">
        <v>4.734E-2</v>
      </c>
      <c r="R24" s="86">
        <v>8.7100000000000007E-3</v>
      </c>
      <c r="S24" s="86">
        <v>8.7100000000000007E-3</v>
      </c>
      <c r="T24" s="86">
        <v>8.7100000000000007E-3</v>
      </c>
      <c r="U24" s="86">
        <v>1.58E-3</v>
      </c>
      <c r="V24" s="86">
        <v>8.7100000000000007E-3</v>
      </c>
      <c r="W24" s="86">
        <v>8.7100000000000007E-3</v>
      </c>
      <c r="X24" s="86">
        <v>8.7100000000000007E-3</v>
      </c>
      <c r="Y24" s="86">
        <v>8.7100000000000007E-3</v>
      </c>
      <c r="Z24" s="86">
        <v>1.9800000000000002E-2</v>
      </c>
      <c r="AA24" s="86">
        <v>3.5290000000000002E-2</v>
      </c>
      <c r="AB24" s="86">
        <v>8.7100000000000007E-3</v>
      </c>
      <c r="AC24" s="86">
        <v>4.0770000000000001E-2</v>
      </c>
      <c r="AD24" s="86">
        <v>7.4719999999999995E-2</v>
      </c>
      <c r="AE24" s="86">
        <v>8.7100000000000007E-3</v>
      </c>
      <c r="AF24" s="86">
        <v>8.7100000000000007E-3</v>
      </c>
      <c r="AG24" s="86">
        <v>8.7100000000000007E-3</v>
      </c>
      <c r="AH24" s="86">
        <v>1.37E-2</v>
      </c>
      <c r="AI24" s="86">
        <v>1.58E-3</v>
      </c>
      <c r="AJ24" s="86">
        <v>1.141E-2</v>
      </c>
      <c r="AK24" s="86">
        <v>2.963E-2</v>
      </c>
      <c r="AL24" s="86">
        <v>9.3079999999999996E-2</v>
      </c>
      <c r="AM24" s="86">
        <v>1.9019999999999999E-2</v>
      </c>
      <c r="AN24" s="86">
        <v>4.0559999999999999E-2</v>
      </c>
      <c r="AO24" s="86">
        <v>4.3139999999999998E-2</v>
      </c>
      <c r="AP24" s="86">
        <v>6.3119999999999996E-2</v>
      </c>
      <c r="AQ24" s="86">
        <v>2.3130000000000001E-2</v>
      </c>
      <c r="AR24" s="86">
        <v>6.8680000000000005E-2</v>
      </c>
      <c r="AS24" s="86">
        <v>2.5100000000000001E-3</v>
      </c>
      <c r="AT24" s="86">
        <v>4.0770000000000001E-2</v>
      </c>
      <c r="AU24" s="86">
        <v>7.5130000000000002E-2</v>
      </c>
      <c r="AV24" s="86">
        <v>3.4619999999999998E-2</v>
      </c>
      <c r="AW24" s="86">
        <v>2.496E-2</v>
      </c>
      <c r="AX24" s="86">
        <v>8.3599999999999994E-2</v>
      </c>
      <c r="AY24" s="86">
        <v>1.8329999999999999E-2</v>
      </c>
      <c r="AZ24" s="86">
        <v>1.2529999999999999E-2</v>
      </c>
      <c r="BA24" s="86">
        <v>2.6550000000000001E-2</v>
      </c>
      <c r="BB24" s="86">
        <v>0.10244</v>
      </c>
      <c r="BC24" s="86">
        <v>2.3529999999999999E-2</v>
      </c>
      <c r="BD24" s="89"/>
      <c r="BE24" s="83"/>
    </row>
    <row r="25" spans="1:57" x14ac:dyDescent="0.25">
      <c r="A25" s="84">
        <f t="shared" si="0"/>
        <v>23</v>
      </c>
      <c r="B25" s="83">
        <v>13</v>
      </c>
      <c r="C25" s="86">
        <v>9.5399999999999999E-3</v>
      </c>
      <c r="D25" s="86">
        <v>9.5399999999999999E-3</v>
      </c>
      <c r="E25" s="86">
        <v>9.5399999999999999E-3</v>
      </c>
      <c r="F25" s="86">
        <v>9.0200000000000002E-3</v>
      </c>
      <c r="G25" s="86">
        <v>3.0890000000000001E-2</v>
      </c>
      <c r="H25" s="86">
        <v>9.5399999999999999E-3</v>
      </c>
      <c r="I25" s="86">
        <v>1.196E-2</v>
      </c>
      <c r="J25" s="86">
        <v>9.4400000000000005E-3</v>
      </c>
      <c r="K25" s="86">
        <v>9.5399999999999999E-3</v>
      </c>
      <c r="L25" s="86">
        <v>9.5399999999999999E-3</v>
      </c>
      <c r="M25" s="86">
        <v>9.5399999999999999E-3</v>
      </c>
      <c r="N25" s="86">
        <v>9.5399999999999999E-3</v>
      </c>
      <c r="O25" s="86">
        <v>9.5399999999999999E-3</v>
      </c>
      <c r="P25" s="86">
        <v>3.619E-2</v>
      </c>
      <c r="Q25" s="86">
        <v>4.7230000000000001E-2</v>
      </c>
      <c r="R25" s="86">
        <v>9.5399999999999999E-3</v>
      </c>
      <c r="S25" s="86">
        <v>9.5399999999999999E-3</v>
      </c>
      <c r="T25" s="86">
        <v>9.5399999999999999E-3</v>
      </c>
      <c r="U25" s="86">
        <v>1.9599999999999999E-3</v>
      </c>
      <c r="V25" s="86">
        <v>9.5399999999999999E-3</v>
      </c>
      <c r="W25" s="86">
        <v>9.5399999999999999E-3</v>
      </c>
      <c r="X25" s="86">
        <v>9.5399999999999999E-3</v>
      </c>
      <c r="Y25" s="86">
        <v>9.5399999999999999E-3</v>
      </c>
      <c r="Z25" s="86">
        <v>2.051E-2</v>
      </c>
      <c r="AA25" s="86">
        <v>3.5990000000000001E-2</v>
      </c>
      <c r="AB25" s="86">
        <v>9.5399999999999999E-3</v>
      </c>
      <c r="AC25" s="86">
        <v>4.1450000000000001E-2</v>
      </c>
      <c r="AD25" s="86">
        <v>7.3770000000000002E-2</v>
      </c>
      <c r="AE25" s="86">
        <v>9.5399999999999999E-3</v>
      </c>
      <c r="AF25" s="86">
        <v>9.5399999999999999E-3</v>
      </c>
      <c r="AG25" s="86">
        <v>9.5399999999999999E-3</v>
      </c>
      <c r="AH25" s="86">
        <v>1.5469999999999999E-2</v>
      </c>
      <c r="AI25" s="86">
        <v>1.9599999999999999E-3</v>
      </c>
      <c r="AJ25" s="86">
        <v>1.187E-2</v>
      </c>
      <c r="AK25" s="86">
        <v>3.0190000000000002E-2</v>
      </c>
      <c r="AL25" s="86">
        <v>9.2439999999999994E-2</v>
      </c>
      <c r="AM25" s="86">
        <v>1.976E-2</v>
      </c>
      <c r="AN25" s="86">
        <v>4.0919999999999998E-2</v>
      </c>
      <c r="AO25" s="86">
        <v>4.3450000000000003E-2</v>
      </c>
      <c r="AP25" s="86">
        <v>6.3089999999999993E-2</v>
      </c>
      <c r="AQ25" s="86">
        <v>2.3460000000000002E-2</v>
      </c>
      <c r="AR25" s="86">
        <v>6.8750000000000006E-2</v>
      </c>
      <c r="AS25" s="86">
        <v>2.99E-3</v>
      </c>
      <c r="AT25" s="86">
        <v>4.1399999999999999E-2</v>
      </c>
      <c r="AU25" s="86">
        <v>7.5859999999999997E-2</v>
      </c>
      <c r="AV25" s="86">
        <v>3.542E-2</v>
      </c>
      <c r="AW25" s="86">
        <v>2.5319999999999999E-2</v>
      </c>
      <c r="AX25" s="86">
        <v>8.4080000000000002E-2</v>
      </c>
      <c r="AY25" s="86">
        <v>1.839E-2</v>
      </c>
      <c r="AZ25" s="86">
        <v>1.34E-2</v>
      </c>
      <c r="BA25" s="86">
        <v>2.7009999999999999E-2</v>
      </c>
      <c r="BB25" s="86">
        <v>0.10086000000000001</v>
      </c>
      <c r="BC25" s="86">
        <v>2.3879999999999998E-2</v>
      </c>
      <c r="BD25" s="89"/>
      <c r="BE25" s="83"/>
    </row>
    <row r="26" spans="1:57" x14ac:dyDescent="0.25">
      <c r="A26" s="84">
        <f t="shared" si="0"/>
        <v>24</v>
      </c>
      <c r="B26" s="83">
        <v>14</v>
      </c>
      <c r="C26" s="86">
        <v>1.0240000000000001E-2</v>
      </c>
      <c r="D26" s="86">
        <v>1.0240000000000001E-2</v>
      </c>
      <c r="E26" s="86">
        <v>1.0240000000000001E-2</v>
      </c>
      <c r="F26" s="86">
        <v>9.7199999999999995E-3</v>
      </c>
      <c r="G26" s="86">
        <v>3.1379999999999998E-2</v>
      </c>
      <c r="H26" s="86">
        <v>1.0240000000000001E-2</v>
      </c>
      <c r="I26" s="86">
        <v>1.251E-2</v>
      </c>
      <c r="J26" s="86">
        <v>1.013E-2</v>
      </c>
      <c r="K26" s="86">
        <v>1.0240000000000001E-2</v>
      </c>
      <c r="L26" s="86">
        <v>1.0240000000000001E-2</v>
      </c>
      <c r="M26" s="86">
        <v>1.0240000000000001E-2</v>
      </c>
      <c r="N26" s="86">
        <v>1.0240000000000001E-2</v>
      </c>
      <c r="O26" s="86">
        <v>1.0240000000000001E-2</v>
      </c>
      <c r="P26" s="86">
        <v>3.7490000000000002E-2</v>
      </c>
      <c r="Q26" s="86">
        <v>4.7109999999999999E-2</v>
      </c>
      <c r="R26" s="86">
        <v>1.0240000000000001E-2</v>
      </c>
      <c r="S26" s="86">
        <v>1.0240000000000001E-2</v>
      </c>
      <c r="T26" s="86">
        <v>1.0240000000000001E-2</v>
      </c>
      <c r="U26" s="86">
        <v>2.48E-3</v>
      </c>
      <c r="V26" s="86">
        <v>1.0240000000000001E-2</v>
      </c>
      <c r="W26" s="86">
        <v>1.0240000000000001E-2</v>
      </c>
      <c r="X26" s="86">
        <v>1.0240000000000001E-2</v>
      </c>
      <c r="Y26" s="86">
        <v>1.0240000000000001E-2</v>
      </c>
      <c r="Z26" s="86">
        <v>2.1219999999999999E-2</v>
      </c>
      <c r="AA26" s="86">
        <v>3.6580000000000001E-2</v>
      </c>
      <c r="AB26" s="86">
        <v>1.0240000000000001E-2</v>
      </c>
      <c r="AC26" s="86">
        <v>4.2000000000000003E-2</v>
      </c>
      <c r="AD26" s="86">
        <v>7.2819999999999996E-2</v>
      </c>
      <c r="AE26" s="86">
        <v>1.0240000000000001E-2</v>
      </c>
      <c r="AF26" s="86">
        <v>1.0240000000000001E-2</v>
      </c>
      <c r="AG26" s="86">
        <v>1.0240000000000001E-2</v>
      </c>
      <c r="AH26" s="86">
        <v>1.7139999999999999E-2</v>
      </c>
      <c r="AI26" s="86">
        <v>2.48E-3</v>
      </c>
      <c r="AJ26" s="86">
        <v>1.2189999999999999E-2</v>
      </c>
      <c r="AK26" s="86">
        <v>3.0669999999999999E-2</v>
      </c>
      <c r="AL26" s="86">
        <v>9.1670000000000001E-2</v>
      </c>
      <c r="AM26" s="86">
        <v>2.044E-2</v>
      </c>
      <c r="AN26" s="86">
        <v>4.1200000000000001E-2</v>
      </c>
      <c r="AO26" s="86">
        <v>4.3679999999999997E-2</v>
      </c>
      <c r="AP26" s="86">
        <v>6.2920000000000004E-2</v>
      </c>
      <c r="AQ26" s="86">
        <v>2.3789999999999999E-2</v>
      </c>
      <c r="AR26" s="86">
        <v>6.8699999999999997E-2</v>
      </c>
      <c r="AS26" s="86">
        <v>3.47E-3</v>
      </c>
      <c r="AT26" s="86">
        <v>4.2000000000000003E-2</v>
      </c>
      <c r="AU26" s="86">
        <v>7.6579999999999995E-2</v>
      </c>
      <c r="AV26" s="86">
        <v>3.619E-2</v>
      </c>
      <c r="AW26" s="86">
        <v>2.563E-2</v>
      </c>
      <c r="AX26" s="86">
        <v>8.4320000000000006E-2</v>
      </c>
      <c r="AY26" s="86">
        <v>1.839E-2</v>
      </c>
      <c r="AZ26" s="86">
        <v>1.43E-2</v>
      </c>
      <c r="BA26" s="86">
        <v>2.7470000000000001E-2</v>
      </c>
      <c r="BB26" s="86">
        <v>9.9290000000000003E-2</v>
      </c>
      <c r="BC26" s="86">
        <v>2.4160000000000001E-2</v>
      </c>
      <c r="BD26" s="89"/>
      <c r="BE26" s="83"/>
    </row>
    <row r="27" spans="1:57" x14ac:dyDescent="0.25">
      <c r="A27" s="84">
        <f t="shared" si="0"/>
        <v>25</v>
      </c>
      <c r="B27" s="87">
        <v>15</v>
      </c>
      <c r="C27" s="88">
        <v>1.078E-2</v>
      </c>
      <c r="D27" s="88">
        <v>1.078E-2</v>
      </c>
      <c r="E27" s="88">
        <v>1.078E-2</v>
      </c>
      <c r="F27" s="88">
        <v>1.026E-2</v>
      </c>
      <c r="G27" s="88">
        <v>3.1829999999999997E-2</v>
      </c>
      <c r="H27" s="88">
        <v>1.078E-2</v>
      </c>
      <c r="I27" s="88">
        <v>1.3089999999999999E-2</v>
      </c>
      <c r="J27" s="88">
        <v>1.0670000000000001E-2</v>
      </c>
      <c r="K27" s="88">
        <v>1.078E-2</v>
      </c>
      <c r="L27" s="88">
        <v>1.078E-2</v>
      </c>
      <c r="M27" s="88">
        <v>1.078E-2</v>
      </c>
      <c r="N27" s="88">
        <v>1.078E-2</v>
      </c>
      <c r="O27" s="88">
        <v>1.078E-2</v>
      </c>
      <c r="P27" s="88">
        <v>3.8600000000000002E-2</v>
      </c>
      <c r="Q27" s="88">
        <v>4.6989999999999997E-2</v>
      </c>
      <c r="R27" s="88">
        <v>1.078E-2</v>
      </c>
      <c r="S27" s="88">
        <v>1.078E-2</v>
      </c>
      <c r="T27" s="88">
        <v>1.078E-2</v>
      </c>
      <c r="U27" s="88">
        <v>2.8900000000000002E-3</v>
      </c>
      <c r="V27" s="88">
        <v>1.078E-2</v>
      </c>
      <c r="W27" s="88">
        <v>1.078E-2</v>
      </c>
      <c r="X27" s="88">
        <v>1.078E-2</v>
      </c>
      <c r="Y27" s="88">
        <v>1.078E-2</v>
      </c>
      <c r="Z27" s="88">
        <v>2.1919999999999999E-2</v>
      </c>
      <c r="AA27" s="88">
        <v>3.7080000000000002E-2</v>
      </c>
      <c r="AB27" s="88">
        <v>1.078E-2</v>
      </c>
      <c r="AC27" s="88">
        <v>4.2430000000000002E-2</v>
      </c>
      <c r="AD27" s="88">
        <v>7.1879999999999999E-2</v>
      </c>
      <c r="AE27" s="88">
        <v>1.078E-2</v>
      </c>
      <c r="AF27" s="88">
        <v>1.078E-2</v>
      </c>
      <c r="AG27" s="88">
        <v>1.078E-2</v>
      </c>
      <c r="AH27" s="88">
        <v>1.866E-2</v>
      </c>
      <c r="AI27" s="88">
        <v>2.8900000000000002E-3</v>
      </c>
      <c r="AJ27" s="88">
        <v>1.2409999999999999E-2</v>
      </c>
      <c r="AK27" s="88">
        <v>3.108E-2</v>
      </c>
      <c r="AL27" s="88">
        <v>9.0819999999999998E-2</v>
      </c>
      <c r="AM27" s="88">
        <v>2.104E-2</v>
      </c>
      <c r="AN27" s="88">
        <v>4.1439999999999998E-2</v>
      </c>
      <c r="AO27" s="88">
        <v>4.3860000000000003E-2</v>
      </c>
      <c r="AP27" s="88">
        <v>6.2659999999999993E-2</v>
      </c>
      <c r="AQ27" s="88">
        <v>2.4140000000000002E-2</v>
      </c>
      <c r="AR27" s="88">
        <v>6.855E-2</v>
      </c>
      <c r="AS27" s="88">
        <v>3.9500000000000004E-3</v>
      </c>
      <c r="AT27" s="88">
        <v>4.2500000000000003E-2</v>
      </c>
      <c r="AU27" s="88">
        <v>7.7270000000000005E-2</v>
      </c>
      <c r="AV27" s="88">
        <v>3.6920000000000001E-2</v>
      </c>
      <c r="AW27" s="88">
        <v>2.589E-2</v>
      </c>
      <c r="AX27" s="88">
        <v>8.4339999999999998E-2</v>
      </c>
      <c r="AY27" s="88">
        <v>1.8329999999999999E-2</v>
      </c>
      <c r="AZ27" s="88">
        <v>1.52E-2</v>
      </c>
      <c r="BA27" s="88">
        <v>2.792E-2</v>
      </c>
      <c r="BB27" s="88">
        <v>9.776E-2</v>
      </c>
      <c r="BC27" s="88">
        <v>2.4400000000000002E-2</v>
      </c>
      <c r="BD27" s="89"/>
      <c r="BE27" s="83"/>
    </row>
    <row r="28" spans="1:57" x14ac:dyDescent="0.25">
      <c r="A28" s="84">
        <f t="shared" si="0"/>
        <v>26</v>
      </c>
      <c r="B28" s="83">
        <v>16</v>
      </c>
      <c r="C28" s="86">
        <v>1.116E-2</v>
      </c>
      <c r="D28" s="86">
        <v>1.116E-2</v>
      </c>
      <c r="E28" s="86">
        <v>1.116E-2</v>
      </c>
      <c r="F28" s="86">
        <v>1.064E-2</v>
      </c>
      <c r="G28" s="86">
        <v>3.2239999999999998E-2</v>
      </c>
      <c r="H28" s="86">
        <v>1.116E-2</v>
      </c>
      <c r="I28" s="86">
        <v>1.374E-2</v>
      </c>
      <c r="J28" s="86">
        <v>1.106E-2</v>
      </c>
      <c r="K28" s="86">
        <v>1.116E-2</v>
      </c>
      <c r="L28" s="86">
        <v>1.116E-2</v>
      </c>
      <c r="M28" s="86">
        <v>1.116E-2</v>
      </c>
      <c r="N28" s="86">
        <v>1.116E-2</v>
      </c>
      <c r="O28" s="86">
        <v>1.116E-2</v>
      </c>
      <c r="P28" s="86">
        <v>3.952E-2</v>
      </c>
      <c r="Q28" s="86">
        <v>4.6870000000000002E-2</v>
      </c>
      <c r="R28" s="86">
        <v>1.116E-2</v>
      </c>
      <c r="S28" s="86">
        <v>1.116E-2</v>
      </c>
      <c r="T28" s="86">
        <v>1.116E-2</v>
      </c>
      <c r="U28" s="86">
        <v>3.2499999999999999E-3</v>
      </c>
      <c r="V28" s="86">
        <v>1.116E-2</v>
      </c>
      <c r="W28" s="86">
        <v>1.116E-2</v>
      </c>
      <c r="X28" s="86">
        <v>1.116E-2</v>
      </c>
      <c r="Y28" s="86">
        <v>1.116E-2</v>
      </c>
      <c r="Z28" s="86">
        <v>2.2589999999999999E-2</v>
      </c>
      <c r="AA28" s="86">
        <v>3.7519999999999998E-2</v>
      </c>
      <c r="AB28" s="86">
        <v>1.116E-2</v>
      </c>
      <c r="AC28" s="86">
        <v>4.2779999999999999E-2</v>
      </c>
      <c r="AD28" s="86">
        <v>7.0959999999999995E-2</v>
      </c>
      <c r="AE28" s="86">
        <v>1.116E-2</v>
      </c>
      <c r="AF28" s="86">
        <v>1.116E-2</v>
      </c>
      <c r="AG28" s="86">
        <v>1.116E-2</v>
      </c>
      <c r="AH28" s="86">
        <v>2.0039999999999999E-2</v>
      </c>
      <c r="AI28" s="86">
        <v>3.2499999999999999E-3</v>
      </c>
      <c r="AJ28" s="86">
        <v>1.268E-2</v>
      </c>
      <c r="AK28" s="86">
        <v>3.1419999999999997E-2</v>
      </c>
      <c r="AL28" s="86">
        <v>8.9899999999999994E-2</v>
      </c>
      <c r="AM28" s="86">
        <v>2.1569999999999999E-2</v>
      </c>
      <c r="AN28" s="86">
        <v>4.163E-2</v>
      </c>
      <c r="AO28" s="86">
        <v>4.3999999999999997E-2</v>
      </c>
      <c r="AP28" s="86">
        <v>6.2330000000000003E-2</v>
      </c>
      <c r="AQ28" s="86">
        <v>2.4539999999999999E-2</v>
      </c>
      <c r="AR28" s="86">
        <v>6.8339999999999998E-2</v>
      </c>
      <c r="AS28" s="86">
        <v>4.4099999999999999E-3</v>
      </c>
      <c r="AT28" s="86">
        <v>4.2860000000000002E-2</v>
      </c>
      <c r="AU28" s="86">
        <v>7.7909999999999993E-2</v>
      </c>
      <c r="AV28" s="86">
        <v>3.7580000000000002E-2</v>
      </c>
      <c r="AW28" s="86">
        <v>2.6089999999999999E-2</v>
      </c>
      <c r="AX28" s="86">
        <v>8.4159999999999999E-2</v>
      </c>
      <c r="AY28" s="86">
        <v>1.8239999999999999E-2</v>
      </c>
      <c r="AZ28" s="86">
        <v>1.6080000000000001E-2</v>
      </c>
      <c r="BA28" s="86">
        <v>2.836E-2</v>
      </c>
      <c r="BB28" s="86">
        <v>9.6269999999999994E-2</v>
      </c>
      <c r="BC28" s="86">
        <v>2.461E-2</v>
      </c>
      <c r="BD28" s="89"/>
      <c r="BE28" s="83"/>
    </row>
    <row r="29" spans="1:57" x14ac:dyDescent="0.25">
      <c r="A29" s="84">
        <f t="shared" si="0"/>
        <v>27</v>
      </c>
      <c r="B29" s="83">
        <v>17</v>
      </c>
      <c r="C29" s="86">
        <v>1.1469999999999999E-2</v>
      </c>
      <c r="D29" s="86">
        <v>1.1469999999999999E-2</v>
      </c>
      <c r="E29" s="86">
        <v>1.1469999999999999E-2</v>
      </c>
      <c r="F29" s="86">
        <v>1.095E-2</v>
      </c>
      <c r="G29" s="86">
        <v>3.2620000000000003E-2</v>
      </c>
      <c r="H29" s="86">
        <v>1.1469999999999999E-2</v>
      </c>
      <c r="I29" s="86">
        <v>1.444E-2</v>
      </c>
      <c r="J29" s="86">
        <v>1.136E-2</v>
      </c>
      <c r="K29" s="86">
        <v>1.1469999999999999E-2</v>
      </c>
      <c r="L29" s="86">
        <v>1.1469999999999999E-2</v>
      </c>
      <c r="M29" s="86">
        <v>1.1469999999999999E-2</v>
      </c>
      <c r="N29" s="86">
        <v>1.1469999999999999E-2</v>
      </c>
      <c r="O29" s="86">
        <v>1.1469999999999999E-2</v>
      </c>
      <c r="P29" s="86">
        <v>4.0259999999999997E-2</v>
      </c>
      <c r="Q29" s="86">
        <v>4.675E-2</v>
      </c>
      <c r="R29" s="86">
        <v>1.1469999999999999E-2</v>
      </c>
      <c r="S29" s="86">
        <v>1.1469999999999999E-2</v>
      </c>
      <c r="T29" s="86">
        <v>1.1469999999999999E-2</v>
      </c>
      <c r="U29" s="86">
        <v>3.5699999999999998E-3</v>
      </c>
      <c r="V29" s="86">
        <v>1.1469999999999999E-2</v>
      </c>
      <c r="W29" s="86">
        <v>1.1469999999999999E-2</v>
      </c>
      <c r="X29" s="86">
        <v>1.1469999999999999E-2</v>
      </c>
      <c r="Y29" s="86">
        <v>1.1469999999999999E-2</v>
      </c>
      <c r="Z29" s="86">
        <v>2.324E-2</v>
      </c>
      <c r="AA29" s="86">
        <v>3.789E-2</v>
      </c>
      <c r="AB29" s="86">
        <v>1.1469999999999999E-2</v>
      </c>
      <c r="AC29" s="86">
        <v>4.3049999999999998E-2</v>
      </c>
      <c r="AD29" s="86">
        <v>7.0059999999999997E-2</v>
      </c>
      <c r="AE29" s="86">
        <v>1.1469999999999999E-2</v>
      </c>
      <c r="AF29" s="86">
        <v>1.1469999999999999E-2</v>
      </c>
      <c r="AG29" s="86">
        <v>1.1469999999999999E-2</v>
      </c>
      <c r="AH29" s="86">
        <v>2.128E-2</v>
      </c>
      <c r="AI29" s="86">
        <v>3.5699999999999998E-3</v>
      </c>
      <c r="AJ29" s="86">
        <v>1.2829999999999999E-2</v>
      </c>
      <c r="AK29" s="86">
        <v>3.1699999999999999E-2</v>
      </c>
      <c r="AL29" s="86">
        <v>8.8950000000000001E-2</v>
      </c>
      <c r="AM29" s="86">
        <v>2.2020000000000001E-2</v>
      </c>
      <c r="AN29" s="86">
        <v>4.1799999999999997E-2</v>
      </c>
      <c r="AO29" s="86">
        <v>4.41E-2</v>
      </c>
      <c r="AP29" s="86">
        <v>6.1949999999999998E-2</v>
      </c>
      <c r="AQ29" s="86">
        <v>2.496E-2</v>
      </c>
      <c r="AR29" s="86">
        <v>6.8080000000000002E-2</v>
      </c>
      <c r="AS29" s="86">
        <v>4.8500000000000001E-3</v>
      </c>
      <c r="AT29" s="86">
        <v>4.3110000000000002E-2</v>
      </c>
      <c r="AU29" s="86">
        <v>7.8469999999999998E-2</v>
      </c>
      <c r="AV29" s="86">
        <v>3.8170000000000003E-2</v>
      </c>
      <c r="AW29" s="86">
        <v>2.6259999999999999E-2</v>
      </c>
      <c r="AX29" s="86">
        <v>8.3830000000000002E-2</v>
      </c>
      <c r="AY29" s="86">
        <v>1.8169999999999999E-2</v>
      </c>
      <c r="AZ29" s="86">
        <v>1.694E-2</v>
      </c>
      <c r="BA29" s="86">
        <v>2.879E-2</v>
      </c>
      <c r="BB29" s="86">
        <v>9.4820000000000002E-2</v>
      </c>
      <c r="BC29" s="86">
        <v>2.479E-2</v>
      </c>
      <c r="BD29" s="89"/>
      <c r="BE29" s="83"/>
    </row>
    <row r="30" spans="1:57" x14ac:dyDescent="0.25">
      <c r="A30" s="84">
        <f t="shared" si="0"/>
        <v>28</v>
      </c>
      <c r="B30" s="83">
        <v>18</v>
      </c>
      <c r="C30" s="86">
        <v>1.1769999999999999E-2</v>
      </c>
      <c r="D30" s="86">
        <v>1.1769999999999999E-2</v>
      </c>
      <c r="E30" s="86">
        <v>1.1769999999999999E-2</v>
      </c>
      <c r="F30" s="86">
        <v>1.124E-2</v>
      </c>
      <c r="G30" s="86">
        <v>3.2980000000000002E-2</v>
      </c>
      <c r="H30" s="86">
        <v>1.1769999999999999E-2</v>
      </c>
      <c r="I30" s="86">
        <v>1.5169999999999999E-2</v>
      </c>
      <c r="J30" s="86">
        <v>1.166E-2</v>
      </c>
      <c r="K30" s="86">
        <v>1.1769999999999999E-2</v>
      </c>
      <c r="L30" s="86">
        <v>1.1769999999999999E-2</v>
      </c>
      <c r="M30" s="86">
        <v>1.1769999999999999E-2</v>
      </c>
      <c r="N30" s="86">
        <v>1.1769999999999999E-2</v>
      </c>
      <c r="O30" s="86">
        <v>1.1769999999999999E-2</v>
      </c>
      <c r="P30" s="86">
        <v>4.088E-2</v>
      </c>
      <c r="Q30" s="86">
        <v>4.6629999999999998E-2</v>
      </c>
      <c r="R30" s="86">
        <v>1.1769999999999999E-2</v>
      </c>
      <c r="S30" s="86">
        <v>1.1769999999999999E-2</v>
      </c>
      <c r="T30" s="86">
        <v>1.1769999999999999E-2</v>
      </c>
      <c r="U30" s="86">
        <v>3.8400000000000001E-3</v>
      </c>
      <c r="V30" s="86">
        <v>1.1769999999999999E-2</v>
      </c>
      <c r="W30" s="86">
        <v>1.1769999999999999E-2</v>
      </c>
      <c r="X30" s="86">
        <v>1.1769999999999999E-2</v>
      </c>
      <c r="Y30" s="86">
        <v>1.1769999999999999E-2</v>
      </c>
      <c r="Z30" s="86">
        <v>2.3859999999999999E-2</v>
      </c>
      <c r="AA30" s="86">
        <v>3.8210000000000001E-2</v>
      </c>
      <c r="AB30" s="86">
        <v>1.1769999999999999E-2</v>
      </c>
      <c r="AC30" s="86">
        <v>4.3270000000000003E-2</v>
      </c>
      <c r="AD30" s="86">
        <v>6.9180000000000005E-2</v>
      </c>
      <c r="AE30" s="86">
        <v>1.1769999999999999E-2</v>
      </c>
      <c r="AF30" s="86">
        <v>1.1769999999999999E-2</v>
      </c>
      <c r="AG30" s="86">
        <v>1.1769999999999999E-2</v>
      </c>
      <c r="AH30" s="86">
        <v>2.24E-2</v>
      </c>
      <c r="AI30" s="86">
        <v>3.8400000000000001E-3</v>
      </c>
      <c r="AJ30" s="86">
        <v>1.294E-2</v>
      </c>
      <c r="AK30" s="86">
        <v>3.1960000000000002E-2</v>
      </c>
      <c r="AL30" s="86">
        <v>8.7970000000000007E-2</v>
      </c>
      <c r="AM30" s="86">
        <v>2.2370000000000001E-2</v>
      </c>
      <c r="AN30" s="86">
        <v>4.1930000000000002E-2</v>
      </c>
      <c r="AO30" s="86">
        <v>4.4179999999999997E-2</v>
      </c>
      <c r="AP30" s="86">
        <v>6.1539999999999997E-2</v>
      </c>
      <c r="AQ30" s="86">
        <v>2.5389999999999999E-2</v>
      </c>
      <c r="AR30" s="86">
        <v>6.7780000000000007E-2</v>
      </c>
      <c r="AS30" s="86">
        <v>5.2599999999999999E-3</v>
      </c>
      <c r="AT30" s="86">
        <v>4.3270000000000003E-2</v>
      </c>
      <c r="AU30" s="86">
        <v>7.8909999999999994E-2</v>
      </c>
      <c r="AV30" s="86">
        <v>3.8710000000000001E-2</v>
      </c>
      <c r="AW30" s="86">
        <v>2.6429999999999999E-2</v>
      </c>
      <c r="AX30" s="86">
        <v>8.337E-2</v>
      </c>
      <c r="AY30" s="86">
        <v>1.8149999999999999E-2</v>
      </c>
      <c r="AZ30" s="86">
        <v>1.7770000000000001E-2</v>
      </c>
      <c r="BA30" s="86">
        <v>2.92E-2</v>
      </c>
      <c r="BB30" s="86">
        <v>9.3420000000000003E-2</v>
      </c>
      <c r="BC30" s="86">
        <v>2.495E-2</v>
      </c>
      <c r="BD30" s="89"/>
      <c r="BE30" s="83"/>
    </row>
    <row r="31" spans="1:57" x14ac:dyDescent="0.25">
      <c r="A31" s="84">
        <f t="shared" si="0"/>
        <v>29</v>
      </c>
      <c r="B31" s="83">
        <v>19</v>
      </c>
      <c r="C31" s="86">
        <v>1.2109999999999999E-2</v>
      </c>
      <c r="D31" s="86">
        <v>1.2109999999999999E-2</v>
      </c>
      <c r="E31" s="86">
        <v>1.2109999999999999E-2</v>
      </c>
      <c r="F31" s="86">
        <v>1.158E-2</v>
      </c>
      <c r="G31" s="86">
        <v>3.3300000000000003E-2</v>
      </c>
      <c r="H31" s="86">
        <v>1.2109999999999999E-2</v>
      </c>
      <c r="I31" s="86">
        <v>1.592E-2</v>
      </c>
      <c r="J31" s="86">
        <v>1.2E-2</v>
      </c>
      <c r="K31" s="86">
        <v>1.2109999999999999E-2</v>
      </c>
      <c r="L31" s="86">
        <v>1.2109999999999999E-2</v>
      </c>
      <c r="M31" s="86">
        <v>1.2109999999999999E-2</v>
      </c>
      <c r="N31" s="86">
        <v>1.2109999999999999E-2</v>
      </c>
      <c r="O31" s="86">
        <v>1.2109999999999999E-2</v>
      </c>
      <c r="P31" s="86">
        <v>4.138E-2</v>
      </c>
      <c r="Q31" s="86">
        <v>4.6519999999999999E-2</v>
      </c>
      <c r="R31" s="86">
        <v>1.2109999999999999E-2</v>
      </c>
      <c r="S31" s="86">
        <v>1.2109999999999999E-2</v>
      </c>
      <c r="T31" s="86">
        <v>1.2109999999999999E-2</v>
      </c>
      <c r="U31" s="86">
        <v>4.0600000000000002E-3</v>
      </c>
      <c r="V31" s="86">
        <v>1.2109999999999999E-2</v>
      </c>
      <c r="W31" s="86">
        <v>1.2109999999999999E-2</v>
      </c>
      <c r="X31" s="86">
        <v>1.2109999999999999E-2</v>
      </c>
      <c r="Y31" s="86">
        <v>1.2109999999999999E-2</v>
      </c>
      <c r="Z31" s="86">
        <v>2.4459999999999999E-2</v>
      </c>
      <c r="AA31" s="86">
        <v>3.85E-2</v>
      </c>
      <c r="AB31" s="86">
        <v>1.2109999999999999E-2</v>
      </c>
      <c r="AC31" s="86">
        <v>4.3450000000000003E-2</v>
      </c>
      <c r="AD31" s="86">
        <v>6.8339999999999998E-2</v>
      </c>
      <c r="AE31" s="86">
        <v>1.2109999999999999E-2</v>
      </c>
      <c r="AF31" s="86">
        <v>1.2109999999999999E-2</v>
      </c>
      <c r="AG31" s="86">
        <v>1.2109999999999999E-2</v>
      </c>
      <c r="AH31" s="86">
        <v>2.341E-2</v>
      </c>
      <c r="AI31" s="86">
        <v>4.0600000000000002E-3</v>
      </c>
      <c r="AJ31" s="86">
        <v>1.3010000000000001E-2</v>
      </c>
      <c r="AK31" s="86">
        <v>3.2199999999999999E-2</v>
      </c>
      <c r="AL31" s="86">
        <v>8.6999999999999994E-2</v>
      </c>
      <c r="AM31" s="86">
        <v>2.2599999999999999E-2</v>
      </c>
      <c r="AN31" s="86">
        <v>4.2040000000000001E-2</v>
      </c>
      <c r="AO31" s="86">
        <v>4.4229999999999998E-2</v>
      </c>
      <c r="AP31" s="86">
        <v>6.1100000000000002E-2</v>
      </c>
      <c r="AQ31" s="86">
        <v>2.5829999999999999E-2</v>
      </c>
      <c r="AR31" s="86">
        <v>6.7460000000000006E-2</v>
      </c>
      <c r="AS31" s="86">
        <v>5.6299999999999996E-3</v>
      </c>
      <c r="AT31" s="86">
        <v>4.3380000000000002E-2</v>
      </c>
      <c r="AU31" s="86">
        <v>7.9219999999999999E-2</v>
      </c>
      <c r="AV31" s="86">
        <v>3.9170000000000003E-2</v>
      </c>
      <c r="AW31" s="86">
        <v>2.6620000000000001E-2</v>
      </c>
      <c r="AX31" s="86">
        <v>8.2839999999999997E-2</v>
      </c>
      <c r="AY31" s="86">
        <v>1.821E-2</v>
      </c>
      <c r="AZ31" s="86">
        <v>1.857E-2</v>
      </c>
      <c r="BA31" s="86">
        <v>2.9600000000000001E-2</v>
      </c>
      <c r="BB31" s="86">
        <v>9.2069999999999999E-2</v>
      </c>
      <c r="BC31" s="86">
        <v>2.5080000000000002E-2</v>
      </c>
      <c r="BD31" s="89"/>
      <c r="BE31" s="83"/>
    </row>
    <row r="32" spans="1:57" x14ac:dyDescent="0.25">
      <c r="A32" s="84">
        <f t="shared" si="0"/>
        <v>30</v>
      </c>
      <c r="B32" s="87">
        <v>20</v>
      </c>
      <c r="C32" s="88">
        <v>1.252E-2</v>
      </c>
      <c r="D32" s="88">
        <v>1.252E-2</v>
      </c>
      <c r="E32" s="88">
        <v>1.252E-2</v>
      </c>
      <c r="F32" s="88">
        <v>1.2E-2</v>
      </c>
      <c r="G32" s="88">
        <v>3.3610000000000001E-2</v>
      </c>
      <c r="H32" s="88">
        <v>1.252E-2</v>
      </c>
      <c r="I32" s="88">
        <v>1.6660000000000001E-2</v>
      </c>
      <c r="J32" s="88">
        <v>1.242E-2</v>
      </c>
      <c r="K32" s="88">
        <v>1.252E-2</v>
      </c>
      <c r="L32" s="88">
        <v>1.252E-2</v>
      </c>
      <c r="M32" s="88">
        <v>1.252E-2</v>
      </c>
      <c r="N32" s="88">
        <v>1.252E-2</v>
      </c>
      <c r="O32" s="88">
        <v>1.252E-2</v>
      </c>
      <c r="P32" s="88">
        <v>4.1790000000000001E-2</v>
      </c>
      <c r="Q32" s="88">
        <v>4.641E-2</v>
      </c>
      <c r="R32" s="88">
        <v>1.252E-2</v>
      </c>
      <c r="S32" s="88">
        <v>1.252E-2</v>
      </c>
      <c r="T32" s="88">
        <v>1.252E-2</v>
      </c>
      <c r="U32" s="88">
        <v>4.2100000000000002E-3</v>
      </c>
      <c r="V32" s="88">
        <v>1.252E-2</v>
      </c>
      <c r="W32" s="88">
        <v>1.252E-2</v>
      </c>
      <c r="X32" s="88">
        <v>1.252E-2</v>
      </c>
      <c r="Y32" s="88">
        <v>1.252E-2</v>
      </c>
      <c r="Z32" s="88">
        <v>2.503E-2</v>
      </c>
      <c r="AA32" s="88">
        <v>3.875E-2</v>
      </c>
      <c r="AB32" s="88">
        <v>1.252E-2</v>
      </c>
      <c r="AC32" s="88">
        <v>4.3580000000000001E-2</v>
      </c>
      <c r="AD32" s="88">
        <v>6.7519999999999997E-2</v>
      </c>
      <c r="AE32" s="88">
        <v>1.252E-2</v>
      </c>
      <c r="AF32" s="88">
        <v>1.252E-2</v>
      </c>
      <c r="AG32" s="88">
        <v>1.252E-2</v>
      </c>
      <c r="AH32" s="88">
        <v>2.4330000000000001E-2</v>
      </c>
      <c r="AI32" s="88">
        <v>4.2100000000000002E-3</v>
      </c>
      <c r="AJ32" s="88">
        <v>1.299E-2</v>
      </c>
      <c r="AK32" s="88">
        <v>3.243E-2</v>
      </c>
      <c r="AL32" s="88">
        <v>8.6019999999999999E-2</v>
      </c>
      <c r="AM32" s="88">
        <v>2.2710000000000001E-2</v>
      </c>
      <c r="AN32" s="88">
        <v>4.2139999999999997E-2</v>
      </c>
      <c r="AO32" s="88">
        <v>4.4269999999999997E-2</v>
      </c>
      <c r="AP32" s="88">
        <v>6.0650000000000003E-2</v>
      </c>
      <c r="AQ32" s="88">
        <v>2.6270000000000002E-2</v>
      </c>
      <c r="AR32" s="88">
        <v>6.7119999999999999E-2</v>
      </c>
      <c r="AS32" s="88">
        <v>5.9699999999999996E-3</v>
      </c>
      <c r="AT32" s="88">
        <v>4.3450000000000003E-2</v>
      </c>
      <c r="AU32" s="88">
        <v>7.9380000000000006E-2</v>
      </c>
      <c r="AV32" s="88">
        <v>3.9579999999999997E-2</v>
      </c>
      <c r="AW32" s="88">
        <v>2.6839999999999999E-2</v>
      </c>
      <c r="AX32" s="88">
        <v>8.2239999999999994E-2</v>
      </c>
      <c r="AY32" s="88">
        <v>1.8370000000000001E-2</v>
      </c>
      <c r="AZ32" s="88">
        <v>1.934E-2</v>
      </c>
      <c r="BA32" s="88">
        <v>2.998E-2</v>
      </c>
      <c r="BB32" s="88">
        <v>9.078E-2</v>
      </c>
      <c r="BC32" s="88">
        <v>2.5190000000000001E-2</v>
      </c>
      <c r="BD32" s="89"/>
      <c r="BE32" s="83"/>
    </row>
    <row r="33" spans="1:57" x14ac:dyDescent="0.25">
      <c r="A33" s="84">
        <f t="shared" si="0"/>
        <v>31</v>
      </c>
      <c r="B33" s="83">
        <v>21</v>
      </c>
      <c r="C33" s="86">
        <v>1.303E-2</v>
      </c>
      <c r="D33" s="86">
        <v>1.303E-2</v>
      </c>
      <c r="E33" s="86">
        <v>1.303E-2</v>
      </c>
      <c r="F33" s="86">
        <v>1.251E-2</v>
      </c>
      <c r="G33" s="86">
        <v>3.39E-2</v>
      </c>
      <c r="H33" s="86">
        <v>1.303E-2</v>
      </c>
      <c r="I33" s="86">
        <v>1.7389999999999999E-2</v>
      </c>
      <c r="J33" s="86">
        <v>1.2919999999999999E-2</v>
      </c>
      <c r="K33" s="86">
        <v>1.303E-2</v>
      </c>
      <c r="L33" s="86">
        <v>1.303E-2</v>
      </c>
      <c r="M33" s="86">
        <v>1.303E-2</v>
      </c>
      <c r="N33" s="86">
        <v>1.303E-2</v>
      </c>
      <c r="O33" s="86">
        <v>1.303E-2</v>
      </c>
      <c r="P33" s="86">
        <v>4.2130000000000001E-2</v>
      </c>
      <c r="Q33" s="86">
        <v>4.6300000000000001E-2</v>
      </c>
      <c r="R33" s="86">
        <v>1.303E-2</v>
      </c>
      <c r="S33" s="86">
        <v>1.303E-2</v>
      </c>
      <c r="T33" s="86">
        <v>1.303E-2</v>
      </c>
      <c r="U33" s="86">
        <v>4.3099999999999996E-3</v>
      </c>
      <c r="V33" s="86">
        <v>1.303E-2</v>
      </c>
      <c r="W33" s="86">
        <v>1.303E-2</v>
      </c>
      <c r="X33" s="86">
        <v>1.303E-2</v>
      </c>
      <c r="Y33" s="86">
        <v>1.303E-2</v>
      </c>
      <c r="Z33" s="86">
        <v>2.5569999999999999E-2</v>
      </c>
      <c r="AA33" s="86">
        <v>3.8969999999999998E-2</v>
      </c>
      <c r="AB33" s="86">
        <v>1.303E-2</v>
      </c>
      <c r="AC33" s="86">
        <v>4.369E-2</v>
      </c>
      <c r="AD33" s="86">
        <v>6.6729999999999998E-2</v>
      </c>
      <c r="AE33" s="86">
        <v>1.303E-2</v>
      </c>
      <c r="AF33" s="86">
        <v>1.303E-2</v>
      </c>
      <c r="AG33" s="86">
        <v>1.303E-2</v>
      </c>
      <c r="AH33" s="86">
        <v>2.5159999999999998E-2</v>
      </c>
      <c r="AI33" s="86">
        <v>4.3099999999999996E-3</v>
      </c>
      <c r="AJ33" s="86">
        <v>1.2959999999999999E-2</v>
      </c>
      <c r="AK33" s="86">
        <v>3.2660000000000002E-2</v>
      </c>
      <c r="AL33" s="86">
        <v>8.5059999999999997E-2</v>
      </c>
      <c r="AM33" s="86">
        <v>2.2710000000000001E-2</v>
      </c>
      <c r="AN33" s="86">
        <v>4.2220000000000001E-2</v>
      </c>
      <c r="AO33" s="86">
        <v>4.4290000000000003E-2</v>
      </c>
      <c r="AP33" s="86">
        <v>6.0199999999999997E-2</v>
      </c>
      <c r="AQ33" s="86">
        <v>2.6700000000000002E-2</v>
      </c>
      <c r="AR33" s="86">
        <v>6.6780000000000006E-2</v>
      </c>
      <c r="AS33" s="86">
        <v>6.2700000000000004E-3</v>
      </c>
      <c r="AT33" s="86">
        <v>4.351E-2</v>
      </c>
      <c r="AU33" s="86">
        <v>7.936E-2</v>
      </c>
      <c r="AV33" s="86">
        <v>3.993E-2</v>
      </c>
      <c r="AW33" s="86">
        <v>2.7099999999999999E-2</v>
      </c>
      <c r="AX33" s="86">
        <v>8.1600000000000006E-2</v>
      </c>
      <c r="AY33" s="86">
        <v>1.865E-2</v>
      </c>
      <c r="AZ33" s="86">
        <v>2.0070000000000001E-2</v>
      </c>
      <c r="BA33" s="86">
        <v>3.0349999999999999E-2</v>
      </c>
      <c r="BB33" s="86">
        <v>8.9529999999999998E-2</v>
      </c>
      <c r="BC33" s="86">
        <v>2.5260000000000001E-2</v>
      </c>
      <c r="BD33" s="89"/>
      <c r="BE33" s="83"/>
    </row>
    <row r="34" spans="1:57" x14ac:dyDescent="0.25">
      <c r="A34" s="84">
        <f t="shared" si="0"/>
        <v>32</v>
      </c>
      <c r="B34" s="83">
        <v>22</v>
      </c>
      <c r="C34" s="86">
        <v>1.3599999999999999E-2</v>
      </c>
      <c r="D34" s="86">
        <v>1.3599999999999999E-2</v>
      </c>
      <c r="E34" s="86">
        <v>1.3599999999999999E-2</v>
      </c>
      <c r="F34" s="86">
        <v>1.3089999999999999E-2</v>
      </c>
      <c r="G34" s="86">
        <v>3.4169999999999999E-2</v>
      </c>
      <c r="H34" s="86">
        <v>1.3599999999999999E-2</v>
      </c>
      <c r="I34" s="86">
        <v>1.8110000000000001E-2</v>
      </c>
      <c r="J34" s="86">
        <v>1.35E-2</v>
      </c>
      <c r="K34" s="86">
        <v>1.3599999999999999E-2</v>
      </c>
      <c r="L34" s="86">
        <v>1.3599999999999999E-2</v>
      </c>
      <c r="M34" s="86">
        <v>1.3599999999999999E-2</v>
      </c>
      <c r="N34" s="86">
        <v>1.3599999999999999E-2</v>
      </c>
      <c r="O34" s="86">
        <v>1.3599999999999999E-2</v>
      </c>
      <c r="P34" s="86">
        <v>4.24E-2</v>
      </c>
      <c r="Q34" s="86">
        <v>4.6190000000000002E-2</v>
      </c>
      <c r="R34" s="86">
        <v>1.3599999999999999E-2</v>
      </c>
      <c r="S34" s="86">
        <v>1.3599999999999999E-2</v>
      </c>
      <c r="T34" s="86">
        <v>1.3599999999999999E-2</v>
      </c>
      <c r="U34" s="86">
        <v>4.3899999999999998E-3</v>
      </c>
      <c r="V34" s="86">
        <v>1.3599999999999999E-2</v>
      </c>
      <c r="W34" s="86">
        <v>1.3599999999999999E-2</v>
      </c>
      <c r="X34" s="86">
        <v>1.3599999999999999E-2</v>
      </c>
      <c r="Y34" s="86">
        <v>1.3599999999999999E-2</v>
      </c>
      <c r="Z34" s="86">
        <v>2.6089999999999999E-2</v>
      </c>
      <c r="AA34" s="86">
        <v>3.9170000000000003E-2</v>
      </c>
      <c r="AB34" s="86">
        <v>1.3599999999999999E-2</v>
      </c>
      <c r="AC34" s="86">
        <v>4.3770000000000003E-2</v>
      </c>
      <c r="AD34" s="86">
        <v>6.5970000000000001E-2</v>
      </c>
      <c r="AE34" s="86">
        <v>1.3599999999999999E-2</v>
      </c>
      <c r="AF34" s="86">
        <v>1.3599999999999999E-2</v>
      </c>
      <c r="AG34" s="86">
        <v>1.3599999999999999E-2</v>
      </c>
      <c r="AH34" s="86">
        <v>2.5909999999999999E-2</v>
      </c>
      <c r="AI34" s="86">
        <v>4.3899999999999998E-3</v>
      </c>
      <c r="AJ34" s="86">
        <v>1.294E-2</v>
      </c>
      <c r="AK34" s="86">
        <v>3.288E-2</v>
      </c>
      <c r="AL34" s="86">
        <v>8.412E-2</v>
      </c>
      <c r="AM34" s="86">
        <v>2.2630000000000001E-2</v>
      </c>
      <c r="AN34" s="86">
        <v>4.2279999999999998E-2</v>
      </c>
      <c r="AO34" s="86">
        <v>4.4299999999999999E-2</v>
      </c>
      <c r="AP34" s="86">
        <v>5.9740000000000001E-2</v>
      </c>
      <c r="AQ34" s="86">
        <v>2.7119999999999998E-2</v>
      </c>
      <c r="AR34" s="86">
        <v>6.6430000000000003E-2</v>
      </c>
      <c r="AS34" s="86">
        <v>6.5300000000000002E-3</v>
      </c>
      <c r="AT34" s="86">
        <v>4.3549999999999998E-2</v>
      </c>
      <c r="AU34" s="86">
        <v>7.9210000000000003E-2</v>
      </c>
      <c r="AV34" s="86">
        <v>4.0219999999999999E-2</v>
      </c>
      <c r="AW34" s="86">
        <v>2.7380000000000002E-2</v>
      </c>
      <c r="AX34" s="86">
        <v>8.0930000000000002E-2</v>
      </c>
      <c r="AY34" s="86">
        <v>1.9E-2</v>
      </c>
      <c r="AZ34" s="86">
        <v>2.077E-2</v>
      </c>
      <c r="BA34" s="86">
        <v>3.0700000000000002E-2</v>
      </c>
      <c r="BB34" s="86">
        <v>8.8330000000000006E-2</v>
      </c>
      <c r="BC34" s="86">
        <v>2.5309999999999999E-2</v>
      </c>
      <c r="BD34" s="89"/>
      <c r="BE34" s="83"/>
    </row>
    <row r="35" spans="1:57" x14ac:dyDescent="0.25">
      <c r="A35" s="84">
        <f t="shared" si="0"/>
        <v>33</v>
      </c>
      <c r="B35" s="83">
        <v>23</v>
      </c>
      <c r="C35" s="86">
        <v>1.422E-2</v>
      </c>
      <c r="D35" s="86">
        <v>1.422E-2</v>
      </c>
      <c r="E35" s="86">
        <v>1.422E-2</v>
      </c>
      <c r="F35" s="86">
        <v>1.372E-2</v>
      </c>
      <c r="G35" s="86">
        <v>3.4419999999999999E-2</v>
      </c>
      <c r="H35" s="86">
        <v>1.422E-2</v>
      </c>
      <c r="I35" s="86">
        <v>1.8800000000000001E-2</v>
      </c>
      <c r="J35" s="86">
        <v>1.4120000000000001E-2</v>
      </c>
      <c r="K35" s="86">
        <v>1.422E-2</v>
      </c>
      <c r="L35" s="86">
        <v>1.422E-2</v>
      </c>
      <c r="M35" s="86">
        <v>1.422E-2</v>
      </c>
      <c r="N35" s="86">
        <v>1.422E-2</v>
      </c>
      <c r="O35" s="86">
        <v>1.422E-2</v>
      </c>
      <c r="P35" s="86">
        <v>4.2630000000000001E-2</v>
      </c>
      <c r="Q35" s="86">
        <v>4.6089999999999999E-2</v>
      </c>
      <c r="R35" s="86">
        <v>1.422E-2</v>
      </c>
      <c r="S35" s="86">
        <v>1.422E-2</v>
      </c>
      <c r="T35" s="86">
        <v>1.422E-2</v>
      </c>
      <c r="U35" s="86">
        <v>4.4999999999999997E-3</v>
      </c>
      <c r="V35" s="86">
        <v>1.422E-2</v>
      </c>
      <c r="W35" s="86">
        <v>1.422E-2</v>
      </c>
      <c r="X35" s="86">
        <v>1.422E-2</v>
      </c>
      <c r="Y35" s="86">
        <v>1.422E-2</v>
      </c>
      <c r="Z35" s="86">
        <v>2.6589999999999999E-2</v>
      </c>
      <c r="AA35" s="86">
        <v>3.9350000000000003E-2</v>
      </c>
      <c r="AB35" s="86">
        <v>1.422E-2</v>
      </c>
      <c r="AC35" s="86">
        <v>4.3839999999999997E-2</v>
      </c>
      <c r="AD35" s="86">
        <v>6.5240000000000006E-2</v>
      </c>
      <c r="AE35" s="86">
        <v>1.422E-2</v>
      </c>
      <c r="AF35" s="86">
        <v>1.422E-2</v>
      </c>
      <c r="AG35" s="86">
        <v>1.422E-2</v>
      </c>
      <c r="AH35" s="86">
        <v>2.6610000000000002E-2</v>
      </c>
      <c r="AI35" s="86">
        <v>4.4999999999999997E-3</v>
      </c>
      <c r="AJ35" s="86">
        <v>1.2919999999999999E-2</v>
      </c>
      <c r="AK35" s="86">
        <v>3.3059999999999999E-2</v>
      </c>
      <c r="AL35" s="86">
        <v>8.319E-2</v>
      </c>
      <c r="AM35" s="86">
        <v>2.2509999999999999E-2</v>
      </c>
      <c r="AN35" s="86">
        <v>4.2340000000000003E-2</v>
      </c>
      <c r="AO35" s="86">
        <v>4.4299999999999999E-2</v>
      </c>
      <c r="AP35" s="86">
        <v>5.9290000000000002E-2</v>
      </c>
      <c r="AQ35" s="86">
        <v>2.7539999999999999E-2</v>
      </c>
      <c r="AR35" s="86">
        <v>6.608E-2</v>
      </c>
      <c r="AS35" s="86">
        <v>6.7400000000000003E-3</v>
      </c>
      <c r="AT35" s="86">
        <v>4.3580000000000001E-2</v>
      </c>
      <c r="AU35" s="86">
        <v>7.8939999999999996E-2</v>
      </c>
      <c r="AV35" s="86">
        <v>4.0469999999999999E-2</v>
      </c>
      <c r="AW35" s="86">
        <v>2.768E-2</v>
      </c>
      <c r="AX35" s="86">
        <v>8.0250000000000002E-2</v>
      </c>
      <c r="AY35" s="86">
        <v>1.941E-2</v>
      </c>
      <c r="AZ35" s="86">
        <v>2.1440000000000001E-2</v>
      </c>
      <c r="BA35" s="86">
        <v>3.1040000000000002E-2</v>
      </c>
      <c r="BB35" s="86">
        <v>8.7179999999999994E-2</v>
      </c>
      <c r="BC35" s="86">
        <v>2.5350000000000001E-2</v>
      </c>
      <c r="BD35" s="89"/>
      <c r="BE35" s="83"/>
    </row>
    <row r="36" spans="1:57" x14ac:dyDescent="0.25">
      <c r="A36" s="84">
        <f t="shared" si="0"/>
        <v>34</v>
      </c>
      <c r="B36" s="83">
        <v>24</v>
      </c>
      <c r="C36" s="86">
        <v>1.486E-2</v>
      </c>
      <c r="D36" s="86">
        <v>1.486E-2</v>
      </c>
      <c r="E36" s="86">
        <v>1.486E-2</v>
      </c>
      <c r="F36" s="86">
        <v>1.4370000000000001E-2</v>
      </c>
      <c r="G36" s="86">
        <v>3.4660000000000003E-2</v>
      </c>
      <c r="H36" s="86">
        <v>1.486E-2</v>
      </c>
      <c r="I36" s="86">
        <v>1.9480000000000001E-2</v>
      </c>
      <c r="J36" s="86">
        <v>1.4760000000000001E-2</v>
      </c>
      <c r="K36" s="86">
        <v>1.486E-2</v>
      </c>
      <c r="L36" s="86">
        <v>1.486E-2</v>
      </c>
      <c r="M36" s="86">
        <v>1.486E-2</v>
      </c>
      <c r="N36" s="86">
        <v>1.486E-2</v>
      </c>
      <c r="O36" s="86">
        <v>1.486E-2</v>
      </c>
      <c r="P36" s="86">
        <v>4.2819999999999997E-2</v>
      </c>
      <c r="Q36" s="86">
        <v>4.5990000000000003E-2</v>
      </c>
      <c r="R36" s="86">
        <v>1.486E-2</v>
      </c>
      <c r="S36" s="86">
        <v>1.486E-2</v>
      </c>
      <c r="T36" s="86">
        <v>1.486E-2</v>
      </c>
      <c r="U36" s="86">
        <v>4.6499999999999996E-3</v>
      </c>
      <c r="V36" s="86">
        <v>1.486E-2</v>
      </c>
      <c r="W36" s="86">
        <v>1.486E-2</v>
      </c>
      <c r="X36" s="86">
        <v>1.486E-2</v>
      </c>
      <c r="Y36" s="86">
        <v>1.486E-2</v>
      </c>
      <c r="Z36" s="86">
        <v>2.7060000000000001E-2</v>
      </c>
      <c r="AA36" s="86">
        <v>3.9510000000000003E-2</v>
      </c>
      <c r="AB36" s="86">
        <v>1.486E-2</v>
      </c>
      <c r="AC36" s="86">
        <v>4.3880000000000002E-2</v>
      </c>
      <c r="AD36" s="86">
        <v>6.454E-2</v>
      </c>
      <c r="AE36" s="86">
        <v>1.486E-2</v>
      </c>
      <c r="AF36" s="86">
        <v>1.486E-2</v>
      </c>
      <c r="AG36" s="86">
        <v>1.486E-2</v>
      </c>
      <c r="AH36" s="86">
        <v>2.724E-2</v>
      </c>
      <c r="AI36" s="86">
        <v>4.6499999999999996E-3</v>
      </c>
      <c r="AJ36" s="86">
        <v>1.289E-2</v>
      </c>
      <c r="AK36" s="86">
        <v>3.3189999999999997E-2</v>
      </c>
      <c r="AL36" s="86">
        <v>8.2299999999999998E-2</v>
      </c>
      <c r="AM36" s="86">
        <v>2.2380000000000001E-2</v>
      </c>
      <c r="AN36" s="86">
        <v>4.2380000000000001E-2</v>
      </c>
      <c r="AO36" s="86">
        <v>4.4290000000000003E-2</v>
      </c>
      <c r="AP36" s="86">
        <v>5.8840000000000003E-2</v>
      </c>
      <c r="AQ36" s="86">
        <v>2.794E-2</v>
      </c>
      <c r="AR36" s="86">
        <v>6.5729999999999997E-2</v>
      </c>
      <c r="AS36" s="86">
        <v>6.9100000000000003E-3</v>
      </c>
      <c r="AT36" s="86">
        <v>4.36E-2</v>
      </c>
      <c r="AU36" s="86">
        <v>7.8589999999999993E-2</v>
      </c>
      <c r="AV36" s="86">
        <v>4.0689999999999997E-2</v>
      </c>
      <c r="AW36" s="86">
        <v>2.7990000000000001E-2</v>
      </c>
      <c r="AX36" s="86">
        <v>7.9560000000000006E-2</v>
      </c>
      <c r="AY36" s="86">
        <v>1.9859999999999999E-2</v>
      </c>
      <c r="AZ36" s="86">
        <v>2.2079999999999999E-2</v>
      </c>
      <c r="BA36" s="86">
        <v>3.1359999999999999E-2</v>
      </c>
      <c r="BB36" s="86">
        <v>8.6080000000000004E-2</v>
      </c>
      <c r="BC36" s="86">
        <v>2.538E-2</v>
      </c>
      <c r="BD36" s="89"/>
      <c r="BE36" s="83"/>
    </row>
    <row r="37" spans="1:57" x14ac:dyDescent="0.25">
      <c r="A37" s="84">
        <f t="shared" si="0"/>
        <v>35</v>
      </c>
      <c r="B37" s="87">
        <v>25</v>
      </c>
      <c r="C37" s="88">
        <v>1.5509999999999999E-2</v>
      </c>
      <c r="D37" s="88">
        <v>1.5509999999999999E-2</v>
      </c>
      <c r="E37" s="88">
        <v>1.5509999999999999E-2</v>
      </c>
      <c r="F37" s="88">
        <v>1.504E-2</v>
      </c>
      <c r="G37" s="88">
        <v>3.4880000000000001E-2</v>
      </c>
      <c r="H37" s="88">
        <v>1.5509999999999999E-2</v>
      </c>
      <c r="I37" s="88">
        <v>2.0129999999999999E-2</v>
      </c>
      <c r="J37" s="88">
        <v>1.542E-2</v>
      </c>
      <c r="K37" s="88">
        <v>1.5509999999999999E-2</v>
      </c>
      <c r="L37" s="88">
        <v>1.5509999999999999E-2</v>
      </c>
      <c r="M37" s="88">
        <v>1.5509999999999999E-2</v>
      </c>
      <c r="N37" s="88">
        <v>1.5509999999999999E-2</v>
      </c>
      <c r="O37" s="88">
        <v>1.5509999999999999E-2</v>
      </c>
      <c r="P37" s="88">
        <v>4.2970000000000001E-2</v>
      </c>
      <c r="Q37" s="88">
        <v>4.589E-2</v>
      </c>
      <c r="R37" s="88">
        <v>1.5509999999999999E-2</v>
      </c>
      <c r="S37" s="88">
        <v>1.5509999999999999E-2</v>
      </c>
      <c r="T37" s="88">
        <v>1.5509999999999999E-2</v>
      </c>
      <c r="U37" s="88">
        <v>4.8900000000000002E-3</v>
      </c>
      <c r="V37" s="88">
        <v>1.5509999999999999E-2</v>
      </c>
      <c r="W37" s="88">
        <v>1.5509999999999999E-2</v>
      </c>
      <c r="X37" s="88">
        <v>1.5509999999999999E-2</v>
      </c>
      <c r="Y37" s="88">
        <v>1.5509999999999999E-2</v>
      </c>
      <c r="Z37" s="88">
        <v>2.751E-2</v>
      </c>
      <c r="AA37" s="88">
        <v>3.9649999999999998E-2</v>
      </c>
      <c r="AB37" s="88">
        <v>1.5509999999999999E-2</v>
      </c>
      <c r="AC37" s="88">
        <v>4.3920000000000001E-2</v>
      </c>
      <c r="AD37" s="88">
        <v>6.386E-2</v>
      </c>
      <c r="AE37" s="88">
        <v>1.5509999999999999E-2</v>
      </c>
      <c r="AF37" s="88">
        <v>1.5509999999999999E-2</v>
      </c>
      <c r="AG37" s="88">
        <v>1.5509999999999999E-2</v>
      </c>
      <c r="AH37" s="88">
        <v>2.7830000000000001E-2</v>
      </c>
      <c r="AI37" s="88">
        <v>4.8900000000000002E-3</v>
      </c>
      <c r="AJ37" s="88">
        <v>1.286E-2</v>
      </c>
      <c r="AK37" s="88">
        <v>3.3270000000000001E-2</v>
      </c>
      <c r="AL37" s="88">
        <v>8.1430000000000002E-2</v>
      </c>
      <c r="AM37" s="88">
        <v>2.2270000000000002E-2</v>
      </c>
      <c r="AN37" s="88">
        <v>4.2419999999999999E-2</v>
      </c>
      <c r="AO37" s="88">
        <v>4.428E-2</v>
      </c>
      <c r="AP37" s="88">
        <v>5.8400000000000001E-2</v>
      </c>
      <c r="AQ37" s="88">
        <v>2.8330000000000001E-2</v>
      </c>
      <c r="AR37" s="88">
        <v>6.5390000000000004E-2</v>
      </c>
      <c r="AS37" s="88">
        <v>7.0400000000000003E-3</v>
      </c>
      <c r="AT37" s="88">
        <v>4.3610000000000003E-2</v>
      </c>
      <c r="AU37" s="88">
        <v>7.8179999999999999E-2</v>
      </c>
      <c r="AV37" s="88">
        <v>4.088E-2</v>
      </c>
      <c r="AW37" s="88">
        <v>2.8309999999999998E-2</v>
      </c>
      <c r="AX37" s="88">
        <v>7.8869999999999996E-2</v>
      </c>
      <c r="AY37" s="88">
        <v>2.034E-2</v>
      </c>
      <c r="AZ37" s="88">
        <v>2.2689999999999998E-2</v>
      </c>
      <c r="BA37" s="88">
        <v>3.1669999999999997E-2</v>
      </c>
      <c r="BB37" s="88">
        <v>8.5029999999999994E-2</v>
      </c>
      <c r="BC37" s="88">
        <v>2.5389999999999999E-2</v>
      </c>
      <c r="BD37" s="89"/>
      <c r="BE37" s="83"/>
    </row>
    <row r="38" spans="1:57" x14ac:dyDescent="0.25">
      <c r="A38" s="84">
        <f t="shared" si="0"/>
        <v>36</v>
      </c>
      <c r="B38" s="83">
        <v>26</v>
      </c>
      <c r="C38" s="86">
        <v>1.6160000000000001E-2</v>
      </c>
      <c r="D38" s="86">
        <v>1.6160000000000001E-2</v>
      </c>
      <c r="E38" s="86">
        <v>1.6160000000000001E-2</v>
      </c>
      <c r="F38" s="86">
        <v>1.5709999999999998E-2</v>
      </c>
      <c r="G38" s="86">
        <v>3.5090000000000003E-2</v>
      </c>
      <c r="H38" s="86">
        <v>1.6160000000000001E-2</v>
      </c>
      <c r="I38" s="86">
        <v>2.0760000000000001E-2</v>
      </c>
      <c r="J38" s="86">
        <v>1.6070000000000001E-2</v>
      </c>
      <c r="K38" s="86">
        <v>1.6160000000000001E-2</v>
      </c>
      <c r="L38" s="86">
        <v>1.6160000000000001E-2</v>
      </c>
      <c r="M38" s="86">
        <v>1.6160000000000001E-2</v>
      </c>
      <c r="N38" s="86">
        <v>1.6160000000000001E-2</v>
      </c>
      <c r="O38" s="86">
        <v>1.6160000000000001E-2</v>
      </c>
      <c r="P38" s="86">
        <v>4.3090000000000003E-2</v>
      </c>
      <c r="Q38" s="86">
        <v>4.58E-2</v>
      </c>
      <c r="R38" s="86">
        <v>1.6160000000000001E-2</v>
      </c>
      <c r="S38" s="86">
        <v>1.6160000000000001E-2</v>
      </c>
      <c r="T38" s="86">
        <v>1.6160000000000001E-2</v>
      </c>
      <c r="U38" s="86">
        <v>5.2100000000000002E-3</v>
      </c>
      <c r="V38" s="86">
        <v>1.6160000000000001E-2</v>
      </c>
      <c r="W38" s="86">
        <v>1.6160000000000001E-2</v>
      </c>
      <c r="X38" s="86">
        <v>1.6160000000000001E-2</v>
      </c>
      <c r="Y38" s="86">
        <v>1.6160000000000001E-2</v>
      </c>
      <c r="Z38" s="86">
        <v>2.794E-2</v>
      </c>
      <c r="AA38" s="86">
        <v>3.9780000000000003E-2</v>
      </c>
      <c r="AB38" s="86">
        <v>1.6160000000000001E-2</v>
      </c>
      <c r="AC38" s="86">
        <v>4.394E-2</v>
      </c>
      <c r="AD38" s="86">
        <v>6.3219999999999998E-2</v>
      </c>
      <c r="AE38" s="86">
        <v>1.6160000000000001E-2</v>
      </c>
      <c r="AF38" s="86">
        <v>1.6160000000000001E-2</v>
      </c>
      <c r="AG38" s="86">
        <v>1.6160000000000001E-2</v>
      </c>
      <c r="AH38" s="86">
        <v>2.8369999999999999E-2</v>
      </c>
      <c r="AI38" s="86">
        <v>5.2100000000000002E-3</v>
      </c>
      <c r="AJ38" s="86">
        <v>1.281E-2</v>
      </c>
      <c r="AK38" s="86">
        <v>3.329E-2</v>
      </c>
      <c r="AL38" s="86">
        <v>8.0589999999999995E-2</v>
      </c>
      <c r="AM38" s="86">
        <v>2.2190000000000001E-2</v>
      </c>
      <c r="AN38" s="86">
        <v>4.2459999999999998E-2</v>
      </c>
      <c r="AO38" s="86">
        <v>4.4260000000000001E-2</v>
      </c>
      <c r="AP38" s="86">
        <v>5.7970000000000001E-2</v>
      </c>
      <c r="AQ38" s="86">
        <v>2.8709999999999999E-2</v>
      </c>
      <c r="AR38" s="86">
        <v>6.5049999999999997E-2</v>
      </c>
      <c r="AS38" s="86">
        <v>7.1199999999999996E-3</v>
      </c>
      <c r="AT38" s="86">
        <v>4.3619999999999999E-2</v>
      </c>
      <c r="AU38" s="86">
        <v>7.7719999999999997E-2</v>
      </c>
      <c r="AV38" s="86">
        <v>4.104E-2</v>
      </c>
      <c r="AW38" s="86">
        <v>2.862E-2</v>
      </c>
      <c r="AX38" s="86">
        <v>7.8189999999999996E-2</v>
      </c>
      <c r="AY38" s="86">
        <v>2.0820000000000002E-2</v>
      </c>
      <c r="AZ38" s="86">
        <v>2.3269999999999999E-2</v>
      </c>
      <c r="BA38" s="86">
        <v>3.1960000000000002E-2</v>
      </c>
      <c r="BB38" s="86">
        <v>8.4029999999999994E-2</v>
      </c>
      <c r="BC38" s="86">
        <v>2.5399999999999999E-2</v>
      </c>
      <c r="BD38" s="89"/>
      <c r="BE38" s="83"/>
    </row>
    <row r="39" spans="1:57" x14ac:dyDescent="0.25">
      <c r="A39" s="84">
        <f t="shared" si="0"/>
        <v>37</v>
      </c>
      <c r="B39" s="83">
        <v>27</v>
      </c>
      <c r="C39" s="86">
        <v>1.6809999999999999E-2</v>
      </c>
      <c r="D39" s="86">
        <v>1.6809999999999999E-2</v>
      </c>
      <c r="E39" s="86">
        <v>1.6809999999999999E-2</v>
      </c>
      <c r="F39" s="86">
        <v>1.6369999999999999E-2</v>
      </c>
      <c r="G39" s="86">
        <v>3.5290000000000002E-2</v>
      </c>
      <c r="H39" s="86">
        <v>1.6809999999999999E-2</v>
      </c>
      <c r="I39" s="86">
        <v>2.1360000000000001E-2</v>
      </c>
      <c r="J39" s="86">
        <v>1.6729999999999998E-2</v>
      </c>
      <c r="K39" s="86">
        <v>1.6809999999999999E-2</v>
      </c>
      <c r="L39" s="86">
        <v>1.6809999999999999E-2</v>
      </c>
      <c r="M39" s="86">
        <v>1.6809999999999999E-2</v>
      </c>
      <c r="N39" s="86">
        <v>1.6809999999999999E-2</v>
      </c>
      <c r="O39" s="86">
        <v>1.6809999999999999E-2</v>
      </c>
      <c r="P39" s="86">
        <v>4.3189999999999999E-2</v>
      </c>
      <c r="Q39" s="86">
        <v>4.5710000000000001E-2</v>
      </c>
      <c r="R39" s="86">
        <v>1.6809999999999999E-2</v>
      </c>
      <c r="S39" s="86">
        <v>1.6809999999999999E-2</v>
      </c>
      <c r="T39" s="86">
        <v>1.6809999999999999E-2</v>
      </c>
      <c r="U39" s="86">
        <v>5.5999999999999999E-3</v>
      </c>
      <c r="V39" s="86">
        <v>1.6809999999999999E-2</v>
      </c>
      <c r="W39" s="86">
        <v>1.6809999999999999E-2</v>
      </c>
      <c r="X39" s="86">
        <v>1.6809999999999999E-2</v>
      </c>
      <c r="Y39" s="86">
        <v>1.6809999999999999E-2</v>
      </c>
      <c r="Z39" s="86">
        <v>2.835E-2</v>
      </c>
      <c r="AA39" s="86">
        <v>3.9899999999999998E-2</v>
      </c>
      <c r="AB39" s="86">
        <v>1.6809999999999999E-2</v>
      </c>
      <c r="AC39" s="86">
        <v>4.3950000000000003E-2</v>
      </c>
      <c r="AD39" s="86">
        <v>6.2600000000000003E-2</v>
      </c>
      <c r="AE39" s="86">
        <v>1.6809999999999999E-2</v>
      </c>
      <c r="AF39" s="86">
        <v>1.6809999999999999E-2</v>
      </c>
      <c r="AG39" s="86">
        <v>1.6809999999999999E-2</v>
      </c>
      <c r="AH39" s="86">
        <v>2.887E-2</v>
      </c>
      <c r="AI39" s="86">
        <v>5.5999999999999999E-3</v>
      </c>
      <c r="AJ39" s="86">
        <v>1.2749999999999999E-2</v>
      </c>
      <c r="AK39" s="86">
        <v>3.3279999999999997E-2</v>
      </c>
      <c r="AL39" s="86">
        <v>7.9780000000000004E-2</v>
      </c>
      <c r="AM39" s="86">
        <v>2.214E-2</v>
      </c>
      <c r="AN39" s="86">
        <v>4.2479999999999997E-2</v>
      </c>
      <c r="AO39" s="86">
        <v>4.4240000000000002E-2</v>
      </c>
      <c r="AP39" s="86">
        <v>5.7549999999999997E-2</v>
      </c>
      <c r="AQ39" s="86">
        <v>2.9069999999999999E-2</v>
      </c>
      <c r="AR39" s="86">
        <v>6.472E-2</v>
      </c>
      <c r="AS39" s="86">
        <v>7.1799999999999998E-3</v>
      </c>
      <c r="AT39" s="86">
        <v>4.3619999999999999E-2</v>
      </c>
      <c r="AU39" s="86">
        <v>7.7229999999999993E-2</v>
      </c>
      <c r="AV39" s="86">
        <v>4.1169999999999998E-2</v>
      </c>
      <c r="AW39" s="86">
        <v>2.894E-2</v>
      </c>
      <c r="AX39" s="86">
        <v>7.7509999999999996E-2</v>
      </c>
      <c r="AY39" s="86">
        <v>2.1319999999999999E-2</v>
      </c>
      <c r="AZ39" s="86">
        <v>2.383E-2</v>
      </c>
      <c r="BA39" s="86">
        <v>3.2239999999999998E-2</v>
      </c>
      <c r="BB39" s="86">
        <v>8.3070000000000005E-2</v>
      </c>
      <c r="BC39" s="86">
        <v>2.5409999999999999E-2</v>
      </c>
      <c r="BD39" s="89"/>
      <c r="BE39" s="83"/>
    </row>
    <row r="40" spans="1:57" x14ac:dyDescent="0.25">
      <c r="A40" s="84">
        <f t="shared" si="0"/>
        <v>38</v>
      </c>
      <c r="B40" s="83">
        <v>28</v>
      </c>
      <c r="C40" s="86">
        <v>1.745E-2</v>
      </c>
      <c r="D40" s="86">
        <v>1.745E-2</v>
      </c>
      <c r="E40" s="86">
        <v>1.745E-2</v>
      </c>
      <c r="F40" s="86">
        <v>1.702E-2</v>
      </c>
      <c r="G40" s="86">
        <v>3.5490000000000001E-2</v>
      </c>
      <c r="H40" s="86">
        <v>1.745E-2</v>
      </c>
      <c r="I40" s="86">
        <v>2.1940000000000001E-2</v>
      </c>
      <c r="J40" s="86">
        <v>1.737E-2</v>
      </c>
      <c r="K40" s="86">
        <v>1.745E-2</v>
      </c>
      <c r="L40" s="86">
        <v>1.745E-2</v>
      </c>
      <c r="M40" s="86">
        <v>1.745E-2</v>
      </c>
      <c r="N40" s="86">
        <v>1.745E-2</v>
      </c>
      <c r="O40" s="86">
        <v>1.745E-2</v>
      </c>
      <c r="P40" s="86">
        <v>4.326E-2</v>
      </c>
      <c r="Q40" s="86">
        <v>4.5620000000000001E-2</v>
      </c>
      <c r="R40" s="86">
        <v>1.745E-2</v>
      </c>
      <c r="S40" s="86">
        <v>1.745E-2</v>
      </c>
      <c r="T40" s="86">
        <v>1.745E-2</v>
      </c>
      <c r="U40" s="86">
        <v>6.0400000000000002E-3</v>
      </c>
      <c r="V40" s="86">
        <v>1.745E-2</v>
      </c>
      <c r="W40" s="86">
        <v>1.745E-2</v>
      </c>
      <c r="X40" s="86">
        <v>1.745E-2</v>
      </c>
      <c r="Y40" s="86">
        <v>1.745E-2</v>
      </c>
      <c r="Z40" s="86">
        <v>2.8740000000000002E-2</v>
      </c>
      <c r="AA40" s="86">
        <v>4.0009999999999997E-2</v>
      </c>
      <c r="AB40" s="86">
        <v>1.745E-2</v>
      </c>
      <c r="AC40" s="86">
        <v>4.3950000000000003E-2</v>
      </c>
      <c r="AD40" s="86">
        <v>6.2010000000000003E-2</v>
      </c>
      <c r="AE40" s="86">
        <v>1.745E-2</v>
      </c>
      <c r="AF40" s="86">
        <v>1.745E-2</v>
      </c>
      <c r="AG40" s="86">
        <v>1.745E-2</v>
      </c>
      <c r="AH40" s="86">
        <v>2.9340000000000001E-2</v>
      </c>
      <c r="AI40" s="86">
        <v>6.0400000000000002E-3</v>
      </c>
      <c r="AJ40" s="86">
        <v>1.269E-2</v>
      </c>
      <c r="AK40" s="86">
        <v>3.3250000000000002E-2</v>
      </c>
      <c r="AL40" s="86">
        <v>7.9000000000000001E-2</v>
      </c>
      <c r="AM40" s="86">
        <v>2.214E-2</v>
      </c>
      <c r="AN40" s="86">
        <v>4.2500000000000003E-2</v>
      </c>
      <c r="AO40" s="86">
        <v>4.4209999999999999E-2</v>
      </c>
      <c r="AP40" s="86">
        <v>5.7149999999999999E-2</v>
      </c>
      <c r="AQ40" s="86">
        <v>2.9420000000000002E-2</v>
      </c>
      <c r="AR40" s="86">
        <v>6.4399999999999999E-2</v>
      </c>
      <c r="AS40" s="86">
        <v>7.2700000000000004E-3</v>
      </c>
      <c r="AT40" s="86">
        <v>4.3610000000000003E-2</v>
      </c>
      <c r="AU40" s="86">
        <v>7.6719999999999997E-2</v>
      </c>
      <c r="AV40" s="86">
        <v>4.129E-2</v>
      </c>
      <c r="AW40" s="86">
        <v>2.9250000000000002E-2</v>
      </c>
      <c r="AX40" s="86">
        <v>7.6859999999999998E-2</v>
      </c>
      <c r="AY40" s="86">
        <v>2.181E-2</v>
      </c>
      <c r="AZ40" s="86">
        <v>2.435E-2</v>
      </c>
      <c r="BA40" s="86">
        <v>3.2509999999999997E-2</v>
      </c>
      <c r="BB40" s="86">
        <v>8.2150000000000001E-2</v>
      </c>
      <c r="BC40" s="86">
        <v>2.5409999999999999E-2</v>
      </c>
      <c r="BD40" s="89"/>
      <c r="BE40" s="83"/>
    </row>
    <row r="41" spans="1:57" x14ac:dyDescent="0.25">
      <c r="A41" s="84">
        <f t="shared" si="0"/>
        <v>39</v>
      </c>
      <c r="B41" s="83">
        <v>29</v>
      </c>
      <c r="C41" s="86">
        <v>1.8079999999999999E-2</v>
      </c>
      <c r="D41" s="86">
        <v>1.8079999999999999E-2</v>
      </c>
      <c r="E41" s="86">
        <v>1.8079999999999999E-2</v>
      </c>
      <c r="F41" s="86">
        <v>1.7659999999999999E-2</v>
      </c>
      <c r="G41" s="86">
        <v>3.567E-2</v>
      </c>
      <c r="H41" s="86">
        <v>1.8079999999999999E-2</v>
      </c>
      <c r="I41" s="86">
        <v>2.2499999999999999E-2</v>
      </c>
      <c r="J41" s="86">
        <v>1.7999999999999999E-2</v>
      </c>
      <c r="K41" s="86">
        <v>1.8079999999999999E-2</v>
      </c>
      <c r="L41" s="86">
        <v>1.8079999999999999E-2</v>
      </c>
      <c r="M41" s="86">
        <v>1.8079999999999999E-2</v>
      </c>
      <c r="N41" s="86">
        <v>1.8079999999999999E-2</v>
      </c>
      <c r="O41" s="86">
        <v>1.8079999999999999E-2</v>
      </c>
      <c r="P41" s="86">
        <v>4.3319999999999997E-2</v>
      </c>
      <c r="Q41" s="86">
        <v>4.5539999999999997E-2</v>
      </c>
      <c r="R41" s="86">
        <v>1.8079999999999999E-2</v>
      </c>
      <c r="S41" s="86">
        <v>1.8079999999999999E-2</v>
      </c>
      <c r="T41" s="86">
        <v>1.8079999999999999E-2</v>
      </c>
      <c r="U41" s="86">
        <v>6.5199999999999998E-3</v>
      </c>
      <c r="V41" s="86">
        <v>1.8079999999999999E-2</v>
      </c>
      <c r="W41" s="86">
        <v>1.8079999999999999E-2</v>
      </c>
      <c r="X41" s="86">
        <v>1.8079999999999999E-2</v>
      </c>
      <c r="Y41" s="86">
        <v>1.8079999999999999E-2</v>
      </c>
      <c r="Z41" s="86">
        <v>2.911E-2</v>
      </c>
      <c r="AA41" s="86">
        <v>4.0099999999999997E-2</v>
      </c>
      <c r="AB41" s="86">
        <v>1.8079999999999999E-2</v>
      </c>
      <c r="AC41" s="86">
        <v>4.3950000000000003E-2</v>
      </c>
      <c r="AD41" s="86">
        <v>6.1449999999999998E-2</v>
      </c>
      <c r="AE41" s="86">
        <v>1.8079999999999999E-2</v>
      </c>
      <c r="AF41" s="86">
        <v>1.8079999999999999E-2</v>
      </c>
      <c r="AG41" s="86">
        <v>1.8079999999999999E-2</v>
      </c>
      <c r="AH41" s="86">
        <v>2.9770000000000001E-2</v>
      </c>
      <c r="AI41" s="86">
        <v>6.5199999999999998E-3</v>
      </c>
      <c r="AJ41" s="86">
        <v>1.2630000000000001E-2</v>
      </c>
      <c r="AK41" s="86">
        <v>3.322E-2</v>
      </c>
      <c r="AL41" s="86">
        <v>7.825E-2</v>
      </c>
      <c r="AM41" s="86">
        <v>2.2190000000000001E-2</v>
      </c>
      <c r="AN41" s="86">
        <v>4.2520000000000002E-2</v>
      </c>
      <c r="AO41" s="86">
        <v>4.4179999999999997E-2</v>
      </c>
      <c r="AP41" s="86">
        <v>5.6759999999999998E-2</v>
      </c>
      <c r="AQ41" s="86">
        <v>2.9749999999999999E-2</v>
      </c>
      <c r="AR41" s="86">
        <v>6.4089999999999994E-2</v>
      </c>
      <c r="AS41" s="86">
        <v>7.3899999999999999E-3</v>
      </c>
      <c r="AT41" s="86">
        <v>4.36E-2</v>
      </c>
      <c r="AU41" s="86">
        <v>7.6189999999999994E-2</v>
      </c>
      <c r="AV41" s="86">
        <v>4.1399999999999999E-2</v>
      </c>
      <c r="AW41" s="86">
        <v>2.9559999999999999E-2</v>
      </c>
      <c r="AX41" s="86">
        <v>7.621E-2</v>
      </c>
      <c r="AY41" s="86">
        <v>2.2290000000000001E-2</v>
      </c>
      <c r="AZ41" s="86">
        <v>2.486E-2</v>
      </c>
      <c r="BA41" s="86">
        <v>3.2770000000000001E-2</v>
      </c>
      <c r="BB41" s="86">
        <v>8.1280000000000005E-2</v>
      </c>
      <c r="BC41" s="86">
        <v>2.5409999999999999E-2</v>
      </c>
      <c r="BD41" s="89"/>
      <c r="BE41" s="83"/>
    </row>
    <row r="42" spans="1:57" x14ac:dyDescent="0.25">
      <c r="A42" s="84">
        <f t="shared" si="0"/>
        <v>40</v>
      </c>
      <c r="B42" s="87">
        <v>30</v>
      </c>
      <c r="C42" s="88">
        <v>1.8689999999999998E-2</v>
      </c>
      <c r="D42" s="88">
        <v>1.8689999999999998E-2</v>
      </c>
      <c r="E42" s="88">
        <v>1.8689999999999998E-2</v>
      </c>
      <c r="F42" s="88">
        <v>1.8280000000000001E-2</v>
      </c>
      <c r="G42" s="88">
        <v>3.5839999999999997E-2</v>
      </c>
      <c r="H42" s="88">
        <v>1.8689999999999998E-2</v>
      </c>
      <c r="I42" s="88">
        <v>2.3029999999999998E-2</v>
      </c>
      <c r="J42" s="88">
        <v>1.8610000000000002E-2</v>
      </c>
      <c r="K42" s="88">
        <v>1.8689999999999998E-2</v>
      </c>
      <c r="L42" s="88">
        <v>1.8689999999999998E-2</v>
      </c>
      <c r="M42" s="88">
        <v>1.8689999999999998E-2</v>
      </c>
      <c r="N42" s="88">
        <v>1.8689999999999998E-2</v>
      </c>
      <c r="O42" s="88">
        <v>1.8689999999999998E-2</v>
      </c>
      <c r="P42" s="88">
        <v>4.3369999999999999E-2</v>
      </c>
      <c r="Q42" s="88">
        <v>4.5449999999999997E-2</v>
      </c>
      <c r="R42" s="88">
        <v>1.8689999999999998E-2</v>
      </c>
      <c r="S42" s="88">
        <v>1.8689999999999998E-2</v>
      </c>
      <c r="T42" s="88">
        <v>1.8689999999999998E-2</v>
      </c>
      <c r="U42" s="88">
        <v>7.0099999999999997E-3</v>
      </c>
      <c r="V42" s="88">
        <v>1.8689999999999998E-2</v>
      </c>
      <c r="W42" s="88">
        <v>1.8689999999999998E-2</v>
      </c>
      <c r="X42" s="88">
        <v>1.8689999999999998E-2</v>
      </c>
      <c r="Y42" s="88">
        <v>1.8689999999999998E-2</v>
      </c>
      <c r="Z42" s="88">
        <v>2.947E-2</v>
      </c>
      <c r="AA42" s="88">
        <v>4.0189999999999997E-2</v>
      </c>
      <c r="AB42" s="88">
        <v>1.8689999999999998E-2</v>
      </c>
      <c r="AC42" s="88">
        <v>4.394E-2</v>
      </c>
      <c r="AD42" s="88">
        <v>6.0909999999999999E-2</v>
      </c>
      <c r="AE42" s="88">
        <v>1.8689999999999998E-2</v>
      </c>
      <c r="AF42" s="88">
        <v>1.8689999999999998E-2</v>
      </c>
      <c r="AG42" s="88">
        <v>1.8689999999999998E-2</v>
      </c>
      <c r="AH42" s="88">
        <v>3.0179999999999998E-2</v>
      </c>
      <c r="AI42" s="88">
        <v>7.0099999999999997E-3</v>
      </c>
      <c r="AJ42" s="88">
        <v>1.2579999999999999E-2</v>
      </c>
      <c r="AK42" s="88">
        <v>3.322E-2</v>
      </c>
      <c r="AL42" s="88">
        <v>7.7530000000000002E-2</v>
      </c>
      <c r="AM42" s="88">
        <v>2.23E-2</v>
      </c>
      <c r="AN42" s="88">
        <v>4.2540000000000001E-2</v>
      </c>
      <c r="AO42" s="88">
        <v>4.4159999999999998E-2</v>
      </c>
      <c r="AP42" s="88">
        <v>5.6370000000000003E-2</v>
      </c>
      <c r="AQ42" s="88">
        <v>3.0079999999999999E-2</v>
      </c>
      <c r="AR42" s="88">
        <v>6.3780000000000003E-2</v>
      </c>
      <c r="AS42" s="88">
        <v>7.5700000000000003E-3</v>
      </c>
      <c r="AT42" s="88">
        <v>4.3589999999999997E-2</v>
      </c>
      <c r="AU42" s="88">
        <v>7.5660000000000005E-2</v>
      </c>
      <c r="AV42" s="88">
        <v>4.1480000000000003E-2</v>
      </c>
      <c r="AW42" s="88">
        <v>2.9860000000000001E-2</v>
      </c>
      <c r="AX42" s="88">
        <v>7.5590000000000004E-2</v>
      </c>
      <c r="AY42" s="88">
        <v>2.2769999999999999E-2</v>
      </c>
      <c r="AZ42" s="88">
        <v>2.5340000000000001E-2</v>
      </c>
      <c r="BA42" s="88">
        <v>3.3020000000000001E-2</v>
      </c>
      <c r="BB42" s="88">
        <v>8.0439999999999998E-2</v>
      </c>
      <c r="BC42" s="88">
        <v>2.5409999999999999E-2</v>
      </c>
      <c r="BD42" s="89"/>
      <c r="BE42" s="83"/>
    </row>
    <row r="43" spans="1:57" x14ac:dyDescent="0.25">
      <c r="A43" s="84">
        <f t="shared" si="0"/>
        <v>41</v>
      </c>
      <c r="B43" s="83">
        <v>31</v>
      </c>
      <c r="C43" s="86">
        <v>1.9290000000000002E-2</v>
      </c>
      <c r="D43" s="86">
        <v>1.9290000000000002E-2</v>
      </c>
      <c r="E43" s="86">
        <v>1.9290000000000002E-2</v>
      </c>
      <c r="F43" s="86">
        <v>1.8880000000000001E-2</v>
      </c>
      <c r="G43" s="86">
        <v>3.5999999999999997E-2</v>
      </c>
      <c r="H43" s="86">
        <v>1.9290000000000002E-2</v>
      </c>
      <c r="I43" s="86">
        <v>2.3539999999999998E-2</v>
      </c>
      <c r="J43" s="86">
        <v>1.9210000000000001E-2</v>
      </c>
      <c r="K43" s="86">
        <v>1.9290000000000002E-2</v>
      </c>
      <c r="L43" s="86">
        <v>1.9290000000000002E-2</v>
      </c>
      <c r="M43" s="86">
        <v>1.9290000000000002E-2</v>
      </c>
      <c r="N43" s="86">
        <v>1.9290000000000002E-2</v>
      </c>
      <c r="O43" s="86">
        <v>1.9290000000000002E-2</v>
      </c>
      <c r="P43" s="86">
        <v>4.3400000000000001E-2</v>
      </c>
      <c r="Q43" s="86">
        <v>4.5370000000000001E-2</v>
      </c>
      <c r="R43" s="86">
        <v>1.9290000000000002E-2</v>
      </c>
      <c r="S43" s="86">
        <v>1.9290000000000002E-2</v>
      </c>
      <c r="T43" s="86">
        <v>1.9290000000000002E-2</v>
      </c>
      <c r="U43" s="86">
        <v>7.5100000000000002E-3</v>
      </c>
      <c r="V43" s="86">
        <v>1.9290000000000002E-2</v>
      </c>
      <c r="W43" s="86">
        <v>1.9290000000000002E-2</v>
      </c>
      <c r="X43" s="86">
        <v>1.9290000000000002E-2</v>
      </c>
      <c r="Y43" s="86">
        <v>1.9290000000000002E-2</v>
      </c>
      <c r="Z43" s="86">
        <v>2.981E-2</v>
      </c>
      <c r="AA43" s="86">
        <v>4.0280000000000003E-2</v>
      </c>
      <c r="AB43" s="86">
        <v>1.9290000000000002E-2</v>
      </c>
      <c r="AC43" s="86">
        <v>4.3929999999999997E-2</v>
      </c>
      <c r="AD43" s="86">
        <v>6.0389999999999999E-2</v>
      </c>
      <c r="AE43" s="86">
        <v>1.9290000000000002E-2</v>
      </c>
      <c r="AF43" s="86">
        <v>1.9290000000000002E-2</v>
      </c>
      <c r="AG43" s="86">
        <v>1.9290000000000002E-2</v>
      </c>
      <c r="AH43" s="86">
        <v>3.056E-2</v>
      </c>
      <c r="AI43" s="86">
        <v>7.5100000000000002E-3</v>
      </c>
      <c r="AJ43" s="86">
        <v>1.2529999999999999E-2</v>
      </c>
      <c r="AK43" s="86">
        <v>3.3239999999999999E-2</v>
      </c>
      <c r="AL43" s="86">
        <v>7.6829999999999996E-2</v>
      </c>
      <c r="AM43" s="86">
        <v>2.247E-2</v>
      </c>
      <c r="AN43" s="86">
        <v>4.2549999999999998E-2</v>
      </c>
      <c r="AO43" s="86">
        <v>4.4119999999999999E-2</v>
      </c>
      <c r="AP43" s="86">
        <v>5.6009999999999997E-2</v>
      </c>
      <c r="AQ43" s="86">
        <v>3.039E-2</v>
      </c>
      <c r="AR43" s="86">
        <v>6.3490000000000005E-2</v>
      </c>
      <c r="AS43" s="86">
        <v>7.8100000000000001E-3</v>
      </c>
      <c r="AT43" s="86">
        <v>4.3580000000000001E-2</v>
      </c>
      <c r="AU43" s="86">
        <v>7.5130000000000002E-2</v>
      </c>
      <c r="AV43" s="86">
        <v>4.156E-2</v>
      </c>
      <c r="AW43" s="86">
        <v>3.0159999999999999E-2</v>
      </c>
      <c r="AX43" s="86">
        <v>7.4980000000000005E-2</v>
      </c>
      <c r="AY43" s="86">
        <v>2.324E-2</v>
      </c>
      <c r="AZ43" s="86">
        <v>2.579E-2</v>
      </c>
      <c r="BA43" s="86">
        <v>3.3250000000000002E-2</v>
      </c>
      <c r="BB43" s="86">
        <v>7.9640000000000002E-2</v>
      </c>
      <c r="BC43" s="86">
        <v>2.5409999999999999E-2</v>
      </c>
      <c r="BD43" s="89"/>
      <c r="BE43" s="83"/>
    </row>
    <row r="44" spans="1:57" x14ac:dyDescent="0.25">
      <c r="A44" s="84">
        <f t="shared" si="0"/>
        <v>42</v>
      </c>
      <c r="B44" s="83">
        <v>32</v>
      </c>
      <c r="C44" s="86">
        <v>1.9859999999999999E-2</v>
      </c>
      <c r="D44" s="86">
        <v>1.9859999999999999E-2</v>
      </c>
      <c r="E44" s="86">
        <v>1.9859999999999999E-2</v>
      </c>
      <c r="F44" s="86">
        <v>1.9470000000000001E-2</v>
      </c>
      <c r="G44" s="86">
        <v>3.6159999999999998E-2</v>
      </c>
      <c r="H44" s="86">
        <v>1.9859999999999999E-2</v>
      </c>
      <c r="I44" s="86">
        <v>2.4029999999999999E-2</v>
      </c>
      <c r="J44" s="86">
        <v>1.9779999999999999E-2</v>
      </c>
      <c r="K44" s="86">
        <v>1.9859999999999999E-2</v>
      </c>
      <c r="L44" s="86">
        <v>1.9859999999999999E-2</v>
      </c>
      <c r="M44" s="86">
        <v>1.9859999999999999E-2</v>
      </c>
      <c r="N44" s="86">
        <v>1.9859999999999999E-2</v>
      </c>
      <c r="O44" s="86">
        <v>1.9859999999999999E-2</v>
      </c>
      <c r="P44" s="86">
        <v>4.3430000000000003E-2</v>
      </c>
      <c r="Q44" s="86">
        <v>4.53E-2</v>
      </c>
      <c r="R44" s="86">
        <v>1.9859999999999999E-2</v>
      </c>
      <c r="S44" s="86">
        <v>1.9859999999999999E-2</v>
      </c>
      <c r="T44" s="86">
        <v>1.9859999999999999E-2</v>
      </c>
      <c r="U44" s="86">
        <v>8.0199999999999994E-3</v>
      </c>
      <c r="V44" s="86">
        <v>1.9859999999999999E-2</v>
      </c>
      <c r="W44" s="86">
        <v>1.9859999999999999E-2</v>
      </c>
      <c r="X44" s="86">
        <v>1.9859999999999999E-2</v>
      </c>
      <c r="Y44" s="86">
        <v>1.9859999999999999E-2</v>
      </c>
      <c r="Z44" s="86">
        <v>3.0130000000000001E-2</v>
      </c>
      <c r="AA44" s="86">
        <v>4.0349999999999997E-2</v>
      </c>
      <c r="AB44" s="86">
        <v>1.9859999999999999E-2</v>
      </c>
      <c r="AC44" s="86">
        <v>4.3909999999999998E-2</v>
      </c>
      <c r="AD44" s="86">
        <v>5.9900000000000002E-2</v>
      </c>
      <c r="AE44" s="86">
        <v>1.9859999999999999E-2</v>
      </c>
      <c r="AF44" s="86">
        <v>1.9859999999999999E-2</v>
      </c>
      <c r="AG44" s="86">
        <v>1.9859999999999999E-2</v>
      </c>
      <c r="AH44" s="86">
        <v>3.091E-2</v>
      </c>
      <c r="AI44" s="86">
        <v>8.0199999999999994E-3</v>
      </c>
      <c r="AJ44" s="86">
        <v>1.247E-2</v>
      </c>
      <c r="AK44" s="86">
        <v>3.329E-2</v>
      </c>
      <c r="AL44" s="86">
        <v>7.6170000000000002E-2</v>
      </c>
      <c r="AM44" s="86">
        <v>2.2679999999999999E-2</v>
      </c>
      <c r="AN44" s="86">
        <v>4.2560000000000001E-2</v>
      </c>
      <c r="AO44" s="86">
        <v>4.4089999999999997E-2</v>
      </c>
      <c r="AP44" s="86">
        <v>5.5649999999999998E-2</v>
      </c>
      <c r="AQ44" s="86">
        <v>3.0689999999999999E-2</v>
      </c>
      <c r="AR44" s="86">
        <v>6.3210000000000002E-2</v>
      </c>
      <c r="AS44" s="86">
        <v>8.1099999999999992E-3</v>
      </c>
      <c r="AT44" s="86">
        <v>4.3560000000000001E-2</v>
      </c>
      <c r="AU44" s="86">
        <v>7.46E-2</v>
      </c>
      <c r="AV44" s="86">
        <v>4.163E-2</v>
      </c>
      <c r="AW44" s="86">
        <v>3.0439999999999998E-2</v>
      </c>
      <c r="AX44" s="86">
        <v>7.4389999999999998E-2</v>
      </c>
      <c r="AY44" s="86">
        <v>2.3699999999999999E-2</v>
      </c>
      <c r="AZ44" s="86">
        <v>2.623E-2</v>
      </c>
      <c r="BA44" s="86">
        <v>3.3480000000000003E-2</v>
      </c>
      <c r="BB44" s="86">
        <v>7.8880000000000006E-2</v>
      </c>
      <c r="BC44" s="86">
        <v>2.5409999999999999E-2</v>
      </c>
      <c r="BD44" s="89"/>
      <c r="BE44" s="83"/>
    </row>
    <row r="45" spans="1:57" x14ac:dyDescent="0.25">
      <c r="A45" s="84">
        <f t="shared" si="0"/>
        <v>43</v>
      </c>
      <c r="B45" s="83">
        <v>33</v>
      </c>
      <c r="C45" s="86">
        <v>2.0420000000000001E-2</v>
      </c>
      <c r="D45" s="86">
        <v>2.0420000000000001E-2</v>
      </c>
      <c r="E45" s="86">
        <v>2.0420000000000001E-2</v>
      </c>
      <c r="F45" s="86">
        <v>2.0029999999999999E-2</v>
      </c>
      <c r="G45" s="86">
        <v>3.6310000000000002E-2</v>
      </c>
      <c r="H45" s="86">
        <v>2.0420000000000001E-2</v>
      </c>
      <c r="I45" s="86">
        <v>2.4500000000000001E-2</v>
      </c>
      <c r="J45" s="86">
        <v>2.034E-2</v>
      </c>
      <c r="K45" s="86">
        <v>2.0420000000000001E-2</v>
      </c>
      <c r="L45" s="86">
        <v>2.0420000000000001E-2</v>
      </c>
      <c r="M45" s="86">
        <v>2.0420000000000001E-2</v>
      </c>
      <c r="N45" s="86">
        <v>2.0420000000000001E-2</v>
      </c>
      <c r="O45" s="86">
        <v>2.0420000000000001E-2</v>
      </c>
      <c r="P45" s="86">
        <v>4.3450000000000003E-2</v>
      </c>
      <c r="Q45" s="86">
        <v>4.5220000000000003E-2</v>
      </c>
      <c r="R45" s="86">
        <v>2.0420000000000001E-2</v>
      </c>
      <c r="S45" s="86">
        <v>2.0420000000000001E-2</v>
      </c>
      <c r="T45" s="86">
        <v>2.0420000000000001E-2</v>
      </c>
      <c r="U45" s="86">
        <v>8.5299999999999994E-3</v>
      </c>
      <c r="V45" s="86">
        <v>2.0420000000000001E-2</v>
      </c>
      <c r="W45" s="86">
        <v>2.0420000000000001E-2</v>
      </c>
      <c r="X45" s="86">
        <v>2.0420000000000001E-2</v>
      </c>
      <c r="Y45" s="86">
        <v>2.0420000000000001E-2</v>
      </c>
      <c r="Z45" s="86">
        <v>3.0439999999999998E-2</v>
      </c>
      <c r="AA45" s="86">
        <v>4.0419999999999998E-2</v>
      </c>
      <c r="AB45" s="86">
        <v>2.0420000000000001E-2</v>
      </c>
      <c r="AC45" s="86">
        <v>4.3889999999999998E-2</v>
      </c>
      <c r="AD45" s="86">
        <v>5.9429999999999997E-2</v>
      </c>
      <c r="AE45" s="86">
        <v>2.0420000000000001E-2</v>
      </c>
      <c r="AF45" s="86">
        <v>2.0420000000000001E-2</v>
      </c>
      <c r="AG45" s="86">
        <v>2.0420000000000001E-2</v>
      </c>
      <c r="AH45" s="86">
        <v>3.125E-2</v>
      </c>
      <c r="AI45" s="86">
        <v>8.5299999999999994E-3</v>
      </c>
      <c r="AJ45" s="86">
        <v>1.24E-2</v>
      </c>
      <c r="AK45" s="86">
        <v>3.3360000000000001E-2</v>
      </c>
      <c r="AL45" s="86">
        <v>7.553E-2</v>
      </c>
      <c r="AM45" s="86">
        <v>2.2929999999999999E-2</v>
      </c>
      <c r="AN45" s="86">
        <v>4.2560000000000001E-2</v>
      </c>
      <c r="AO45" s="86">
        <v>4.4060000000000002E-2</v>
      </c>
      <c r="AP45" s="86">
        <v>5.5309999999999998E-2</v>
      </c>
      <c r="AQ45" s="86">
        <v>3.0970000000000001E-2</v>
      </c>
      <c r="AR45" s="86">
        <v>6.293E-2</v>
      </c>
      <c r="AS45" s="86">
        <v>8.4499999999999992E-3</v>
      </c>
      <c r="AT45" s="86">
        <v>4.3549999999999998E-2</v>
      </c>
      <c r="AU45" s="86">
        <v>7.4069999999999997E-2</v>
      </c>
      <c r="AV45" s="86">
        <v>4.1689999999999998E-2</v>
      </c>
      <c r="AW45" s="86">
        <v>3.0720000000000001E-2</v>
      </c>
      <c r="AX45" s="86">
        <v>7.3830000000000007E-2</v>
      </c>
      <c r="AY45" s="86">
        <v>2.4140000000000002E-2</v>
      </c>
      <c r="AZ45" s="86">
        <v>2.665E-2</v>
      </c>
      <c r="BA45" s="86">
        <v>3.3700000000000001E-2</v>
      </c>
      <c r="BB45" s="86">
        <v>7.8149999999999997E-2</v>
      </c>
      <c r="BC45" s="86">
        <v>2.5399999999999999E-2</v>
      </c>
      <c r="BD45" s="89"/>
      <c r="BE45" s="83"/>
    </row>
    <row r="46" spans="1:57" x14ac:dyDescent="0.25">
      <c r="A46" s="84">
        <f t="shared" si="0"/>
        <v>44</v>
      </c>
      <c r="B46" s="83">
        <v>34</v>
      </c>
      <c r="C46" s="86">
        <v>2.095E-2</v>
      </c>
      <c r="D46" s="86">
        <v>2.095E-2</v>
      </c>
      <c r="E46" s="86">
        <v>2.095E-2</v>
      </c>
      <c r="F46" s="86">
        <v>2.0580000000000001E-2</v>
      </c>
      <c r="G46" s="86">
        <v>3.6450000000000003E-2</v>
      </c>
      <c r="H46" s="86">
        <v>2.095E-2</v>
      </c>
      <c r="I46" s="86">
        <v>2.495E-2</v>
      </c>
      <c r="J46" s="86">
        <v>2.0879999999999999E-2</v>
      </c>
      <c r="K46" s="86">
        <v>2.095E-2</v>
      </c>
      <c r="L46" s="86">
        <v>2.095E-2</v>
      </c>
      <c r="M46" s="86">
        <v>2.095E-2</v>
      </c>
      <c r="N46" s="86">
        <v>2.095E-2</v>
      </c>
      <c r="O46" s="86">
        <v>2.095E-2</v>
      </c>
      <c r="P46" s="86">
        <v>4.3459999999999999E-2</v>
      </c>
      <c r="Q46" s="86">
        <v>4.5150000000000003E-2</v>
      </c>
      <c r="R46" s="86">
        <v>2.095E-2</v>
      </c>
      <c r="S46" s="86">
        <v>2.095E-2</v>
      </c>
      <c r="T46" s="86">
        <v>2.095E-2</v>
      </c>
      <c r="U46" s="86">
        <v>9.0299999999999998E-3</v>
      </c>
      <c r="V46" s="86">
        <v>2.095E-2</v>
      </c>
      <c r="W46" s="86">
        <v>2.095E-2</v>
      </c>
      <c r="X46" s="86">
        <v>2.095E-2</v>
      </c>
      <c r="Y46" s="86">
        <v>2.095E-2</v>
      </c>
      <c r="Z46" s="86">
        <v>3.074E-2</v>
      </c>
      <c r="AA46" s="86">
        <v>4.0489999999999998E-2</v>
      </c>
      <c r="AB46" s="86">
        <v>2.095E-2</v>
      </c>
      <c r="AC46" s="86">
        <v>4.3869999999999999E-2</v>
      </c>
      <c r="AD46" s="86">
        <v>5.8970000000000002E-2</v>
      </c>
      <c r="AE46" s="86">
        <v>2.095E-2</v>
      </c>
      <c r="AF46" s="86">
        <v>2.095E-2</v>
      </c>
      <c r="AG46" s="86">
        <v>2.095E-2</v>
      </c>
      <c r="AH46" s="86">
        <v>3.1559999999999998E-2</v>
      </c>
      <c r="AI46" s="86">
        <v>9.0299999999999998E-3</v>
      </c>
      <c r="AJ46" s="86">
        <v>1.231E-2</v>
      </c>
      <c r="AK46" s="86">
        <v>3.3450000000000001E-2</v>
      </c>
      <c r="AL46" s="86">
        <v>7.492E-2</v>
      </c>
      <c r="AM46" s="86">
        <v>2.3199999999999998E-2</v>
      </c>
      <c r="AN46" s="86">
        <v>4.2569999999999997E-2</v>
      </c>
      <c r="AO46" s="86">
        <v>4.403E-2</v>
      </c>
      <c r="AP46" s="86">
        <v>5.4980000000000001E-2</v>
      </c>
      <c r="AQ46" s="86">
        <v>3.125E-2</v>
      </c>
      <c r="AR46" s="86">
        <v>6.2670000000000003E-2</v>
      </c>
      <c r="AS46" s="86">
        <v>8.8100000000000001E-3</v>
      </c>
      <c r="AT46" s="86">
        <v>4.3529999999999999E-2</v>
      </c>
      <c r="AU46" s="86">
        <v>7.356E-2</v>
      </c>
      <c r="AV46" s="86">
        <v>4.1739999999999999E-2</v>
      </c>
      <c r="AW46" s="86">
        <v>3.099E-2</v>
      </c>
      <c r="AX46" s="86">
        <v>7.3279999999999998E-2</v>
      </c>
      <c r="AY46" s="86">
        <v>2.4570000000000002E-2</v>
      </c>
      <c r="AZ46" s="86">
        <v>2.7040000000000002E-2</v>
      </c>
      <c r="BA46" s="86">
        <v>3.39E-2</v>
      </c>
      <c r="BB46" s="86">
        <v>7.7460000000000001E-2</v>
      </c>
      <c r="BC46" s="86">
        <v>2.5389999999999999E-2</v>
      </c>
      <c r="BD46" s="89"/>
      <c r="BE46" s="83"/>
    </row>
    <row r="47" spans="1:57" x14ac:dyDescent="0.25">
      <c r="A47" s="84">
        <f t="shared" si="0"/>
        <v>45</v>
      </c>
      <c r="B47" s="87">
        <v>35</v>
      </c>
      <c r="C47" s="88">
        <v>2.147E-2</v>
      </c>
      <c r="D47" s="88">
        <v>2.147E-2</v>
      </c>
      <c r="E47" s="88">
        <v>2.147E-2</v>
      </c>
      <c r="F47" s="88">
        <v>2.111E-2</v>
      </c>
      <c r="G47" s="88">
        <v>3.6589999999999998E-2</v>
      </c>
      <c r="H47" s="88">
        <v>2.147E-2</v>
      </c>
      <c r="I47" s="88">
        <v>2.538E-2</v>
      </c>
      <c r="J47" s="88">
        <v>2.1399999999999999E-2</v>
      </c>
      <c r="K47" s="88">
        <v>2.147E-2</v>
      </c>
      <c r="L47" s="88">
        <v>2.147E-2</v>
      </c>
      <c r="M47" s="88">
        <v>2.147E-2</v>
      </c>
      <c r="N47" s="88">
        <v>2.147E-2</v>
      </c>
      <c r="O47" s="88">
        <v>2.147E-2</v>
      </c>
      <c r="P47" s="88">
        <v>4.3459999999999999E-2</v>
      </c>
      <c r="Q47" s="88">
        <v>4.5080000000000002E-2</v>
      </c>
      <c r="R47" s="88">
        <v>2.147E-2</v>
      </c>
      <c r="S47" s="88">
        <v>2.147E-2</v>
      </c>
      <c r="T47" s="88">
        <v>2.147E-2</v>
      </c>
      <c r="U47" s="88">
        <v>9.5300000000000003E-3</v>
      </c>
      <c r="V47" s="88">
        <v>2.147E-2</v>
      </c>
      <c r="W47" s="88">
        <v>2.147E-2</v>
      </c>
      <c r="X47" s="88">
        <v>2.147E-2</v>
      </c>
      <c r="Y47" s="88">
        <v>2.147E-2</v>
      </c>
      <c r="Z47" s="88">
        <v>3.1019999999999999E-2</v>
      </c>
      <c r="AA47" s="88">
        <v>4.054E-2</v>
      </c>
      <c r="AB47" s="88">
        <v>2.147E-2</v>
      </c>
      <c r="AC47" s="88">
        <v>4.385E-2</v>
      </c>
      <c r="AD47" s="88">
        <v>5.8540000000000002E-2</v>
      </c>
      <c r="AE47" s="88">
        <v>2.147E-2</v>
      </c>
      <c r="AF47" s="88">
        <v>2.147E-2</v>
      </c>
      <c r="AG47" s="88">
        <v>2.147E-2</v>
      </c>
      <c r="AH47" s="88">
        <v>3.1859999999999999E-2</v>
      </c>
      <c r="AI47" s="88">
        <v>9.5300000000000003E-3</v>
      </c>
      <c r="AJ47" s="88">
        <v>1.2200000000000001E-2</v>
      </c>
      <c r="AK47" s="88">
        <v>3.3550000000000003E-2</v>
      </c>
      <c r="AL47" s="88">
        <v>7.4329999999999993E-2</v>
      </c>
      <c r="AM47" s="88">
        <v>2.349E-2</v>
      </c>
      <c r="AN47" s="88">
        <v>4.2569999999999997E-2</v>
      </c>
      <c r="AO47" s="88">
        <v>4.3990000000000001E-2</v>
      </c>
      <c r="AP47" s="88">
        <v>5.466E-2</v>
      </c>
      <c r="AQ47" s="88">
        <v>3.1510000000000003E-2</v>
      </c>
      <c r="AR47" s="88">
        <v>6.241E-2</v>
      </c>
      <c r="AS47" s="88">
        <v>9.1900000000000003E-3</v>
      </c>
      <c r="AT47" s="88">
        <v>4.351E-2</v>
      </c>
      <c r="AU47" s="88">
        <v>7.306E-2</v>
      </c>
      <c r="AV47" s="88">
        <v>4.1779999999999998E-2</v>
      </c>
      <c r="AW47" s="88">
        <v>3.125E-2</v>
      </c>
      <c r="AX47" s="88">
        <v>7.2749999999999995E-2</v>
      </c>
      <c r="AY47" s="88">
        <v>2.4989999999999998E-2</v>
      </c>
      <c r="AZ47" s="88">
        <v>2.742E-2</v>
      </c>
      <c r="BA47" s="88">
        <v>3.4099999999999998E-2</v>
      </c>
      <c r="BB47" s="88">
        <v>7.6789999999999997E-2</v>
      </c>
      <c r="BC47" s="88">
        <v>2.537E-2</v>
      </c>
      <c r="BD47" s="89"/>
      <c r="BE47" s="83"/>
    </row>
    <row r="48" spans="1:57" x14ac:dyDescent="0.25">
      <c r="A48" s="84">
        <f t="shared" si="0"/>
        <v>46</v>
      </c>
      <c r="B48" s="83">
        <v>36</v>
      </c>
      <c r="C48" s="86">
        <v>2.197E-2</v>
      </c>
      <c r="D48" s="86">
        <v>2.197E-2</v>
      </c>
      <c r="E48" s="86">
        <v>2.197E-2</v>
      </c>
      <c r="F48" s="86">
        <v>2.1610000000000001E-2</v>
      </c>
      <c r="G48" s="86">
        <v>3.6720000000000003E-2</v>
      </c>
      <c r="H48" s="86">
        <v>2.197E-2</v>
      </c>
      <c r="I48" s="86">
        <v>2.579E-2</v>
      </c>
      <c r="J48" s="86">
        <v>2.1899999999999999E-2</v>
      </c>
      <c r="K48" s="86">
        <v>2.197E-2</v>
      </c>
      <c r="L48" s="86">
        <v>2.197E-2</v>
      </c>
      <c r="M48" s="86">
        <v>2.197E-2</v>
      </c>
      <c r="N48" s="86">
        <v>2.197E-2</v>
      </c>
      <c r="O48" s="86">
        <v>2.197E-2</v>
      </c>
      <c r="P48" s="86">
        <v>4.3459999999999999E-2</v>
      </c>
      <c r="Q48" s="86">
        <v>4.5019999999999998E-2</v>
      </c>
      <c r="R48" s="86">
        <v>2.197E-2</v>
      </c>
      <c r="S48" s="86">
        <v>2.197E-2</v>
      </c>
      <c r="T48" s="86">
        <v>2.197E-2</v>
      </c>
      <c r="U48" s="86">
        <v>1.0019999999999999E-2</v>
      </c>
      <c r="V48" s="86">
        <v>2.197E-2</v>
      </c>
      <c r="W48" s="86">
        <v>2.197E-2</v>
      </c>
      <c r="X48" s="86">
        <v>2.197E-2</v>
      </c>
      <c r="Y48" s="86">
        <v>2.197E-2</v>
      </c>
      <c r="Z48" s="86">
        <v>3.1289999999999998E-2</v>
      </c>
      <c r="AA48" s="86">
        <v>4.0599999999999997E-2</v>
      </c>
      <c r="AB48" s="86">
        <v>2.197E-2</v>
      </c>
      <c r="AC48" s="86">
        <v>4.3830000000000001E-2</v>
      </c>
      <c r="AD48" s="86">
        <v>5.8130000000000001E-2</v>
      </c>
      <c r="AE48" s="86">
        <v>2.197E-2</v>
      </c>
      <c r="AF48" s="86">
        <v>2.197E-2</v>
      </c>
      <c r="AG48" s="86">
        <v>2.197E-2</v>
      </c>
      <c r="AH48" s="86">
        <v>3.2140000000000002E-2</v>
      </c>
      <c r="AI48" s="86">
        <v>1.0019999999999999E-2</v>
      </c>
      <c r="AJ48" s="86">
        <v>1.206E-2</v>
      </c>
      <c r="AK48" s="86">
        <v>3.3649999999999999E-2</v>
      </c>
      <c r="AL48" s="86">
        <v>7.3770000000000002E-2</v>
      </c>
      <c r="AM48" s="86">
        <v>2.3800000000000002E-2</v>
      </c>
      <c r="AN48" s="86">
        <v>4.2569999999999997E-2</v>
      </c>
      <c r="AO48" s="86">
        <v>4.3959999999999999E-2</v>
      </c>
      <c r="AP48" s="86">
        <v>5.4359999999999999E-2</v>
      </c>
      <c r="AQ48" s="86">
        <v>3.1759999999999997E-2</v>
      </c>
      <c r="AR48" s="86">
        <v>6.2170000000000003E-2</v>
      </c>
      <c r="AS48" s="86">
        <v>9.5899999999999996E-3</v>
      </c>
      <c r="AT48" s="86">
        <v>4.3490000000000001E-2</v>
      </c>
      <c r="AU48" s="86">
        <v>7.2569999999999996E-2</v>
      </c>
      <c r="AV48" s="86">
        <v>4.1820000000000003E-2</v>
      </c>
      <c r="AW48" s="86">
        <v>3.15E-2</v>
      </c>
      <c r="AX48" s="86">
        <v>7.2239999999999999E-2</v>
      </c>
      <c r="AY48" s="86">
        <v>2.5399999999999999E-2</v>
      </c>
      <c r="AZ48" s="86">
        <v>2.7789999999999999E-2</v>
      </c>
      <c r="BA48" s="86">
        <v>3.4290000000000001E-2</v>
      </c>
      <c r="BB48" s="86">
        <v>7.6160000000000005E-2</v>
      </c>
      <c r="BC48" s="86">
        <v>2.5340000000000001E-2</v>
      </c>
      <c r="BD48" s="89"/>
      <c r="BE48" s="83"/>
    </row>
    <row r="49" spans="1:57" x14ac:dyDescent="0.25">
      <c r="A49" s="84">
        <f t="shared" si="0"/>
        <v>47</v>
      </c>
      <c r="B49" s="83">
        <v>37</v>
      </c>
      <c r="C49" s="86">
        <v>2.2440000000000002E-2</v>
      </c>
      <c r="D49" s="86">
        <v>2.2440000000000002E-2</v>
      </c>
      <c r="E49" s="86">
        <v>2.2440000000000002E-2</v>
      </c>
      <c r="F49" s="86">
        <v>2.2100000000000002E-2</v>
      </c>
      <c r="G49" s="86">
        <v>3.6839999999999998E-2</v>
      </c>
      <c r="H49" s="86">
        <v>2.2440000000000002E-2</v>
      </c>
      <c r="I49" s="86">
        <v>2.6190000000000001E-2</v>
      </c>
      <c r="J49" s="86">
        <v>2.2380000000000001E-2</v>
      </c>
      <c r="K49" s="86">
        <v>2.2440000000000002E-2</v>
      </c>
      <c r="L49" s="86">
        <v>2.2440000000000002E-2</v>
      </c>
      <c r="M49" s="86">
        <v>2.2440000000000002E-2</v>
      </c>
      <c r="N49" s="86">
        <v>2.2440000000000002E-2</v>
      </c>
      <c r="O49" s="86">
        <v>2.2440000000000002E-2</v>
      </c>
      <c r="P49" s="86">
        <v>4.3459999999999999E-2</v>
      </c>
      <c r="Q49" s="86">
        <v>4.4949999999999997E-2</v>
      </c>
      <c r="R49" s="86">
        <v>2.2440000000000002E-2</v>
      </c>
      <c r="S49" s="86">
        <v>2.2440000000000002E-2</v>
      </c>
      <c r="T49" s="86">
        <v>2.2440000000000002E-2</v>
      </c>
      <c r="U49" s="86">
        <v>1.0500000000000001E-2</v>
      </c>
      <c r="V49" s="86">
        <v>2.2440000000000002E-2</v>
      </c>
      <c r="W49" s="86">
        <v>2.2440000000000002E-2</v>
      </c>
      <c r="X49" s="86">
        <v>2.2440000000000002E-2</v>
      </c>
      <c r="Y49" s="86">
        <v>2.2440000000000002E-2</v>
      </c>
      <c r="Z49" s="86">
        <v>3.1550000000000002E-2</v>
      </c>
      <c r="AA49" s="86">
        <v>4.0649999999999999E-2</v>
      </c>
      <c r="AB49" s="86">
        <v>2.2440000000000002E-2</v>
      </c>
      <c r="AC49" s="86">
        <v>4.3799999999999999E-2</v>
      </c>
      <c r="AD49" s="86">
        <v>5.7729999999999997E-2</v>
      </c>
      <c r="AE49" s="86">
        <v>2.2440000000000002E-2</v>
      </c>
      <c r="AF49" s="86">
        <v>2.2440000000000002E-2</v>
      </c>
      <c r="AG49" s="86">
        <v>2.2440000000000002E-2</v>
      </c>
      <c r="AH49" s="86">
        <v>3.2399999999999998E-2</v>
      </c>
      <c r="AI49" s="86">
        <v>1.0500000000000001E-2</v>
      </c>
      <c r="AJ49" s="86">
        <v>1.1900000000000001E-2</v>
      </c>
      <c r="AK49" s="86">
        <v>3.3770000000000001E-2</v>
      </c>
      <c r="AL49" s="86">
        <v>7.3230000000000003E-2</v>
      </c>
      <c r="AM49" s="86">
        <v>2.4109999999999999E-2</v>
      </c>
      <c r="AN49" s="86">
        <v>4.2569999999999997E-2</v>
      </c>
      <c r="AO49" s="86">
        <v>4.3929999999999997E-2</v>
      </c>
      <c r="AP49" s="86">
        <v>5.4059999999999997E-2</v>
      </c>
      <c r="AQ49" s="86">
        <v>3.2009999999999997E-2</v>
      </c>
      <c r="AR49" s="86">
        <v>6.1929999999999999E-2</v>
      </c>
      <c r="AS49" s="86">
        <v>9.9900000000000006E-3</v>
      </c>
      <c r="AT49" s="86">
        <v>4.3470000000000002E-2</v>
      </c>
      <c r="AU49" s="86">
        <v>7.2099999999999997E-2</v>
      </c>
      <c r="AV49" s="86">
        <v>4.1849999999999998E-2</v>
      </c>
      <c r="AW49" s="86">
        <v>3.1739999999999997E-2</v>
      </c>
      <c r="AX49" s="86">
        <v>7.1749999999999994E-2</v>
      </c>
      <c r="AY49" s="86">
        <v>2.5780000000000001E-2</v>
      </c>
      <c r="AZ49" s="86">
        <v>2.8139999999999998E-2</v>
      </c>
      <c r="BA49" s="86">
        <v>3.4470000000000001E-2</v>
      </c>
      <c r="BB49" s="86">
        <v>7.5550000000000006E-2</v>
      </c>
      <c r="BC49" s="86">
        <v>2.53E-2</v>
      </c>
      <c r="BD49" s="89"/>
      <c r="BE49" s="83"/>
    </row>
    <row r="50" spans="1:57" x14ac:dyDescent="0.25">
      <c r="A50" s="84">
        <f t="shared" si="0"/>
        <v>48</v>
      </c>
      <c r="B50" s="83">
        <v>38</v>
      </c>
      <c r="C50" s="86">
        <v>2.291E-2</v>
      </c>
      <c r="D50" s="86">
        <v>2.291E-2</v>
      </c>
      <c r="E50" s="86">
        <v>2.291E-2</v>
      </c>
      <c r="F50" s="86">
        <v>2.257E-2</v>
      </c>
      <c r="G50" s="86">
        <v>3.696E-2</v>
      </c>
      <c r="H50" s="86">
        <v>2.291E-2</v>
      </c>
      <c r="I50" s="86">
        <v>2.656E-2</v>
      </c>
      <c r="J50" s="86">
        <v>2.2839999999999999E-2</v>
      </c>
      <c r="K50" s="86">
        <v>2.291E-2</v>
      </c>
      <c r="L50" s="86">
        <v>2.291E-2</v>
      </c>
      <c r="M50" s="86">
        <v>2.291E-2</v>
      </c>
      <c r="N50" s="86">
        <v>2.291E-2</v>
      </c>
      <c r="O50" s="86">
        <v>2.291E-2</v>
      </c>
      <c r="P50" s="86">
        <v>4.3450000000000003E-2</v>
      </c>
      <c r="Q50" s="86">
        <v>4.4889999999999999E-2</v>
      </c>
      <c r="R50" s="86">
        <v>2.291E-2</v>
      </c>
      <c r="S50" s="86">
        <v>2.291E-2</v>
      </c>
      <c r="T50" s="86">
        <v>2.291E-2</v>
      </c>
      <c r="U50" s="86">
        <v>1.0970000000000001E-2</v>
      </c>
      <c r="V50" s="86">
        <v>2.291E-2</v>
      </c>
      <c r="W50" s="86">
        <v>2.291E-2</v>
      </c>
      <c r="X50" s="86">
        <v>2.291E-2</v>
      </c>
      <c r="Y50" s="86">
        <v>2.291E-2</v>
      </c>
      <c r="Z50" s="86">
        <v>3.1800000000000002E-2</v>
      </c>
      <c r="AA50" s="86">
        <v>4.07E-2</v>
      </c>
      <c r="AB50" s="86">
        <v>2.291E-2</v>
      </c>
      <c r="AC50" s="86">
        <v>4.3779999999999999E-2</v>
      </c>
      <c r="AD50" s="86">
        <v>5.7349999999999998E-2</v>
      </c>
      <c r="AE50" s="86">
        <v>2.291E-2</v>
      </c>
      <c r="AF50" s="86">
        <v>2.291E-2</v>
      </c>
      <c r="AG50" s="86">
        <v>2.291E-2</v>
      </c>
      <c r="AH50" s="86">
        <v>3.2649999999999998E-2</v>
      </c>
      <c r="AI50" s="86">
        <v>1.0970000000000001E-2</v>
      </c>
      <c r="AJ50" s="86">
        <v>1.174E-2</v>
      </c>
      <c r="AK50" s="86">
        <v>3.3890000000000003E-2</v>
      </c>
      <c r="AL50" s="86">
        <v>7.2720000000000007E-2</v>
      </c>
      <c r="AM50" s="86">
        <v>2.443E-2</v>
      </c>
      <c r="AN50" s="86">
        <v>4.2569999999999997E-2</v>
      </c>
      <c r="AO50" s="86">
        <v>4.3889999999999998E-2</v>
      </c>
      <c r="AP50" s="86">
        <v>5.3780000000000001E-2</v>
      </c>
      <c r="AQ50" s="86">
        <v>3.2239999999999998E-2</v>
      </c>
      <c r="AR50" s="86">
        <v>6.1699999999999998E-2</v>
      </c>
      <c r="AS50" s="86">
        <v>1.04E-2</v>
      </c>
      <c r="AT50" s="86">
        <v>4.3450000000000003E-2</v>
      </c>
      <c r="AU50" s="86">
        <v>7.1629999999999999E-2</v>
      </c>
      <c r="AV50" s="86">
        <v>4.1880000000000001E-2</v>
      </c>
      <c r="AW50" s="86">
        <v>3.1969999999999998E-2</v>
      </c>
      <c r="AX50" s="86">
        <v>7.1279999999999996E-2</v>
      </c>
      <c r="AY50" s="86">
        <v>2.6159999999999999E-2</v>
      </c>
      <c r="AZ50" s="86">
        <v>2.8469999999999999E-2</v>
      </c>
      <c r="BA50" s="86">
        <v>3.465E-2</v>
      </c>
      <c r="BB50" s="86">
        <v>7.4969999999999995E-2</v>
      </c>
      <c r="BC50" s="86">
        <v>2.5250000000000002E-2</v>
      </c>
      <c r="BD50" s="89"/>
      <c r="BE50" s="83"/>
    </row>
    <row r="51" spans="1:57" x14ac:dyDescent="0.25">
      <c r="A51" s="84">
        <f t="shared" si="0"/>
        <v>49</v>
      </c>
      <c r="B51" s="83">
        <v>39</v>
      </c>
      <c r="C51" s="86">
        <v>2.3349999999999999E-2</v>
      </c>
      <c r="D51" s="86">
        <v>2.3349999999999999E-2</v>
      </c>
      <c r="E51" s="86">
        <v>2.3349999999999999E-2</v>
      </c>
      <c r="F51" s="86">
        <v>2.3019999999999999E-2</v>
      </c>
      <c r="G51" s="86">
        <v>3.7080000000000002E-2</v>
      </c>
      <c r="H51" s="86">
        <v>2.3349999999999999E-2</v>
      </c>
      <c r="I51" s="86">
        <v>2.6929999999999999E-2</v>
      </c>
      <c r="J51" s="86">
        <v>2.3279999999999999E-2</v>
      </c>
      <c r="K51" s="86">
        <v>2.3349999999999999E-2</v>
      </c>
      <c r="L51" s="86">
        <v>2.3349999999999999E-2</v>
      </c>
      <c r="M51" s="86">
        <v>2.3349999999999999E-2</v>
      </c>
      <c r="N51" s="86">
        <v>2.3349999999999999E-2</v>
      </c>
      <c r="O51" s="86">
        <v>2.3349999999999999E-2</v>
      </c>
      <c r="P51" s="86">
        <v>4.3439999999999999E-2</v>
      </c>
      <c r="Q51" s="86">
        <v>4.4830000000000002E-2</v>
      </c>
      <c r="R51" s="86">
        <v>2.3349999999999999E-2</v>
      </c>
      <c r="S51" s="86">
        <v>2.3349999999999999E-2</v>
      </c>
      <c r="T51" s="86">
        <v>2.3349999999999999E-2</v>
      </c>
      <c r="U51" s="86">
        <v>1.142E-2</v>
      </c>
      <c r="V51" s="86">
        <v>2.3349999999999999E-2</v>
      </c>
      <c r="W51" s="86">
        <v>2.3349999999999999E-2</v>
      </c>
      <c r="X51" s="86">
        <v>2.3349999999999999E-2</v>
      </c>
      <c r="Y51" s="86">
        <v>2.3349999999999999E-2</v>
      </c>
      <c r="Z51" s="86">
        <v>3.2039999999999999E-2</v>
      </c>
      <c r="AA51" s="86">
        <v>4.0739999999999998E-2</v>
      </c>
      <c r="AB51" s="86">
        <v>2.3349999999999999E-2</v>
      </c>
      <c r="AC51" s="86">
        <v>4.3749999999999997E-2</v>
      </c>
      <c r="AD51" s="86">
        <v>5.6980000000000003E-2</v>
      </c>
      <c r="AE51" s="86">
        <v>2.3349999999999999E-2</v>
      </c>
      <c r="AF51" s="86">
        <v>2.3349999999999999E-2</v>
      </c>
      <c r="AG51" s="86">
        <v>2.3349999999999999E-2</v>
      </c>
      <c r="AH51" s="86">
        <v>3.2890000000000003E-2</v>
      </c>
      <c r="AI51" s="86">
        <v>1.142E-2</v>
      </c>
      <c r="AJ51" s="86">
        <v>1.1599999999999999E-2</v>
      </c>
      <c r="AK51" s="86">
        <v>3.4009999999999999E-2</v>
      </c>
      <c r="AL51" s="86">
        <v>7.2220000000000006E-2</v>
      </c>
      <c r="AM51" s="86">
        <v>2.4740000000000002E-2</v>
      </c>
      <c r="AN51" s="86">
        <v>4.2569999999999997E-2</v>
      </c>
      <c r="AO51" s="86">
        <v>4.3860000000000003E-2</v>
      </c>
      <c r="AP51" s="86">
        <v>5.3510000000000002E-2</v>
      </c>
      <c r="AQ51" s="86">
        <v>3.2460000000000003E-2</v>
      </c>
      <c r="AR51" s="86">
        <v>6.148E-2</v>
      </c>
      <c r="AS51" s="86">
        <v>1.0800000000000001E-2</v>
      </c>
      <c r="AT51" s="86">
        <v>4.342E-2</v>
      </c>
      <c r="AU51" s="86">
        <v>7.1190000000000003E-2</v>
      </c>
      <c r="AV51" s="86">
        <v>4.1910000000000003E-2</v>
      </c>
      <c r="AW51" s="86">
        <v>3.2199999999999999E-2</v>
      </c>
      <c r="AX51" s="86">
        <v>7.0830000000000004E-2</v>
      </c>
      <c r="AY51" s="86">
        <v>2.6519999999999998E-2</v>
      </c>
      <c r="AZ51" s="86">
        <v>2.879E-2</v>
      </c>
      <c r="BA51" s="86">
        <v>3.4819999999999997E-2</v>
      </c>
      <c r="BB51" s="86">
        <v>7.442E-2</v>
      </c>
      <c r="BC51" s="86">
        <v>2.5180000000000001E-2</v>
      </c>
      <c r="BD51" s="89"/>
      <c r="BE51" s="83"/>
    </row>
    <row r="52" spans="1:57" x14ac:dyDescent="0.25">
      <c r="A52" s="84">
        <f t="shared" si="0"/>
        <v>50</v>
      </c>
      <c r="B52" s="87">
        <v>40</v>
      </c>
      <c r="C52" s="88">
        <v>2.3769999999999999E-2</v>
      </c>
      <c r="D52" s="88">
        <v>2.3769999999999999E-2</v>
      </c>
      <c r="E52" s="88">
        <v>2.3769999999999999E-2</v>
      </c>
      <c r="F52" s="88">
        <v>2.3460000000000002E-2</v>
      </c>
      <c r="G52" s="88">
        <v>3.7190000000000001E-2</v>
      </c>
      <c r="H52" s="88">
        <v>2.3769999999999999E-2</v>
      </c>
      <c r="I52" s="88">
        <v>2.7269999999999999E-2</v>
      </c>
      <c r="J52" s="88">
        <v>2.3709999999999998E-2</v>
      </c>
      <c r="K52" s="88">
        <v>2.3769999999999999E-2</v>
      </c>
      <c r="L52" s="88">
        <v>2.3769999999999999E-2</v>
      </c>
      <c r="M52" s="88">
        <v>2.3769999999999999E-2</v>
      </c>
      <c r="N52" s="88">
        <v>2.3769999999999999E-2</v>
      </c>
      <c r="O52" s="88">
        <v>2.3769999999999999E-2</v>
      </c>
      <c r="P52" s="88">
        <v>4.3430000000000003E-2</v>
      </c>
      <c r="Q52" s="88">
        <v>4.4769999999999997E-2</v>
      </c>
      <c r="R52" s="88">
        <v>2.3769999999999999E-2</v>
      </c>
      <c r="S52" s="88">
        <v>2.3769999999999999E-2</v>
      </c>
      <c r="T52" s="88">
        <v>2.3769999999999999E-2</v>
      </c>
      <c r="U52" s="88">
        <v>1.1860000000000001E-2</v>
      </c>
      <c r="V52" s="88">
        <v>2.3769999999999999E-2</v>
      </c>
      <c r="W52" s="88">
        <v>2.3769999999999999E-2</v>
      </c>
      <c r="X52" s="88">
        <v>2.3769999999999999E-2</v>
      </c>
      <c r="Y52" s="88">
        <v>2.3769999999999999E-2</v>
      </c>
      <c r="Z52" s="88">
        <v>3.2259999999999997E-2</v>
      </c>
      <c r="AA52" s="88">
        <v>4.079E-2</v>
      </c>
      <c r="AB52" s="88">
        <v>2.3769999999999999E-2</v>
      </c>
      <c r="AC52" s="88">
        <v>4.3720000000000002E-2</v>
      </c>
      <c r="AD52" s="88">
        <v>5.663E-2</v>
      </c>
      <c r="AE52" s="88">
        <v>2.3769999999999999E-2</v>
      </c>
      <c r="AF52" s="88">
        <v>2.3769999999999999E-2</v>
      </c>
      <c r="AG52" s="88">
        <v>2.3769999999999999E-2</v>
      </c>
      <c r="AH52" s="88">
        <v>3.3119999999999997E-2</v>
      </c>
      <c r="AI52" s="88">
        <v>1.1860000000000001E-2</v>
      </c>
      <c r="AJ52" s="88">
        <v>1.1469999999999999E-2</v>
      </c>
      <c r="AK52" s="88">
        <v>3.4139999999999997E-2</v>
      </c>
      <c r="AL52" s="88">
        <v>7.1749999999999994E-2</v>
      </c>
      <c r="AM52" s="88">
        <v>2.5059999999999999E-2</v>
      </c>
      <c r="AN52" s="88">
        <v>4.2560000000000001E-2</v>
      </c>
      <c r="AO52" s="88">
        <v>4.3830000000000001E-2</v>
      </c>
      <c r="AP52" s="88">
        <v>5.3249999999999999E-2</v>
      </c>
      <c r="AQ52" s="88">
        <v>3.2680000000000001E-2</v>
      </c>
      <c r="AR52" s="88">
        <v>6.1269999999999998E-2</v>
      </c>
      <c r="AS52" s="88">
        <v>1.12E-2</v>
      </c>
      <c r="AT52" s="88">
        <v>4.3400000000000001E-2</v>
      </c>
      <c r="AU52" s="88">
        <v>7.0760000000000003E-2</v>
      </c>
      <c r="AV52" s="88">
        <v>4.1930000000000002E-2</v>
      </c>
      <c r="AW52" s="88">
        <v>3.2410000000000001E-2</v>
      </c>
      <c r="AX52" s="88">
        <v>7.0389999999999994E-2</v>
      </c>
      <c r="AY52" s="88">
        <v>2.6870000000000002E-2</v>
      </c>
      <c r="AZ52" s="88">
        <v>2.9090000000000001E-2</v>
      </c>
      <c r="BA52" s="88">
        <v>3.4979999999999997E-2</v>
      </c>
      <c r="BB52" s="88">
        <v>7.3880000000000001E-2</v>
      </c>
      <c r="BC52" s="88">
        <v>2.5090000000000001E-2</v>
      </c>
      <c r="BD52" s="89"/>
      <c r="BE52" s="83"/>
    </row>
    <row r="53" spans="1:57" x14ac:dyDescent="0.25">
      <c r="A53" s="84">
        <f t="shared" si="0"/>
        <v>51</v>
      </c>
      <c r="B53" s="83">
        <v>41</v>
      </c>
      <c r="C53" s="86">
        <v>2.418E-2</v>
      </c>
      <c r="D53" s="86">
        <v>2.418E-2</v>
      </c>
      <c r="E53" s="86">
        <v>2.418E-2</v>
      </c>
      <c r="F53" s="86">
        <v>2.3869999999999999E-2</v>
      </c>
      <c r="G53" s="86">
        <v>3.7289999999999997E-2</v>
      </c>
      <c r="H53" s="86">
        <v>2.418E-2</v>
      </c>
      <c r="I53" s="86">
        <v>2.7609999999999999E-2</v>
      </c>
      <c r="J53" s="86">
        <v>2.4119999999999999E-2</v>
      </c>
      <c r="K53" s="86">
        <v>2.418E-2</v>
      </c>
      <c r="L53" s="86">
        <v>2.418E-2</v>
      </c>
      <c r="M53" s="86">
        <v>2.418E-2</v>
      </c>
      <c r="N53" s="86">
        <v>2.418E-2</v>
      </c>
      <c r="O53" s="86">
        <v>2.418E-2</v>
      </c>
      <c r="P53" s="86">
        <v>4.3409999999999997E-2</v>
      </c>
      <c r="Q53" s="86">
        <v>4.471E-2</v>
      </c>
      <c r="R53" s="86">
        <v>2.418E-2</v>
      </c>
      <c r="S53" s="86">
        <v>2.418E-2</v>
      </c>
      <c r="T53" s="86">
        <v>2.418E-2</v>
      </c>
      <c r="U53" s="86">
        <v>1.2290000000000001E-2</v>
      </c>
      <c r="V53" s="86">
        <v>2.418E-2</v>
      </c>
      <c r="W53" s="86">
        <v>2.418E-2</v>
      </c>
      <c r="X53" s="86">
        <v>2.418E-2</v>
      </c>
      <c r="Y53" s="86">
        <v>2.418E-2</v>
      </c>
      <c r="Z53" s="86">
        <v>3.2480000000000002E-2</v>
      </c>
      <c r="AA53" s="86">
        <v>4.0820000000000002E-2</v>
      </c>
      <c r="AB53" s="86">
        <v>2.418E-2</v>
      </c>
      <c r="AC53" s="86">
        <v>4.3700000000000003E-2</v>
      </c>
      <c r="AD53" s="86">
        <v>5.6300000000000003E-2</v>
      </c>
      <c r="AE53" s="86">
        <v>2.418E-2</v>
      </c>
      <c r="AF53" s="86">
        <v>2.418E-2</v>
      </c>
      <c r="AG53" s="86">
        <v>2.418E-2</v>
      </c>
      <c r="AH53" s="86">
        <v>3.3340000000000002E-2</v>
      </c>
      <c r="AI53" s="86">
        <v>1.2290000000000001E-2</v>
      </c>
      <c r="AJ53" s="86">
        <v>1.137E-2</v>
      </c>
      <c r="AK53" s="86">
        <v>3.4270000000000002E-2</v>
      </c>
      <c r="AL53" s="86">
        <v>7.1290000000000006E-2</v>
      </c>
      <c r="AM53" s="86">
        <v>2.538E-2</v>
      </c>
      <c r="AN53" s="86">
        <v>4.2560000000000001E-2</v>
      </c>
      <c r="AO53" s="86">
        <v>4.3799999999999999E-2</v>
      </c>
      <c r="AP53" s="86">
        <v>5.2999999999999999E-2</v>
      </c>
      <c r="AQ53" s="86">
        <v>3.2890000000000003E-2</v>
      </c>
      <c r="AR53" s="86">
        <v>6.1060000000000003E-2</v>
      </c>
      <c r="AS53" s="86">
        <v>1.1599999999999999E-2</v>
      </c>
      <c r="AT53" s="86">
        <v>4.3380000000000002E-2</v>
      </c>
      <c r="AU53" s="86">
        <v>7.034E-2</v>
      </c>
      <c r="AV53" s="86">
        <v>4.1950000000000001E-2</v>
      </c>
      <c r="AW53" s="86">
        <v>3.2620000000000003E-2</v>
      </c>
      <c r="AX53" s="86">
        <v>6.9980000000000001E-2</v>
      </c>
      <c r="AY53" s="86">
        <v>2.7210000000000002E-2</v>
      </c>
      <c r="AZ53" s="86">
        <v>2.9389999999999999E-2</v>
      </c>
      <c r="BA53" s="86">
        <v>3.5130000000000002E-2</v>
      </c>
      <c r="BB53" s="86">
        <v>7.3370000000000005E-2</v>
      </c>
      <c r="BC53" s="86">
        <v>2.4989999999999998E-2</v>
      </c>
      <c r="BD53" s="89"/>
      <c r="BE53" s="83"/>
    </row>
    <row r="54" spans="1:57" x14ac:dyDescent="0.25">
      <c r="A54" s="84">
        <f t="shared" si="0"/>
        <v>52</v>
      </c>
      <c r="B54" s="83">
        <v>42</v>
      </c>
      <c r="C54" s="86">
        <v>2.4580000000000001E-2</v>
      </c>
      <c r="D54" s="86">
        <v>2.4580000000000001E-2</v>
      </c>
      <c r="E54" s="86">
        <v>2.4580000000000001E-2</v>
      </c>
      <c r="F54" s="86">
        <v>2.427E-2</v>
      </c>
      <c r="G54" s="86">
        <v>3.739E-2</v>
      </c>
      <c r="H54" s="86">
        <v>2.4580000000000001E-2</v>
      </c>
      <c r="I54" s="86">
        <v>2.793E-2</v>
      </c>
      <c r="J54" s="86">
        <v>2.452E-2</v>
      </c>
      <c r="K54" s="86">
        <v>2.4580000000000001E-2</v>
      </c>
      <c r="L54" s="86">
        <v>2.4580000000000001E-2</v>
      </c>
      <c r="M54" s="86">
        <v>2.4580000000000001E-2</v>
      </c>
      <c r="N54" s="86">
        <v>2.4580000000000001E-2</v>
      </c>
      <c r="O54" s="86">
        <v>2.4580000000000001E-2</v>
      </c>
      <c r="P54" s="86">
        <v>4.3400000000000001E-2</v>
      </c>
      <c r="Q54" s="86">
        <v>4.4659999999999998E-2</v>
      </c>
      <c r="R54" s="86">
        <v>2.4580000000000001E-2</v>
      </c>
      <c r="S54" s="86">
        <v>2.4580000000000001E-2</v>
      </c>
      <c r="T54" s="86">
        <v>2.4580000000000001E-2</v>
      </c>
      <c r="U54" s="86">
        <v>1.2699999999999999E-2</v>
      </c>
      <c r="V54" s="86">
        <v>2.4580000000000001E-2</v>
      </c>
      <c r="W54" s="86">
        <v>2.4580000000000001E-2</v>
      </c>
      <c r="X54" s="86">
        <v>2.4580000000000001E-2</v>
      </c>
      <c r="Y54" s="86">
        <v>2.4580000000000001E-2</v>
      </c>
      <c r="Z54" s="86">
        <v>3.2689999999999997E-2</v>
      </c>
      <c r="AA54" s="86">
        <v>4.086E-2</v>
      </c>
      <c r="AB54" s="86">
        <v>2.4580000000000001E-2</v>
      </c>
      <c r="AC54" s="86">
        <v>4.367E-2</v>
      </c>
      <c r="AD54" s="86">
        <v>5.5980000000000002E-2</v>
      </c>
      <c r="AE54" s="86">
        <v>2.4580000000000001E-2</v>
      </c>
      <c r="AF54" s="86">
        <v>2.4580000000000001E-2</v>
      </c>
      <c r="AG54" s="86">
        <v>2.4580000000000001E-2</v>
      </c>
      <c r="AH54" s="86">
        <v>3.354E-2</v>
      </c>
      <c r="AI54" s="86">
        <v>1.2699999999999999E-2</v>
      </c>
      <c r="AJ54" s="86">
        <v>1.1270000000000001E-2</v>
      </c>
      <c r="AK54" s="86">
        <v>3.44E-2</v>
      </c>
      <c r="AL54" s="86">
        <v>7.0860000000000006E-2</v>
      </c>
      <c r="AM54" s="86">
        <v>2.5690000000000001E-2</v>
      </c>
      <c r="AN54" s="86">
        <v>4.2560000000000001E-2</v>
      </c>
      <c r="AO54" s="86">
        <v>4.3770000000000003E-2</v>
      </c>
      <c r="AP54" s="86">
        <v>5.2749999999999998E-2</v>
      </c>
      <c r="AQ54" s="86">
        <v>3.3090000000000001E-2</v>
      </c>
      <c r="AR54" s="86">
        <v>6.087E-2</v>
      </c>
      <c r="AS54" s="86">
        <v>1.1990000000000001E-2</v>
      </c>
      <c r="AT54" s="86">
        <v>4.3360000000000003E-2</v>
      </c>
      <c r="AU54" s="86">
        <v>6.9930000000000006E-2</v>
      </c>
      <c r="AV54" s="86">
        <v>4.1959999999999997E-2</v>
      </c>
      <c r="AW54" s="86">
        <v>3.2829999999999998E-2</v>
      </c>
      <c r="AX54" s="86">
        <v>6.9570000000000007E-2</v>
      </c>
      <c r="AY54" s="86">
        <v>2.7529999999999999E-2</v>
      </c>
      <c r="AZ54" s="86">
        <v>2.9669999999999998E-2</v>
      </c>
      <c r="BA54" s="86">
        <v>3.5279999999999999E-2</v>
      </c>
      <c r="BB54" s="86">
        <v>7.288E-2</v>
      </c>
      <c r="BC54" s="86">
        <v>2.4889999999999999E-2</v>
      </c>
      <c r="BD54" s="89"/>
      <c r="BE54" s="83"/>
    </row>
    <row r="55" spans="1:57" x14ac:dyDescent="0.25">
      <c r="A55" s="84">
        <f t="shared" si="0"/>
        <v>53</v>
      </c>
      <c r="B55" s="83">
        <v>43</v>
      </c>
      <c r="C55" s="86">
        <v>2.496E-2</v>
      </c>
      <c r="D55" s="86">
        <v>2.496E-2</v>
      </c>
      <c r="E55" s="86">
        <v>2.496E-2</v>
      </c>
      <c r="F55" s="86">
        <v>2.4660000000000001E-2</v>
      </c>
      <c r="G55" s="86">
        <v>3.7490000000000002E-2</v>
      </c>
      <c r="H55" s="86">
        <v>2.496E-2</v>
      </c>
      <c r="I55" s="86">
        <v>2.8240000000000001E-2</v>
      </c>
      <c r="J55" s="86">
        <v>2.4899999999999999E-2</v>
      </c>
      <c r="K55" s="86">
        <v>2.496E-2</v>
      </c>
      <c r="L55" s="86">
        <v>2.496E-2</v>
      </c>
      <c r="M55" s="86">
        <v>2.496E-2</v>
      </c>
      <c r="N55" s="86">
        <v>2.496E-2</v>
      </c>
      <c r="O55" s="86">
        <v>2.496E-2</v>
      </c>
      <c r="P55" s="86">
        <v>4.3380000000000002E-2</v>
      </c>
      <c r="Q55" s="86">
        <v>4.4609999999999997E-2</v>
      </c>
      <c r="R55" s="86">
        <v>2.496E-2</v>
      </c>
      <c r="S55" s="86">
        <v>2.496E-2</v>
      </c>
      <c r="T55" s="86">
        <v>2.496E-2</v>
      </c>
      <c r="U55" s="86">
        <v>1.311E-2</v>
      </c>
      <c r="V55" s="86">
        <v>2.496E-2</v>
      </c>
      <c r="W55" s="86">
        <v>2.496E-2</v>
      </c>
      <c r="X55" s="86">
        <v>2.496E-2</v>
      </c>
      <c r="Y55" s="86">
        <v>2.496E-2</v>
      </c>
      <c r="Z55" s="86">
        <v>3.2890000000000003E-2</v>
      </c>
      <c r="AA55" s="86">
        <v>4.0890000000000003E-2</v>
      </c>
      <c r="AB55" s="86">
        <v>2.496E-2</v>
      </c>
      <c r="AC55" s="86">
        <v>4.3639999999999998E-2</v>
      </c>
      <c r="AD55" s="86">
        <v>5.5669999999999997E-2</v>
      </c>
      <c r="AE55" s="86">
        <v>2.496E-2</v>
      </c>
      <c r="AF55" s="86">
        <v>2.496E-2</v>
      </c>
      <c r="AG55" s="86">
        <v>2.496E-2</v>
      </c>
      <c r="AH55" s="86">
        <v>3.3739999999999999E-2</v>
      </c>
      <c r="AI55" s="86">
        <v>1.311E-2</v>
      </c>
      <c r="AJ55" s="86">
        <v>1.1169999999999999E-2</v>
      </c>
      <c r="AK55" s="86">
        <v>3.4529999999999998E-2</v>
      </c>
      <c r="AL55" s="86">
        <v>7.0440000000000003E-2</v>
      </c>
      <c r="AM55" s="86">
        <v>2.5989999999999999E-2</v>
      </c>
      <c r="AN55" s="86">
        <v>4.2549999999999998E-2</v>
      </c>
      <c r="AO55" s="86">
        <v>4.3740000000000001E-2</v>
      </c>
      <c r="AP55" s="86">
        <v>5.2519999999999997E-2</v>
      </c>
      <c r="AQ55" s="86">
        <v>3.3279999999999997E-2</v>
      </c>
      <c r="AR55" s="86">
        <v>6.0679999999999998E-2</v>
      </c>
      <c r="AS55" s="86">
        <v>1.2370000000000001E-2</v>
      </c>
      <c r="AT55" s="86">
        <v>4.3339999999999997E-2</v>
      </c>
      <c r="AU55" s="86">
        <v>6.9540000000000005E-2</v>
      </c>
      <c r="AV55" s="86">
        <v>4.1980000000000003E-2</v>
      </c>
      <c r="AW55" s="86">
        <v>3.3020000000000001E-2</v>
      </c>
      <c r="AX55" s="86">
        <v>6.9190000000000002E-2</v>
      </c>
      <c r="AY55" s="86">
        <v>2.784E-2</v>
      </c>
      <c r="AZ55" s="86">
        <v>2.9940000000000001E-2</v>
      </c>
      <c r="BA55" s="86">
        <v>3.5430000000000003E-2</v>
      </c>
      <c r="BB55" s="86">
        <v>7.2419999999999998E-2</v>
      </c>
      <c r="BC55" s="86">
        <v>2.479E-2</v>
      </c>
      <c r="BD55" s="89"/>
      <c r="BE55" s="83"/>
    </row>
    <row r="56" spans="1:57" x14ac:dyDescent="0.25">
      <c r="A56" s="84">
        <f t="shared" si="0"/>
        <v>54</v>
      </c>
      <c r="B56" s="83">
        <v>44</v>
      </c>
      <c r="C56" s="86">
        <v>2.5319999999999999E-2</v>
      </c>
      <c r="D56" s="86">
        <v>2.5319999999999999E-2</v>
      </c>
      <c r="E56" s="86">
        <v>2.5319999999999999E-2</v>
      </c>
      <c r="F56" s="86">
        <v>2.503E-2</v>
      </c>
      <c r="G56" s="86">
        <v>3.7580000000000002E-2</v>
      </c>
      <c r="H56" s="86">
        <v>2.5319999999999999E-2</v>
      </c>
      <c r="I56" s="86">
        <v>2.853E-2</v>
      </c>
      <c r="J56" s="86">
        <v>2.5260000000000001E-2</v>
      </c>
      <c r="K56" s="86">
        <v>2.5319999999999999E-2</v>
      </c>
      <c r="L56" s="86">
        <v>2.5319999999999999E-2</v>
      </c>
      <c r="M56" s="86">
        <v>2.5319999999999999E-2</v>
      </c>
      <c r="N56" s="86">
        <v>2.5319999999999999E-2</v>
      </c>
      <c r="O56" s="86">
        <v>2.5319999999999999E-2</v>
      </c>
      <c r="P56" s="86">
        <v>4.3360000000000003E-2</v>
      </c>
      <c r="Q56" s="86">
        <v>4.4560000000000002E-2</v>
      </c>
      <c r="R56" s="86">
        <v>2.5319999999999999E-2</v>
      </c>
      <c r="S56" s="86">
        <v>2.5319999999999999E-2</v>
      </c>
      <c r="T56" s="86">
        <v>2.5319999999999999E-2</v>
      </c>
      <c r="U56" s="86">
        <v>1.349E-2</v>
      </c>
      <c r="V56" s="86">
        <v>2.5319999999999999E-2</v>
      </c>
      <c r="W56" s="86">
        <v>2.5319999999999999E-2</v>
      </c>
      <c r="X56" s="86">
        <v>2.5319999999999999E-2</v>
      </c>
      <c r="Y56" s="86">
        <v>2.5319999999999999E-2</v>
      </c>
      <c r="Z56" s="86">
        <v>3.3090000000000001E-2</v>
      </c>
      <c r="AA56" s="86">
        <v>4.0930000000000001E-2</v>
      </c>
      <c r="AB56" s="86">
        <v>2.5319999999999999E-2</v>
      </c>
      <c r="AC56" s="86">
        <v>4.3619999999999999E-2</v>
      </c>
      <c r="AD56" s="86">
        <v>5.5370000000000003E-2</v>
      </c>
      <c r="AE56" s="86">
        <v>2.5319999999999999E-2</v>
      </c>
      <c r="AF56" s="86">
        <v>2.5319999999999999E-2</v>
      </c>
      <c r="AG56" s="86">
        <v>2.5319999999999999E-2</v>
      </c>
      <c r="AH56" s="86">
        <v>3.3919999999999999E-2</v>
      </c>
      <c r="AI56" s="86">
        <v>1.349E-2</v>
      </c>
      <c r="AJ56" s="86">
        <v>1.107E-2</v>
      </c>
      <c r="AK56" s="86">
        <v>3.465E-2</v>
      </c>
      <c r="AL56" s="86">
        <v>7.0029999999999995E-2</v>
      </c>
      <c r="AM56" s="86">
        <v>2.6290000000000001E-2</v>
      </c>
      <c r="AN56" s="86">
        <v>4.2549999999999998E-2</v>
      </c>
      <c r="AO56" s="86">
        <v>4.3709999999999999E-2</v>
      </c>
      <c r="AP56" s="86">
        <v>5.2299999999999999E-2</v>
      </c>
      <c r="AQ56" s="86">
        <v>3.3459999999999997E-2</v>
      </c>
      <c r="AR56" s="86">
        <v>6.0490000000000002E-2</v>
      </c>
      <c r="AS56" s="86">
        <v>1.2749999999999999E-2</v>
      </c>
      <c r="AT56" s="86">
        <v>4.3319999999999997E-2</v>
      </c>
      <c r="AU56" s="86">
        <v>6.9169999999999995E-2</v>
      </c>
      <c r="AV56" s="86">
        <v>4.199E-2</v>
      </c>
      <c r="AW56" s="86">
        <v>3.3210000000000003E-2</v>
      </c>
      <c r="AX56" s="86">
        <v>6.8809999999999996E-2</v>
      </c>
      <c r="AY56" s="86">
        <v>2.8139999999999998E-2</v>
      </c>
      <c r="AZ56" s="86">
        <v>3.0200000000000001E-2</v>
      </c>
      <c r="BA56" s="86">
        <v>3.5560000000000001E-2</v>
      </c>
      <c r="BB56" s="86">
        <v>7.1970000000000006E-2</v>
      </c>
      <c r="BC56" s="86">
        <v>2.469E-2</v>
      </c>
      <c r="BD56" s="89"/>
      <c r="BE56" s="83"/>
    </row>
    <row r="57" spans="1:57" x14ac:dyDescent="0.25">
      <c r="A57" s="84">
        <f t="shared" si="0"/>
        <v>55</v>
      </c>
      <c r="B57" s="87">
        <v>45</v>
      </c>
      <c r="C57" s="88">
        <v>2.5669999999999998E-2</v>
      </c>
      <c r="D57" s="88">
        <v>2.5669999999999998E-2</v>
      </c>
      <c r="E57" s="88">
        <v>2.5669999999999998E-2</v>
      </c>
      <c r="F57" s="88">
        <v>2.5389999999999999E-2</v>
      </c>
      <c r="G57" s="88">
        <v>3.7670000000000002E-2</v>
      </c>
      <c r="H57" s="88">
        <v>2.5669999999999998E-2</v>
      </c>
      <c r="I57" s="88">
        <v>2.8819999999999998E-2</v>
      </c>
      <c r="J57" s="88">
        <v>2.562E-2</v>
      </c>
      <c r="K57" s="88">
        <v>2.5669999999999998E-2</v>
      </c>
      <c r="L57" s="88">
        <v>2.5669999999999998E-2</v>
      </c>
      <c r="M57" s="88">
        <v>2.5669999999999998E-2</v>
      </c>
      <c r="N57" s="88">
        <v>2.5669999999999998E-2</v>
      </c>
      <c r="O57" s="88">
        <v>2.5669999999999998E-2</v>
      </c>
      <c r="P57" s="88">
        <v>4.3339999999999997E-2</v>
      </c>
      <c r="Q57" s="88">
        <v>4.4510000000000001E-2</v>
      </c>
      <c r="R57" s="88">
        <v>2.5669999999999998E-2</v>
      </c>
      <c r="S57" s="88">
        <v>2.5669999999999998E-2</v>
      </c>
      <c r="T57" s="88">
        <v>2.5669999999999998E-2</v>
      </c>
      <c r="U57" s="88">
        <v>1.387E-2</v>
      </c>
      <c r="V57" s="88">
        <v>2.5669999999999998E-2</v>
      </c>
      <c r="W57" s="88">
        <v>2.5669999999999998E-2</v>
      </c>
      <c r="X57" s="88">
        <v>2.5669999999999998E-2</v>
      </c>
      <c r="Y57" s="88">
        <v>2.5669999999999998E-2</v>
      </c>
      <c r="Z57" s="88">
        <v>3.3279999999999997E-2</v>
      </c>
      <c r="AA57" s="88">
        <v>4.0960000000000003E-2</v>
      </c>
      <c r="AB57" s="88">
        <v>2.5669999999999998E-2</v>
      </c>
      <c r="AC57" s="88">
        <v>4.3589999999999997E-2</v>
      </c>
      <c r="AD57" s="88">
        <v>5.509E-2</v>
      </c>
      <c r="AE57" s="88">
        <v>2.5669999999999998E-2</v>
      </c>
      <c r="AF57" s="88">
        <v>2.5669999999999998E-2</v>
      </c>
      <c r="AG57" s="88">
        <v>2.5669999999999998E-2</v>
      </c>
      <c r="AH57" s="88">
        <v>3.4099999999999998E-2</v>
      </c>
      <c r="AI57" s="88">
        <v>1.387E-2</v>
      </c>
      <c r="AJ57" s="88">
        <v>1.0959999999999999E-2</v>
      </c>
      <c r="AK57" s="88">
        <v>3.4779999999999998E-2</v>
      </c>
      <c r="AL57" s="88">
        <v>6.9650000000000004E-2</v>
      </c>
      <c r="AM57" s="88">
        <v>2.6589999999999999E-2</v>
      </c>
      <c r="AN57" s="88">
        <v>4.2540000000000001E-2</v>
      </c>
      <c r="AO57" s="88">
        <v>4.3679999999999997E-2</v>
      </c>
      <c r="AP57" s="88">
        <v>5.2080000000000001E-2</v>
      </c>
      <c r="AQ57" s="88">
        <v>3.3640000000000003E-2</v>
      </c>
      <c r="AR57" s="88">
        <v>6.0319999999999999E-2</v>
      </c>
      <c r="AS57" s="88">
        <v>1.312E-2</v>
      </c>
      <c r="AT57" s="88">
        <v>4.3299999999999998E-2</v>
      </c>
      <c r="AU57" s="88">
        <v>6.8809999999999996E-2</v>
      </c>
      <c r="AV57" s="88">
        <v>4.2000000000000003E-2</v>
      </c>
      <c r="AW57" s="88">
        <v>3.3390000000000003E-2</v>
      </c>
      <c r="AX57" s="88">
        <v>6.8449999999999997E-2</v>
      </c>
      <c r="AY57" s="88">
        <v>2.843E-2</v>
      </c>
      <c r="AZ57" s="88">
        <v>3.0450000000000001E-2</v>
      </c>
      <c r="BA57" s="88">
        <v>3.5700000000000003E-2</v>
      </c>
      <c r="BB57" s="88">
        <v>7.1529999999999996E-2</v>
      </c>
      <c r="BC57" s="88">
        <v>2.462E-2</v>
      </c>
      <c r="BD57" s="89"/>
      <c r="BE57" s="83"/>
    </row>
    <row r="58" spans="1:57" x14ac:dyDescent="0.25">
      <c r="A58" s="84">
        <f t="shared" si="0"/>
        <v>56</v>
      </c>
      <c r="B58" s="83">
        <v>46</v>
      </c>
      <c r="C58" s="86">
        <v>2.6009999999999998E-2</v>
      </c>
      <c r="D58" s="86">
        <v>2.6009999999999998E-2</v>
      </c>
      <c r="E58" s="86">
        <v>2.6009999999999998E-2</v>
      </c>
      <c r="F58" s="86">
        <v>2.5729999999999999E-2</v>
      </c>
      <c r="G58" s="86">
        <v>3.7760000000000002E-2</v>
      </c>
      <c r="H58" s="86">
        <v>2.6009999999999998E-2</v>
      </c>
      <c r="I58" s="86">
        <v>2.9090000000000001E-2</v>
      </c>
      <c r="J58" s="86">
        <v>2.596E-2</v>
      </c>
      <c r="K58" s="86">
        <v>2.6009999999999998E-2</v>
      </c>
      <c r="L58" s="86">
        <v>2.6009999999999998E-2</v>
      </c>
      <c r="M58" s="86">
        <v>2.6009999999999998E-2</v>
      </c>
      <c r="N58" s="86">
        <v>2.6009999999999998E-2</v>
      </c>
      <c r="O58" s="86">
        <v>2.6009999999999998E-2</v>
      </c>
      <c r="P58" s="86">
        <v>4.3319999999999997E-2</v>
      </c>
      <c r="Q58" s="86">
        <v>4.446E-2</v>
      </c>
      <c r="R58" s="86">
        <v>2.6009999999999998E-2</v>
      </c>
      <c r="S58" s="86">
        <v>2.6009999999999998E-2</v>
      </c>
      <c r="T58" s="86">
        <v>2.6009999999999998E-2</v>
      </c>
      <c r="U58" s="86">
        <v>1.423E-2</v>
      </c>
      <c r="V58" s="86">
        <v>2.6009999999999998E-2</v>
      </c>
      <c r="W58" s="86">
        <v>2.6009999999999998E-2</v>
      </c>
      <c r="X58" s="86">
        <v>2.6009999999999998E-2</v>
      </c>
      <c r="Y58" s="86">
        <v>2.6009999999999998E-2</v>
      </c>
      <c r="Z58" s="86">
        <v>3.3450000000000001E-2</v>
      </c>
      <c r="AA58" s="86">
        <v>4.0989999999999999E-2</v>
      </c>
      <c r="AB58" s="86">
        <v>2.6009999999999998E-2</v>
      </c>
      <c r="AC58" s="86">
        <v>4.3560000000000001E-2</v>
      </c>
      <c r="AD58" s="86">
        <v>5.4809999999999998E-2</v>
      </c>
      <c r="AE58" s="86">
        <v>2.6009999999999998E-2</v>
      </c>
      <c r="AF58" s="86">
        <v>2.6009999999999998E-2</v>
      </c>
      <c r="AG58" s="86">
        <v>2.6009999999999998E-2</v>
      </c>
      <c r="AH58" s="86">
        <v>3.4270000000000002E-2</v>
      </c>
      <c r="AI58" s="86">
        <v>1.423E-2</v>
      </c>
      <c r="AJ58" s="86">
        <v>1.0829999999999999E-2</v>
      </c>
      <c r="AK58" s="86">
        <v>3.49E-2</v>
      </c>
      <c r="AL58" s="86">
        <v>6.9269999999999998E-2</v>
      </c>
      <c r="AM58" s="86">
        <v>2.6870000000000002E-2</v>
      </c>
      <c r="AN58" s="86">
        <v>4.2540000000000001E-2</v>
      </c>
      <c r="AO58" s="86">
        <v>4.3650000000000001E-2</v>
      </c>
      <c r="AP58" s="86">
        <v>5.1869999999999999E-2</v>
      </c>
      <c r="AQ58" s="86">
        <v>3.381E-2</v>
      </c>
      <c r="AR58" s="86">
        <v>6.0150000000000002E-2</v>
      </c>
      <c r="AS58" s="86">
        <v>1.3469999999999999E-2</v>
      </c>
      <c r="AT58" s="86">
        <v>4.3279999999999999E-2</v>
      </c>
      <c r="AU58" s="86">
        <v>6.8459999999999993E-2</v>
      </c>
      <c r="AV58" s="86">
        <v>4.2009999999999999E-2</v>
      </c>
      <c r="AW58" s="86">
        <v>3.3570000000000003E-2</v>
      </c>
      <c r="AX58" s="86">
        <v>6.8110000000000004E-2</v>
      </c>
      <c r="AY58" s="86">
        <v>2.8709999999999999E-2</v>
      </c>
      <c r="AZ58" s="86">
        <v>3.0689999999999999E-2</v>
      </c>
      <c r="BA58" s="86">
        <v>3.5819999999999998E-2</v>
      </c>
      <c r="BB58" s="86">
        <v>7.1120000000000003E-2</v>
      </c>
      <c r="BC58" s="86">
        <v>2.4559999999999998E-2</v>
      </c>
      <c r="BD58" s="89"/>
      <c r="BE58" s="83"/>
    </row>
    <row r="59" spans="1:57" x14ac:dyDescent="0.25">
      <c r="A59" s="84">
        <f t="shared" si="0"/>
        <v>57</v>
      </c>
      <c r="B59" s="83">
        <v>47</v>
      </c>
      <c r="C59" s="86">
        <v>2.6339999999999999E-2</v>
      </c>
      <c r="D59" s="86">
        <v>2.6339999999999999E-2</v>
      </c>
      <c r="E59" s="86">
        <v>2.6339999999999999E-2</v>
      </c>
      <c r="F59" s="86">
        <v>2.606E-2</v>
      </c>
      <c r="G59" s="86">
        <v>3.7839999999999999E-2</v>
      </c>
      <c r="H59" s="86">
        <v>2.6339999999999999E-2</v>
      </c>
      <c r="I59" s="86">
        <v>2.9350000000000001E-2</v>
      </c>
      <c r="J59" s="86">
        <v>2.6280000000000001E-2</v>
      </c>
      <c r="K59" s="86">
        <v>2.6339999999999999E-2</v>
      </c>
      <c r="L59" s="86">
        <v>2.6339999999999999E-2</v>
      </c>
      <c r="M59" s="86">
        <v>2.6339999999999999E-2</v>
      </c>
      <c r="N59" s="86">
        <v>2.6339999999999999E-2</v>
      </c>
      <c r="O59" s="86">
        <v>2.6339999999999999E-2</v>
      </c>
      <c r="P59" s="86">
        <v>4.3310000000000001E-2</v>
      </c>
      <c r="Q59" s="86">
        <v>4.4409999999999998E-2</v>
      </c>
      <c r="R59" s="86">
        <v>2.6339999999999999E-2</v>
      </c>
      <c r="S59" s="86">
        <v>2.6339999999999999E-2</v>
      </c>
      <c r="T59" s="86">
        <v>2.6339999999999999E-2</v>
      </c>
      <c r="U59" s="86">
        <v>1.4590000000000001E-2</v>
      </c>
      <c r="V59" s="86">
        <v>2.6339999999999999E-2</v>
      </c>
      <c r="W59" s="86">
        <v>2.6339999999999999E-2</v>
      </c>
      <c r="X59" s="86">
        <v>2.6339999999999999E-2</v>
      </c>
      <c r="Y59" s="86">
        <v>2.6339999999999999E-2</v>
      </c>
      <c r="Z59" s="86">
        <v>3.363E-2</v>
      </c>
      <c r="AA59" s="86">
        <v>4.1009999999999998E-2</v>
      </c>
      <c r="AB59" s="86">
        <v>2.6339999999999999E-2</v>
      </c>
      <c r="AC59" s="86">
        <v>4.3540000000000002E-2</v>
      </c>
      <c r="AD59" s="86">
        <v>5.4550000000000001E-2</v>
      </c>
      <c r="AE59" s="86">
        <v>2.6339999999999999E-2</v>
      </c>
      <c r="AF59" s="86">
        <v>2.6339999999999999E-2</v>
      </c>
      <c r="AG59" s="86">
        <v>2.6339999999999999E-2</v>
      </c>
      <c r="AH59" s="86">
        <v>3.4439999999999998E-2</v>
      </c>
      <c r="AI59" s="86">
        <v>1.4590000000000001E-2</v>
      </c>
      <c r="AJ59" s="86">
        <v>1.072E-2</v>
      </c>
      <c r="AK59" s="86">
        <v>3.5020000000000003E-2</v>
      </c>
      <c r="AL59" s="86">
        <v>6.8919999999999995E-2</v>
      </c>
      <c r="AM59" s="86">
        <v>2.7150000000000001E-2</v>
      </c>
      <c r="AN59" s="86">
        <v>4.2529999999999998E-2</v>
      </c>
      <c r="AO59" s="86">
        <v>4.3619999999999999E-2</v>
      </c>
      <c r="AP59" s="86">
        <v>5.1670000000000001E-2</v>
      </c>
      <c r="AQ59" s="86">
        <v>3.3980000000000003E-2</v>
      </c>
      <c r="AR59" s="86">
        <v>5.9979999999999999E-2</v>
      </c>
      <c r="AS59" s="86">
        <v>1.3820000000000001E-2</v>
      </c>
      <c r="AT59" s="86">
        <v>4.326E-2</v>
      </c>
      <c r="AU59" s="86">
        <v>6.812E-2</v>
      </c>
      <c r="AV59" s="86">
        <v>4.2020000000000002E-2</v>
      </c>
      <c r="AW59" s="86">
        <v>3.3730000000000003E-2</v>
      </c>
      <c r="AX59" s="86">
        <v>6.7780000000000007E-2</v>
      </c>
      <c r="AY59" s="86">
        <v>2.8979999999999999E-2</v>
      </c>
      <c r="AZ59" s="86">
        <v>3.092E-2</v>
      </c>
      <c r="BA59" s="86">
        <v>3.5950000000000003E-2</v>
      </c>
      <c r="BB59" s="86">
        <v>7.0720000000000005E-2</v>
      </c>
      <c r="BC59" s="86">
        <v>2.453E-2</v>
      </c>
      <c r="BD59" s="89"/>
      <c r="BE59" s="83"/>
    </row>
    <row r="60" spans="1:57" x14ac:dyDescent="0.25">
      <c r="A60" s="84">
        <f t="shared" si="0"/>
        <v>58</v>
      </c>
      <c r="B60" s="83">
        <v>48</v>
      </c>
      <c r="C60" s="86">
        <v>2.665E-2</v>
      </c>
      <c r="D60" s="86">
        <v>2.665E-2</v>
      </c>
      <c r="E60" s="86">
        <v>2.665E-2</v>
      </c>
      <c r="F60" s="86">
        <v>2.6380000000000001E-2</v>
      </c>
      <c r="G60" s="86">
        <v>3.7920000000000002E-2</v>
      </c>
      <c r="H60" s="86">
        <v>2.665E-2</v>
      </c>
      <c r="I60" s="86">
        <v>2.9600000000000001E-2</v>
      </c>
      <c r="J60" s="86">
        <v>2.6599999999999999E-2</v>
      </c>
      <c r="K60" s="86">
        <v>2.665E-2</v>
      </c>
      <c r="L60" s="86">
        <v>2.665E-2</v>
      </c>
      <c r="M60" s="86">
        <v>2.665E-2</v>
      </c>
      <c r="N60" s="86">
        <v>2.665E-2</v>
      </c>
      <c r="O60" s="86">
        <v>2.665E-2</v>
      </c>
      <c r="P60" s="86">
        <v>4.3290000000000002E-2</v>
      </c>
      <c r="Q60" s="86">
        <v>4.437E-2</v>
      </c>
      <c r="R60" s="86">
        <v>2.665E-2</v>
      </c>
      <c r="S60" s="86">
        <v>2.665E-2</v>
      </c>
      <c r="T60" s="86">
        <v>2.665E-2</v>
      </c>
      <c r="U60" s="86">
        <v>1.4919999999999999E-2</v>
      </c>
      <c r="V60" s="86">
        <v>2.665E-2</v>
      </c>
      <c r="W60" s="86">
        <v>2.665E-2</v>
      </c>
      <c r="X60" s="86">
        <v>2.665E-2</v>
      </c>
      <c r="Y60" s="86">
        <v>2.665E-2</v>
      </c>
      <c r="Z60" s="86">
        <v>3.3790000000000001E-2</v>
      </c>
      <c r="AA60" s="86">
        <v>4.104E-2</v>
      </c>
      <c r="AB60" s="86">
        <v>2.665E-2</v>
      </c>
      <c r="AC60" s="86">
        <v>4.351E-2</v>
      </c>
      <c r="AD60" s="86">
        <v>5.4300000000000001E-2</v>
      </c>
      <c r="AE60" s="86">
        <v>2.665E-2</v>
      </c>
      <c r="AF60" s="86">
        <v>2.665E-2</v>
      </c>
      <c r="AG60" s="86">
        <v>2.665E-2</v>
      </c>
      <c r="AH60" s="86">
        <v>3.4590000000000003E-2</v>
      </c>
      <c r="AI60" s="86">
        <v>1.4919999999999999E-2</v>
      </c>
      <c r="AJ60" s="86">
        <v>1.064E-2</v>
      </c>
      <c r="AK60" s="86">
        <v>3.5139999999999998E-2</v>
      </c>
      <c r="AL60" s="86">
        <v>6.8570000000000006E-2</v>
      </c>
      <c r="AM60" s="86">
        <v>2.743E-2</v>
      </c>
      <c r="AN60" s="86">
        <v>4.2529999999999998E-2</v>
      </c>
      <c r="AO60" s="86">
        <v>4.3589999999999997E-2</v>
      </c>
      <c r="AP60" s="86">
        <v>5.1479999999999998E-2</v>
      </c>
      <c r="AQ60" s="86">
        <v>3.4130000000000001E-2</v>
      </c>
      <c r="AR60" s="86">
        <v>5.9819999999999998E-2</v>
      </c>
      <c r="AS60" s="86">
        <v>1.4160000000000001E-2</v>
      </c>
      <c r="AT60" s="86">
        <v>4.3240000000000001E-2</v>
      </c>
      <c r="AU60" s="86">
        <v>6.7799999999999999E-2</v>
      </c>
      <c r="AV60" s="86">
        <v>4.2029999999999998E-2</v>
      </c>
      <c r="AW60" s="86">
        <v>3.39E-2</v>
      </c>
      <c r="AX60" s="86">
        <v>6.7460000000000006E-2</v>
      </c>
      <c r="AY60" s="86">
        <v>2.9239999999999999E-2</v>
      </c>
      <c r="AZ60" s="86">
        <v>3.1140000000000001E-2</v>
      </c>
      <c r="BA60" s="86">
        <v>3.6069999999999998E-2</v>
      </c>
      <c r="BB60" s="86">
        <v>7.034E-2</v>
      </c>
      <c r="BC60" s="86">
        <v>2.453E-2</v>
      </c>
      <c r="BD60" s="89"/>
      <c r="BE60" s="83"/>
    </row>
    <row r="61" spans="1:57" x14ac:dyDescent="0.25">
      <c r="A61" s="84">
        <f t="shared" si="0"/>
        <v>59</v>
      </c>
      <c r="B61" s="83">
        <v>49</v>
      </c>
      <c r="C61" s="86">
        <v>2.6950000000000002E-2</v>
      </c>
      <c r="D61" s="86">
        <v>2.6950000000000002E-2</v>
      </c>
      <c r="E61" s="86">
        <v>2.6950000000000002E-2</v>
      </c>
      <c r="F61" s="86">
        <v>2.6689999999999998E-2</v>
      </c>
      <c r="G61" s="86">
        <v>3.7999999999999999E-2</v>
      </c>
      <c r="H61" s="86">
        <v>2.6950000000000002E-2</v>
      </c>
      <c r="I61" s="86">
        <v>2.9850000000000002E-2</v>
      </c>
      <c r="J61" s="86">
        <v>2.69E-2</v>
      </c>
      <c r="K61" s="86">
        <v>2.6950000000000002E-2</v>
      </c>
      <c r="L61" s="86">
        <v>2.6950000000000002E-2</v>
      </c>
      <c r="M61" s="86">
        <v>2.6950000000000002E-2</v>
      </c>
      <c r="N61" s="86">
        <v>2.6950000000000002E-2</v>
      </c>
      <c r="O61" s="86">
        <v>2.6950000000000002E-2</v>
      </c>
      <c r="P61" s="86">
        <v>4.3270000000000003E-2</v>
      </c>
      <c r="Q61" s="86">
        <v>4.4330000000000001E-2</v>
      </c>
      <c r="R61" s="86">
        <v>2.6950000000000002E-2</v>
      </c>
      <c r="S61" s="86">
        <v>2.6950000000000002E-2</v>
      </c>
      <c r="T61" s="86">
        <v>2.6950000000000002E-2</v>
      </c>
      <c r="U61" s="86">
        <v>1.525E-2</v>
      </c>
      <c r="V61" s="86">
        <v>2.6950000000000002E-2</v>
      </c>
      <c r="W61" s="86">
        <v>2.6950000000000002E-2</v>
      </c>
      <c r="X61" s="86">
        <v>2.6950000000000002E-2</v>
      </c>
      <c r="Y61" s="86">
        <v>2.6950000000000002E-2</v>
      </c>
      <c r="Z61" s="86">
        <v>3.3950000000000001E-2</v>
      </c>
      <c r="AA61" s="86">
        <v>4.1059999999999999E-2</v>
      </c>
      <c r="AB61" s="86">
        <v>2.6950000000000002E-2</v>
      </c>
      <c r="AC61" s="86">
        <v>4.3490000000000001E-2</v>
      </c>
      <c r="AD61" s="86">
        <v>5.4050000000000001E-2</v>
      </c>
      <c r="AE61" s="86">
        <v>2.6950000000000002E-2</v>
      </c>
      <c r="AF61" s="86">
        <v>2.6950000000000002E-2</v>
      </c>
      <c r="AG61" s="86">
        <v>2.6950000000000002E-2</v>
      </c>
      <c r="AH61" s="86">
        <v>3.4750000000000003E-2</v>
      </c>
      <c r="AI61" s="86">
        <v>1.525E-2</v>
      </c>
      <c r="AJ61" s="86">
        <v>1.061E-2</v>
      </c>
      <c r="AK61" s="86">
        <v>3.526E-2</v>
      </c>
      <c r="AL61" s="86">
        <v>6.8239999999999995E-2</v>
      </c>
      <c r="AM61" s="86">
        <v>2.7689999999999999E-2</v>
      </c>
      <c r="AN61" s="86">
        <v>4.2520000000000002E-2</v>
      </c>
      <c r="AO61" s="86">
        <v>4.3560000000000001E-2</v>
      </c>
      <c r="AP61" s="86">
        <v>5.1290000000000002E-2</v>
      </c>
      <c r="AQ61" s="86">
        <v>3.4290000000000001E-2</v>
      </c>
      <c r="AR61" s="86">
        <v>5.9670000000000001E-2</v>
      </c>
      <c r="AS61" s="86">
        <v>1.4489999999999999E-2</v>
      </c>
      <c r="AT61" s="86">
        <v>4.3220000000000001E-2</v>
      </c>
      <c r="AU61" s="86">
        <v>6.7479999999999998E-2</v>
      </c>
      <c r="AV61" s="86">
        <v>4.2029999999999998E-2</v>
      </c>
      <c r="AW61" s="86">
        <v>3.4049999999999997E-2</v>
      </c>
      <c r="AX61" s="86">
        <v>6.7150000000000001E-2</v>
      </c>
      <c r="AY61" s="86">
        <v>2.9489999999999999E-2</v>
      </c>
      <c r="AZ61" s="86">
        <v>3.1350000000000003E-2</v>
      </c>
      <c r="BA61" s="86">
        <v>3.6179999999999997E-2</v>
      </c>
      <c r="BB61" s="86">
        <v>6.9970000000000004E-2</v>
      </c>
      <c r="BC61" s="86">
        <v>2.4549999999999999E-2</v>
      </c>
      <c r="BD61" s="89"/>
      <c r="BE61" s="83"/>
    </row>
    <row r="62" spans="1:57" x14ac:dyDescent="0.25">
      <c r="A62" s="84">
        <f t="shared" si="0"/>
        <v>60</v>
      </c>
      <c r="B62" s="87">
        <v>50</v>
      </c>
      <c r="C62" s="88">
        <v>2.724E-2</v>
      </c>
      <c r="D62" s="88">
        <v>2.724E-2</v>
      </c>
      <c r="E62" s="88">
        <v>2.724E-2</v>
      </c>
      <c r="F62" s="88">
        <v>2.6980000000000001E-2</v>
      </c>
      <c r="G62" s="88">
        <v>3.8080000000000003E-2</v>
      </c>
      <c r="H62" s="88">
        <v>2.724E-2</v>
      </c>
      <c r="I62" s="88">
        <v>3.0079999999999999E-2</v>
      </c>
      <c r="J62" s="88">
        <v>2.7189999999999999E-2</v>
      </c>
      <c r="K62" s="88">
        <v>2.724E-2</v>
      </c>
      <c r="L62" s="88">
        <v>2.724E-2</v>
      </c>
      <c r="M62" s="88">
        <v>2.724E-2</v>
      </c>
      <c r="N62" s="88">
        <v>2.724E-2</v>
      </c>
      <c r="O62" s="88">
        <v>2.724E-2</v>
      </c>
      <c r="P62" s="88">
        <v>4.3249999999999997E-2</v>
      </c>
      <c r="Q62" s="88">
        <v>4.428E-2</v>
      </c>
      <c r="R62" s="88">
        <v>2.724E-2</v>
      </c>
      <c r="S62" s="88">
        <v>2.724E-2</v>
      </c>
      <c r="T62" s="88">
        <v>2.724E-2</v>
      </c>
      <c r="U62" s="88">
        <v>1.5570000000000001E-2</v>
      </c>
      <c r="V62" s="88">
        <v>2.724E-2</v>
      </c>
      <c r="W62" s="88">
        <v>2.724E-2</v>
      </c>
      <c r="X62" s="88">
        <v>2.724E-2</v>
      </c>
      <c r="Y62" s="88">
        <v>2.724E-2</v>
      </c>
      <c r="Z62" s="88">
        <v>3.4110000000000001E-2</v>
      </c>
      <c r="AA62" s="88">
        <v>4.1090000000000002E-2</v>
      </c>
      <c r="AB62" s="88">
        <v>2.724E-2</v>
      </c>
      <c r="AC62" s="88">
        <v>4.3470000000000002E-2</v>
      </c>
      <c r="AD62" s="88">
        <v>5.382E-2</v>
      </c>
      <c r="AE62" s="88">
        <v>2.724E-2</v>
      </c>
      <c r="AF62" s="88">
        <v>2.724E-2</v>
      </c>
      <c r="AG62" s="88">
        <v>2.724E-2</v>
      </c>
      <c r="AH62" s="88">
        <v>3.4889999999999997E-2</v>
      </c>
      <c r="AI62" s="88">
        <v>1.5570000000000001E-2</v>
      </c>
      <c r="AJ62" s="88">
        <v>1.0659999999999999E-2</v>
      </c>
      <c r="AK62" s="88">
        <v>3.5380000000000002E-2</v>
      </c>
      <c r="AL62" s="88">
        <v>6.7919999999999994E-2</v>
      </c>
      <c r="AM62" s="88">
        <v>2.7949999999999999E-2</v>
      </c>
      <c r="AN62" s="88">
        <v>4.2509999999999999E-2</v>
      </c>
      <c r="AO62" s="88">
        <v>4.3540000000000002E-2</v>
      </c>
      <c r="AP62" s="88">
        <v>5.1110000000000003E-2</v>
      </c>
      <c r="AQ62" s="88">
        <v>3.4430000000000002E-2</v>
      </c>
      <c r="AR62" s="88">
        <v>5.9520000000000003E-2</v>
      </c>
      <c r="AS62" s="88">
        <v>1.481E-2</v>
      </c>
      <c r="AT62" s="88">
        <v>4.3200000000000002E-2</v>
      </c>
      <c r="AU62" s="88">
        <v>6.7180000000000004E-2</v>
      </c>
      <c r="AV62" s="88">
        <v>4.2040000000000001E-2</v>
      </c>
      <c r="AW62" s="88">
        <v>3.4209999999999997E-2</v>
      </c>
      <c r="AX62" s="88">
        <v>6.6850000000000007E-2</v>
      </c>
      <c r="AY62" s="88">
        <v>2.9729999999999999E-2</v>
      </c>
      <c r="AZ62" s="88">
        <v>3.1559999999999998E-2</v>
      </c>
      <c r="BA62" s="88">
        <v>3.6290000000000003E-2</v>
      </c>
      <c r="BB62" s="88">
        <v>6.9620000000000001E-2</v>
      </c>
      <c r="BC62" s="88">
        <v>2.461E-2</v>
      </c>
      <c r="BD62" s="89"/>
      <c r="BE62" s="83"/>
    </row>
    <row r="63" spans="1:57" x14ac:dyDescent="0.25">
      <c r="A63" s="84">
        <f t="shared" si="0"/>
        <v>61</v>
      </c>
      <c r="B63" s="83">
        <v>51</v>
      </c>
      <c r="C63" s="86">
        <v>2.7519999999999999E-2</v>
      </c>
      <c r="D63" s="86">
        <v>2.7519999999999999E-2</v>
      </c>
      <c r="E63" s="86">
        <v>2.7519999999999999E-2</v>
      </c>
      <c r="F63" s="86">
        <v>2.7269999999999999E-2</v>
      </c>
      <c r="G63" s="86">
        <v>3.8150000000000003E-2</v>
      </c>
      <c r="H63" s="86">
        <v>2.7519999999999999E-2</v>
      </c>
      <c r="I63" s="86">
        <v>3.031E-2</v>
      </c>
      <c r="J63" s="86">
        <v>2.7470000000000001E-2</v>
      </c>
      <c r="K63" s="86">
        <v>2.7519999999999999E-2</v>
      </c>
      <c r="L63" s="86">
        <v>2.7519999999999999E-2</v>
      </c>
      <c r="M63" s="86">
        <v>2.7519999999999999E-2</v>
      </c>
      <c r="N63" s="86">
        <v>2.7519999999999999E-2</v>
      </c>
      <c r="O63" s="86">
        <v>2.7519999999999999E-2</v>
      </c>
      <c r="P63" s="86">
        <v>4.3229999999999998E-2</v>
      </c>
      <c r="Q63" s="86">
        <v>4.4240000000000002E-2</v>
      </c>
      <c r="R63" s="86">
        <v>2.7519999999999999E-2</v>
      </c>
      <c r="S63" s="86">
        <v>2.7519999999999999E-2</v>
      </c>
      <c r="T63" s="86">
        <v>2.7519999999999999E-2</v>
      </c>
      <c r="U63" s="86">
        <v>1.5879999999999998E-2</v>
      </c>
      <c r="V63" s="86">
        <v>2.7519999999999999E-2</v>
      </c>
      <c r="W63" s="86">
        <v>2.7519999999999999E-2</v>
      </c>
      <c r="X63" s="86">
        <v>2.7519999999999999E-2</v>
      </c>
      <c r="Y63" s="86">
        <v>2.7519999999999999E-2</v>
      </c>
      <c r="Z63" s="86">
        <v>3.4259999999999999E-2</v>
      </c>
      <c r="AA63" s="86">
        <v>4.1110000000000001E-2</v>
      </c>
      <c r="AB63" s="86">
        <v>2.7519999999999999E-2</v>
      </c>
      <c r="AC63" s="86">
        <v>4.3439999999999999E-2</v>
      </c>
      <c r="AD63" s="86">
        <v>5.3589999999999999E-2</v>
      </c>
      <c r="AE63" s="86">
        <v>2.7519999999999999E-2</v>
      </c>
      <c r="AF63" s="86">
        <v>2.7519999999999999E-2</v>
      </c>
      <c r="AG63" s="86">
        <v>2.7519999999999999E-2</v>
      </c>
      <c r="AH63" s="86">
        <v>3.5029999999999999E-2</v>
      </c>
      <c r="AI63" s="86">
        <v>1.5879999999999998E-2</v>
      </c>
      <c r="AJ63" s="86">
        <v>1.078E-2</v>
      </c>
      <c r="AK63" s="86">
        <v>3.5490000000000001E-2</v>
      </c>
      <c r="AL63" s="86">
        <v>6.7610000000000003E-2</v>
      </c>
      <c r="AM63" s="86">
        <v>2.8199999999999999E-2</v>
      </c>
      <c r="AN63" s="86">
        <v>4.2509999999999999E-2</v>
      </c>
      <c r="AO63" s="86">
        <v>4.351E-2</v>
      </c>
      <c r="AP63" s="86">
        <v>5.0939999999999999E-2</v>
      </c>
      <c r="AQ63" s="86">
        <v>3.458E-2</v>
      </c>
      <c r="AR63" s="86">
        <v>5.9380000000000002E-2</v>
      </c>
      <c r="AS63" s="86">
        <v>1.512E-2</v>
      </c>
      <c r="AT63" s="86">
        <v>4.3180000000000003E-2</v>
      </c>
      <c r="AU63" s="86">
        <v>6.6890000000000005E-2</v>
      </c>
      <c r="AV63" s="86">
        <v>4.2040000000000001E-2</v>
      </c>
      <c r="AW63" s="86">
        <v>3.4349999999999999E-2</v>
      </c>
      <c r="AX63" s="86">
        <v>6.6570000000000004E-2</v>
      </c>
      <c r="AY63" s="86">
        <v>2.9960000000000001E-2</v>
      </c>
      <c r="AZ63" s="86">
        <v>3.1759999999999997E-2</v>
      </c>
      <c r="BA63" s="86">
        <v>3.6400000000000002E-2</v>
      </c>
      <c r="BB63" s="86">
        <v>6.9269999999999998E-2</v>
      </c>
      <c r="BC63" s="86">
        <v>2.47E-2</v>
      </c>
      <c r="BD63" s="89"/>
      <c r="BE63" s="83"/>
    </row>
    <row r="64" spans="1:57" x14ac:dyDescent="0.25">
      <c r="A64" s="84">
        <f t="shared" si="0"/>
        <v>62</v>
      </c>
      <c r="B64" s="83">
        <v>52</v>
      </c>
      <c r="C64" s="86">
        <v>2.7789999999999999E-2</v>
      </c>
      <c r="D64" s="86">
        <v>2.7789999999999999E-2</v>
      </c>
      <c r="E64" s="86">
        <v>2.7789999999999999E-2</v>
      </c>
      <c r="F64" s="86">
        <v>2.7550000000000002E-2</v>
      </c>
      <c r="G64" s="86">
        <v>3.8219999999999997E-2</v>
      </c>
      <c r="H64" s="86">
        <v>2.7789999999999999E-2</v>
      </c>
      <c r="I64" s="86">
        <v>3.0530000000000002E-2</v>
      </c>
      <c r="J64" s="86">
        <v>2.7740000000000001E-2</v>
      </c>
      <c r="K64" s="86">
        <v>2.7789999999999999E-2</v>
      </c>
      <c r="L64" s="86">
        <v>2.7789999999999999E-2</v>
      </c>
      <c r="M64" s="86">
        <v>2.7789999999999999E-2</v>
      </c>
      <c r="N64" s="86">
        <v>2.7789999999999999E-2</v>
      </c>
      <c r="O64" s="86">
        <v>2.7789999999999999E-2</v>
      </c>
      <c r="P64" s="86">
        <v>4.3209999999999998E-2</v>
      </c>
      <c r="Q64" s="86">
        <v>4.4200000000000003E-2</v>
      </c>
      <c r="R64" s="86">
        <v>2.7789999999999999E-2</v>
      </c>
      <c r="S64" s="86">
        <v>2.7789999999999999E-2</v>
      </c>
      <c r="T64" s="86">
        <v>2.7789999999999999E-2</v>
      </c>
      <c r="U64" s="86">
        <v>1.617E-2</v>
      </c>
      <c r="V64" s="86">
        <v>2.7789999999999999E-2</v>
      </c>
      <c r="W64" s="86">
        <v>2.7789999999999999E-2</v>
      </c>
      <c r="X64" s="86">
        <v>2.7789999999999999E-2</v>
      </c>
      <c r="Y64" s="86">
        <v>2.7789999999999999E-2</v>
      </c>
      <c r="Z64" s="86">
        <v>3.44E-2</v>
      </c>
      <c r="AA64" s="86">
        <v>4.113E-2</v>
      </c>
      <c r="AB64" s="86">
        <v>2.7789999999999999E-2</v>
      </c>
      <c r="AC64" s="86">
        <v>4.342E-2</v>
      </c>
      <c r="AD64" s="86">
        <v>5.3370000000000001E-2</v>
      </c>
      <c r="AE64" s="86">
        <v>2.7789999999999999E-2</v>
      </c>
      <c r="AF64" s="86">
        <v>2.7789999999999999E-2</v>
      </c>
      <c r="AG64" s="86">
        <v>2.7789999999999999E-2</v>
      </c>
      <c r="AH64" s="86">
        <v>3.5159999999999997E-2</v>
      </c>
      <c r="AI64" s="86">
        <v>1.617E-2</v>
      </c>
      <c r="AJ64" s="86">
        <v>1.0959999999999999E-2</v>
      </c>
      <c r="AK64" s="86">
        <v>3.56E-2</v>
      </c>
      <c r="AL64" s="86">
        <v>6.7320000000000005E-2</v>
      </c>
      <c r="AM64" s="86">
        <v>2.845E-2</v>
      </c>
      <c r="AN64" s="86">
        <v>4.2500000000000003E-2</v>
      </c>
      <c r="AO64" s="86">
        <v>4.3490000000000001E-2</v>
      </c>
      <c r="AP64" s="86">
        <v>5.0770000000000003E-2</v>
      </c>
      <c r="AQ64" s="86">
        <v>3.4709999999999998E-2</v>
      </c>
      <c r="AR64" s="86">
        <v>5.9240000000000001E-2</v>
      </c>
      <c r="AS64" s="86">
        <v>1.542E-2</v>
      </c>
      <c r="AT64" s="86">
        <v>4.3159999999999997E-2</v>
      </c>
      <c r="AU64" s="86">
        <v>6.6610000000000003E-2</v>
      </c>
      <c r="AV64" s="86">
        <v>4.2040000000000001E-2</v>
      </c>
      <c r="AW64" s="86">
        <v>3.449E-2</v>
      </c>
      <c r="AX64" s="86">
        <v>6.6290000000000002E-2</v>
      </c>
      <c r="AY64" s="86">
        <v>3.0190000000000002E-2</v>
      </c>
      <c r="AZ64" s="86">
        <v>3.1949999999999999E-2</v>
      </c>
      <c r="BA64" s="86">
        <v>3.6499999999999998E-2</v>
      </c>
      <c r="BB64" s="86">
        <v>6.8949999999999997E-2</v>
      </c>
      <c r="BC64" s="86">
        <v>2.4809999999999999E-2</v>
      </c>
      <c r="BD64" s="89"/>
      <c r="BE64" s="83"/>
    </row>
    <row r="65" spans="1:57" x14ac:dyDescent="0.25">
      <c r="A65" s="84">
        <f t="shared" si="0"/>
        <v>63</v>
      </c>
      <c r="B65" s="83">
        <v>53</v>
      </c>
      <c r="C65" s="86">
        <v>2.8049999999999999E-2</v>
      </c>
      <c r="D65" s="86">
        <v>2.8049999999999999E-2</v>
      </c>
      <c r="E65" s="86">
        <v>2.8049999999999999E-2</v>
      </c>
      <c r="F65" s="86">
        <v>2.7810000000000001E-2</v>
      </c>
      <c r="G65" s="86">
        <v>3.8289999999999998E-2</v>
      </c>
      <c r="H65" s="86">
        <v>2.8049999999999999E-2</v>
      </c>
      <c r="I65" s="86">
        <v>3.074E-2</v>
      </c>
      <c r="J65" s="86">
        <v>2.801E-2</v>
      </c>
      <c r="K65" s="86">
        <v>2.8049999999999999E-2</v>
      </c>
      <c r="L65" s="86">
        <v>2.8049999999999999E-2</v>
      </c>
      <c r="M65" s="86">
        <v>2.8049999999999999E-2</v>
      </c>
      <c r="N65" s="86">
        <v>2.8049999999999999E-2</v>
      </c>
      <c r="O65" s="86">
        <v>2.8049999999999999E-2</v>
      </c>
      <c r="P65" s="86">
        <v>4.3189999999999999E-2</v>
      </c>
      <c r="Q65" s="86">
        <v>4.4170000000000001E-2</v>
      </c>
      <c r="R65" s="86">
        <v>2.8049999999999999E-2</v>
      </c>
      <c r="S65" s="86">
        <v>2.8049999999999999E-2</v>
      </c>
      <c r="T65" s="86">
        <v>2.8049999999999999E-2</v>
      </c>
      <c r="U65" s="86">
        <v>1.6459999999999999E-2</v>
      </c>
      <c r="V65" s="86">
        <v>2.8049999999999999E-2</v>
      </c>
      <c r="W65" s="86">
        <v>2.8049999999999999E-2</v>
      </c>
      <c r="X65" s="86">
        <v>2.8049999999999999E-2</v>
      </c>
      <c r="Y65" s="86">
        <v>2.8049999999999999E-2</v>
      </c>
      <c r="Z65" s="86">
        <v>3.4540000000000001E-2</v>
      </c>
      <c r="AA65" s="86">
        <v>4.1149999999999999E-2</v>
      </c>
      <c r="AB65" s="86">
        <v>2.8049999999999999E-2</v>
      </c>
      <c r="AC65" s="86">
        <v>4.3400000000000001E-2</v>
      </c>
      <c r="AD65" s="86">
        <v>5.3159999999999999E-2</v>
      </c>
      <c r="AE65" s="86">
        <v>2.8049999999999999E-2</v>
      </c>
      <c r="AF65" s="86">
        <v>2.8049999999999999E-2</v>
      </c>
      <c r="AG65" s="86">
        <v>2.8049999999999999E-2</v>
      </c>
      <c r="AH65" s="86">
        <v>3.5290000000000002E-2</v>
      </c>
      <c r="AI65" s="86">
        <v>1.6459999999999999E-2</v>
      </c>
      <c r="AJ65" s="86">
        <v>1.12E-2</v>
      </c>
      <c r="AK65" s="86">
        <v>3.5709999999999999E-2</v>
      </c>
      <c r="AL65" s="86">
        <v>6.7030000000000006E-2</v>
      </c>
      <c r="AM65" s="86">
        <v>2.8680000000000001E-2</v>
      </c>
      <c r="AN65" s="86">
        <v>4.2500000000000003E-2</v>
      </c>
      <c r="AO65" s="86">
        <v>4.3459999999999999E-2</v>
      </c>
      <c r="AP65" s="86">
        <v>5.0610000000000002E-2</v>
      </c>
      <c r="AQ65" s="86">
        <v>3.4849999999999999E-2</v>
      </c>
      <c r="AR65" s="86">
        <v>5.9110000000000003E-2</v>
      </c>
      <c r="AS65" s="86">
        <v>1.5720000000000001E-2</v>
      </c>
      <c r="AT65" s="86">
        <v>4.3139999999999998E-2</v>
      </c>
      <c r="AU65" s="86">
        <v>6.6339999999999996E-2</v>
      </c>
      <c r="AV65" s="86">
        <v>4.2049999999999997E-2</v>
      </c>
      <c r="AW65" s="86">
        <v>3.4630000000000001E-2</v>
      </c>
      <c r="AX65" s="86">
        <v>6.6030000000000005E-2</v>
      </c>
      <c r="AY65" s="86">
        <v>3.04E-2</v>
      </c>
      <c r="AZ65" s="86">
        <v>3.2129999999999999E-2</v>
      </c>
      <c r="BA65" s="86">
        <v>3.6600000000000001E-2</v>
      </c>
      <c r="BB65" s="86">
        <v>6.8629999999999997E-2</v>
      </c>
      <c r="BC65" s="86">
        <v>2.495E-2</v>
      </c>
      <c r="BD65" s="89"/>
      <c r="BE65" s="83"/>
    </row>
    <row r="66" spans="1:57" x14ac:dyDescent="0.25">
      <c r="A66" s="84">
        <f t="shared" si="0"/>
        <v>64</v>
      </c>
      <c r="B66" s="83">
        <v>54</v>
      </c>
      <c r="C66" s="86">
        <v>2.8309999999999998E-2</v>
      </c>
      <c r="D66" s="86">
        <v>2.8309999999999998E-2</v>
      </c>
      <c r="E66" s="86">
        <v>2.8309999999999998E-2</v>
      </c>
      <c r="F66" s="86">
        <v>2.8070000000000001E-2</v>
      </c>
      <c r="G66" s="86">
        <v>3.8350000000000002E-2</v>
      </c>
      <c r="H66" s="86">
        <v>2.8309999999999998E-2</v>
      </c>
      <c r="I66" s="86">
        <v>3.0939999999999999E-2</v>
      </c>
      <c r="J66" s="86">
        <v>2.826E-2</v>
      </c>
      <c r="K66" s="86">
        <v>2.8309999999999998E-2</v>
      </c>
      <c r="L66" s="86">
        <v>2.8309999999999998E-2</v>
      </c>
      <c r="M66" s="86">
        <v>2.8309999999999998E-2</v>
      </c>
      <c r="N66" s="86">
        <v>2.8309999999999998E-2</v>
      </c>
      <c r="O66" s="86">
        <v>2.8309999999999998E-2</v>
      </c>
      <c r="P66" s="86">
        <v>4.3180000000000003E-2</v>
      </c>
      <c r="Q66" s="86">
        <v>4.4130000000000003E-2</v>
      </c>
      <c r="R66" s="86">
        <v>2.8309999999999998E-2</v>
      </c>
      <c r="S66" s="86">
        <v>2.8309999999999998E-2</v>
      </c>
      <c r="T66" s="86">
        <v>2.8309999999999998E-2</v>
      </c>
      <c r="U66" s="86">
        <v>1.6740000000000001E-2</v>
      </c>
      <c r="V66" s="86">
        <v>2.8309999999999998E-2</v>
      </c>
      <c r="W66" s="86">
        <v>2.8309999999999998E-2</v>
      </c>
      <c r="X66" s="86">
        <v>2.8309999999999998E-2</v>
      </c>
      <c r="Y66" s="86">
        <v>2.8309999999999998E-2</v>
      </c>
      <c r="Z66" s="86">
        <v>3.4669999999999999E-2</v>
      </c>
      <c r="AA66" s="86">
        <v>4.1169999999999998E-2</v>
      </c>
      <c r="AB66" s="86">
        <v>2.8309999999999998E-2</v>
      </c>
      <c r="AC66" s="86">
        <v>4.3369999999999999E-2</v>
      </c>
      <c r="AD66" s="86">
        <v>5.296E-2</v>
      </c>
      <c r="AE66" s="86">
        <v>2.8309999999999998E-2</v>
      </c>
      <c r="AF66" s="86">
        <v>2.8309999999999998E-2</v>
      </c>
      <c r="AG66" s="86">
        <v>2.8309999999999998E-2</v>
      </c>
      <c r="AH66" s="86">
        <v>3.5409999999999997E-2</v>
      </c>
      <c r="AI66" s="86">
        <v>1.6740000000000001E-2</v>
      </c>
      <c r="AJ66" s="86">
        <v>1.1469999999999999E-2</v>
      </c>
      <c r="AK66" s="86">
        <v>3.5810000000000002E-2</v>
      </c>
      <c r="AL66" s="86">
        <v>6.6750000000000004E-2</v>
      </c>
      <c r="AM66" s="86">
        <v>2.8910000000000002E-2</v>
      </c>
      <c r="AN66" s="86">
        <v>4.249E-2</v>
      </c>
      <c r="AO66" s="86">
        <v>4.3439999999999999E-2</v>
      </c>
      <c r="AP66" s="86">
        <v>5.0459999999999998E-2</v>
      </c>
      <c r="AQ66" s="86">
        <v>3.4979999999999997E-2</v>
      </c>
      <c r="AR66" s="86">
        <v>5.8979999999999998E-2</v>
      </c>
      <c r="AS66" s="86">
        <v>1.6E-2</v>
      </c>
      <c r="AT66" s="86">
        <v>4.3119999999999999E-2</v>
      </c>
      <c r="AU66" s="86">
        <v>6.6070000000000004E-2</v>
      </c>
      <c r="AV66" s="86">
        <v>4.2049999999999997E-2</v>
      </c>
      <c r="AW66" s="86">
        <v>3.4759999999999999E-2</v>
      </c>
      <c r="AX66" s="86">
        <v>6.5769999999999995E-2</v>
      </c>
      <c r="AY66" s="86">
        <v>3.0609999999999998E-2</v>
      </c>
      <c r="AZ66" s="86">
        <v>3.2309999999999998E-2</v>
      </c>
      <c r="BA66" s="86">
        <v>3.6700000000000003E-2</v>
      </c>
      <c r="BB66" s="86">
        <v>6.8320000000000006E-2</v>
      </c>
      <c r="BC66" s="86">
        <v>2.5100000000000001E-2</v>
      </c>
      <c r="BD66" s="89"/>
      <c r="BE66" s="83"/>
    </row>
    <row r="67" spans="1:57" x14ac:dyDescent="0.25">
      <c r="A67" s="84">
        <f t="shared" si="0"/>
        <v>65</v>
      </c>
      <c r="B67" s="87">
        <v>55</v>
      </c>
      <c r="C67" s="88">
        <v>2.8549999999999999E-2</v>
      </c>
      <c r="D67" s="88">
        <v>2.8549999999999999E-2</v>
      </c>
      <c r="E67" s="88">
        <v>2.8549999999999999E-2</v>
      </c>
      <c r="F67" s="88">
        <v>2.8320000000000001E-2</v>
      </c>
      <c r="G67" s="88">
        <v>3.8420000000000003E-2</v>
      </c>
      <c r="H67" s="88">
        <v>2.8549999999999999E-2</v>
      </c>
      <c r="I67" s="88">
        <v>3.1140000000000001E-2</v>
      </c>
      <c r="J67" s="88">
        <v>2.8500000000000001E-2</v>
      </c>
      <c r="K67" s="88">
        <v>2.8549999999999999E-2</v>
      </c>
      <c r="L67" s="88">
        <v>2.8549999999999999E-2</v>
      </c>
      <c r="M67" s="88">
        <v>2.8549999999999999E-2</v>
      </c>
      <c r="N67" s="88">
        <v>2.8549999999999999E-2</v>
      </c>
      <c r="O67" s="88">
        <v>2.8549999999999999E-2</v>
      </c>
      <c r="P67" s="88">
        <v>4.3159999999999997E-2</v>
      </c>
      <c r="Q67" s="88">
        <v>4.4089999999999997E-2</v>
      </c>
      <c r="R67" s="88">
        <v>2.8549999999999999E-2</v>
      </c>
      <c r="S67" s="88">
        <v>2.8549999999999999E-2</v>
      </c>
      <c r="T67" s="88">
        <v>2.8549999999999999E-2</v>
      </c>
      <c r="U67" s="88">
        <v>1.7010000000000001E-2</v>
      </c>
      <c r="V67" s="88">
        <v>2.8549999999999999E-2</v>
      </c>
      <c r="W67" s="88">
        <v>2.8549999999999999E-2</v>
      </c>
      <c r="X67" s="88">
        <v>2.8549999999999999E-2</v>
      </c>
      <c r="Y67" s="88">
        <v>2.8549999999999999E-2</v>
      </c>
      <c r="Z67" s="88">
        <v>3.4799999999999998E-2</v>
      </c>
      <c r="AA67" s="88">
        <v>4.1180000000000001E-2</v>
      </c>
      <c r="AB67" s="88">
        <v>2.8549999999999999E-2</v>
      </c>
      <c r="AC67" s="88">
        <v>4.335E-2</v>
      </c>
      <c r="AD67" s="88">
        <v>5.2760000000000001E-2</v>
      </c>
      <c r="AE67" s="88">
        <v>2.8549999999999999E-2</v>
      </c>
      <c r="AF67" s="88">
        <v>2.8549999999999999E-2</v>
      </c>
      <c r="AG67" s="88">
        <v>2.8549999999999999E-2</v>
      </c>
      <c r="AH67" s="88">
        <v>3.5529999999999999E-2</v>
      </c>
      <c r="AI67" s="88">
        <v>1.7010000000000001E-2</v>
      </c>
      <c r="AJ67" s="88">
        <v>1.1780000000000001E-2</v>
      </c>
      <c r="AK67" s="88">
        <v>3.5909999999999997E-2</v>
      </c>
      <c r="AL67" s="88">
        <v>6.6489999999999994E-2</v>
      </c>
      <c r="AM67" s="88">
        <v>2.9139999999999999E-2</v>
      </c>
      <c r="AN67" s="88">
        <v>4.2479999999999997E-2</v>
      </c>
      <c r="AO67" s="88">
        <v>4.342E-2</v>
      </c>
      <c r="AP67" s="88">
        <v>5.0299999999999997E-2</v>
      </c>
      <c r="AQ67" s="88">
        <v>3.5099999999999999E-2</v>
      </c>
      <c r="AR67" s="88">
        <v>5.8860000000000003E-2</v>
      </c>
      <c r="AS67" s="88">
        <v>1.6279999999999999E-2</v>
      </c>
      <c r="AT67" s="88">
        <v>4.3099999999999999E-2</v>
      </c>
      <c r="AU67" s="88">
        <v>6.5820000000000004E-2</v>
      </c>
      <c r="AV67" s="88">
        <v>4.2049999999999997E-2</v>
      </c>
      <c r="AW67" s="88">
        <v>3.4889999999999997E-2</v>
      </c>
      <c r="AX67" s="88">
        <v>6.5519999999999995E-2</v>
      </c>
      <c r="AY67" s="88">
        <v>3.0810000000000001E-2</v>
      </c>
      <c r="AZ67" s="88">
        <v>3.2480000000000002E-2</v>
      </c>
      <c r="BA67" s="88">
        <v>3.6790000000000003E-2</v>
      </c>
      <c r="BB67" s="88">
        <v>6.8029999999999993E-2</v>
      </c>
      <c r="BC67" s="88">
        <v>2.5270000000000001E-2</v>
      </c>
      <c r="BD67" s="89"/>
      <c r="BE67" s="83"/>
    </row>
    <row r="68" spans="1:57" x14ac:dyDescent="0.25">
      <c r="A68" s="84">
        <f t="shared" si="0"/>
        <v>66</v>
      </c>
      <c r="B68" s="83">
        <v>56</v>
      </c>
      <c r="C68" s="86">
        <v>2.879E-2</v>
      </c>
      <c r="D68" s="86">
        <v>2.879E-2</v>
      </c>
      <c r="E68" s="86">
        <v>2.879E-2</v>
      </c>
      <c r="F68" s="86">
        <v>2.8559999999999999E-2</v>
      </c>
      <c r="G68" s="86">
        <v>3.848E-2</v>
      </c>
      <c r="H68" s="86">
        <v>2.879E-2</v>
      </c>
      <c r="I68" s="86">
        <v>3.1329999999999997E-2</v>
      </c>
      <c r="J68" s="86">
        <v>2.8740000000000002E-2</v>
      </c>
      <c r="K68" s="86">
        <v>2.879E-2</v>
      </c>
      <c r="L68" s="86">
        <v>2.879E-2</v>
      </c>
      <c r="M68" s="86">
        <v>2.879E-2</v>
      </c>
      <c r="N68" s="86">
        <v>2.879E-2</v>
      </c>
      <c r="O68" s="86">
        <v>2.879E-2</v>
      </c>
      <c r="P68" s="86">
        <v>4.3139999999999998E-2</v>
      </c>
      <c r="Q68" s="86">
        <v>4.4060000000000002E-2</v>
      </c>
      <c r="R68" s="86">
        <v>2.879E-2</v>
      </c>
      <c r="S68" s="86">
        <v>2.879E-2</v>
      </c>
      <c r="T68" s="86">
        <v>2.879E-2</v>
      </c>
      <c r="U68" s="86">
        <v>1.7270000000000001E-2</v>
      </c>
      <c r="V68" s="86">
        <v>2.879E-2</v>
      </c>
      <c r="W68" s="86">
        <v>2.879E-2</v>
      </c>
      <c r="X68" s="86">
        <v>2.879E-2</v>
      </c>
      <c r="Y68" s="86">
        <v>2.879E-2</v>
      </c>
      <c r="Z68" s="86">
        <v>3.4930000000000003E-2</v>
      </c>
      <c r="AA68" s="86">
        <v>4.1200000000000001E-2</v>
      </c>
      <c r="AB68" s="86">
        <v>2.879E-2</v>
      </c>
      <c r="AC68" s="86">
        <v>4.333E-2</v>
      </c>
      <c r="AD68" s="86">
        <v>5.2569999999999999E-2</v>
      </c>
      <c r="AE68" s="86">
        <v>2.879E-2</v>
      </c>
      <c r="AF68" s="86">
        <v>2.879E-2</v>
      </c>
      <c r="AG68" s="86">
        <v>2.879E-2</v>
      </c>
      <c r="AH68" s="86">
        <v>3.5650000000000001E-2</v>
      </c>
      <c r="AI68" s="86">
        <v>1.7270000000000001E-2</v>
      </c>
      <c r="AJ68" s="86">
        <v>1.21E-2</v>
      </c>
      <c r="AK68" s="86">
        <v>3.601E-2</v>
      </c>
      <c r="AL68" s="86">
        <v>6.6229999999999997E-2</v>
      </c>
      <c r="AM68" s="86">
        <v>2.9360000000000001E-2</v>
      </c>
      <c r="AN68" s="86">
        <v>4.2479999999999997E-2</v>
      </c>
      <c r="AO68" s="86">
        <v>4.3389999999999998E-2</v>
      </c>
      <c r="AP68" s="86">
        <v>5.0160000000000003E-2</v>
      </c>
      <c r="AQ68" s="86">
        <v>3.5220000000000001E-2</v>
      </c>
      <c r="AR68" s="86">
        <v>5.8740000000000001E-2</v>
      </c>
      <c r="AS68" s="86">
        <v>1.6539999999999999E-2</v>
      </c>
      <c r="AT68" s="86">
        <v>4.3090000000000003E-2</v>
      </c>
      <c r="AU68" s="86">
        <v>6.5579999999999999E-2</v>
      </c>
      <c r="AV68" s="86">
        <v>4.206E-2</v>
      </c>
      <c r="AW68" s="86">
        <v>3.5009999999999999E-2</v>
      </c>
      <c r="AX68" s="86">
        <v>6.5280000000000005E-2</v>
      </c>
      <c r="AY68" s="86">
        <v>3.1009999999999999E-2</v>
      </c>
      <c r="AZ68" s="86">
        <v>3.2649999999999998E-2</v>
      </c>
      <c r="BA68" s="86">
        <v>3.6880000000000003E-2</v>
      </c>
      <c r="BB68" s="86">
        <v>6.7739999999999995E-2</v>
      </c>
      <c r="BC68" s="86">
        <v>2.5440000000000001E-2</v>
      </c>
      <c r="BD68" s="89"/>
      <c r="BE68" s="83"/>
    </row>
    <row r="69" spans="1:57" x14ac:dyDescent="0.25">
      <c r="A69" s="84">
        <f t="shared" ref="A69:A132" si="1">A68+1</f>
        <v>67</v>
      </c>
      <c r="B69" s="83">
        <v>57</v>
      </c>
      <c r="C69" s="86">
        <v>2.9010000000000001E-2</v>
      </c>
      <c r="D69" s="86">
        <v>2.9010000000000001E-2</v>
      </c>
      <c r="E69" s="86">
        <v>2.9010000000000001E-2</v>
      </c>
      <c r="F69" s="86">
        <v>2.879E-2</v>
      </c>
      <c r="G69" s="86">
        <v>3.8539999999999998E-2</v>
      </c>
      <c r="H69" s="86">
        <v>2.9010000000000001E-2</v>
      </c>
      <c r="I69" s="86">
        <v>3.1510000000000003E-2</v>
      </c>
      <c r="J69" s="86">
        <v>2.8969999999999999E-2</v>
      </c>
      <c r="K69" s="86">
        <v>2.9010000000000001E-2</v>
      </c>
      <c r="L69" s="86">
        <v>2.9010000000000001E-2</v>
      </c>
      <c r="M69" s="86">
        <v>2.9010000000000001E-2</v>
      </c>
      <c r="N69" s="86">
        <v>2.9010000000000001E-2</v>
      </c>
      <c r="O69" s="86">
        <v>2.9010000000000001E-2</v>
      </c>
      <c r="P69" s="86">
        <v>4.3119999999999999E-2</v>
      </c>
      <c r="Q69" s="86">
        <v>4.4019999999999997E-2</v>
      </c>
      <c r="R69" s="86">
        <v>2.9010000000000001E-2</v>
      </c>
      <c r="S69" s="86">
        <v>2.9010000000000001E-2</v>
      </c>
      <c r="T69" s="86">
        <v>2.9010000000000001E-2</v>
      </c>
      <c r="U69" s="86">
        <v>1.7520000000000001E-2</v>
      </c>
      <c r="V69" s="86">
        <v>2.9010000000000001E-2</v>
      </c>
      <c r="W69" s="86">
        <v>2.9010000000000001E-2</v>
      </c>
      <c r="X69" s="86">
        <v>2.9010000000000001E-2</v>
      </c>
      <c r="Y69" s="86">
        <v>2.9010000000000001E-2</v>
      </c>
      <c r="Z69" s="86">
        <v>3.5049999999999998E-2</v>
      </c>
      <c r="AA69" s="86">
        <v>4.122E-2</v>
      </c>
      <c r="AB69" s="86">
        <v>2.9010000000000001E-2</v>
      </c>
      <c r="AC69" s="86">
        <v>4.3310000000000001E-2</v>
      </c>
      <c r="AD69" s="86">
        <v>5.2389999999999999E-2</v>
      </c>
      <c r="AE69" s="86">
        <v>2.9010000000000001E-2</v>
      </c>
      <c r="AF69" s="86">
        <v>2.9010000000000001E-2</v>
      </c>
      <c r="AG69" s="86">
        <v>2.9010000000000001E-2</v>
      </c>
      <c r="AH69" s="86">
        <v>3.576E-2</v>
      </c>
      <c r="AI69" s="86">
        <v>1.7520000000000001E-2</v>
      </c>
      <c r="AJ69" s="86">
        <v>1.2449999999999999E-2</v>
      </c>
      <c r="AK69" s="86">
        <v>3.6110000000000003E-2</v>
      </c>
      <c r="AL69" s="86">
        <v>6.5979999999999997E-2</v>
      </c>
      <c r="AM69" s="86">
        <v>2.9569999999999999E-2</v>
      </c>
      <c r="AN69" s="86">
        <v>4.2470000000000001E-2</v>
      </c>
      <c r="AO69" s="86">
        <v>4.3369999999999999E-2</v>
      </c>
      <c r="AP69" s="86">
        <v>5.0020000000000002E-2</v>
      </c>
      <c r="AQ69" s="86">
        <v>3.533E-2</v>
      </c>
      <c r="AR69" s="86">
        <v>5.8619999999999998E-2</v>
      </c>
      <c r="AS69" s="86">
        <v>1.6799999999999999E-2</v>
      </c>
      <c r="AT69" s="86">
        <v>4.3069999999999997E-2</v>
      </c>
      <c r="AU69" s="86">
        <v>6.5339999999999995E-2</v>
      </c>
      <c r="AV69" s="86">
        <v>4.206E-2</v>
      </c>
      <c r="AW69" s="86">
        <v>3.5130000000000002E-2</v>
      </c>
      <c r="AX69" s="86">
        <v>6.5049999999999997E-2</v>
      </c>
      <c r="AY69" s="86">
        <v>3.1199999999999999E-2</v>
      </c>
      <c r="AZ69" s="86">
        <v>3.2809999999999999E-2</v>
      </c>
      <c r="BA69" s="86">
        <v>3.6970000000000003E-2</v>
      </c>
      <c r="BB69" s="86">
        <v>6.7470000000000002E-2</v>
      </c>
      <c r="BC69" s="86">
        <v>2.563E-2</v>
      </c>
      <c r="BD69" s="89"/>
      <c r="BE69" s="83"/>
    </row>
    <row r="70" spans="1:57" x14ac:dyDescent="0.25">
      <c r="A70" s="84">
        <f t="shared" si="1"/>
        <v>68</v>
      </c>
      <c r="B70" s="83">
        <v>58</v>
      </c>
      <c r="C70" s="86">
        <v>2.9229999999999999E-2</v>
      </c>
      <c r="D70" s="86">
        <v>2.9229999999999999E-2</v>
      </c>
      <c r="E70" s="86">
        <v>2.9229999999999999E-2</v>
      </c>
      <c r="F70" s="86">
        <v>2.9010000000000001E-2</v>
      </c>
      <c r="G70" s="86">
        <v>3.8589999999999999E-2</v>
      </c>
      <c r="H70" s="86">
        <v>2.9229999999999999E-2</v>
      </c>
      <c r="I70" s="86">
        <v>3.1690000000000003E-2</v>
      </c>
      <c r="J70" s="86">
        <v>2.9190000000000001E-2</v>
      </c>
      <c r="K70" s="86">
        <v>2.9229999999999999E-2</v>
      </c>
      <c r="L70" s="86">
        <v>2.9229999999999999E-2</v>
      </c>
      <c r="M70" s="86">
        <v>2.9229999999999999E-2</v>
      </c>
      <c r="N70" s="86">
        <v>2.9229999999999999E-2</v>
      </c>
      <c r="O70" s="86">
        <v>2.9229999999999999E-2</v>
      </c>
      <c r="P70" s="86">
        <v>4.3110000000000002E-2</v>
      </c>
      <c r="Q70" s="86">
        <v>4.3990000000000001E-2</v>
      </c>
      <c r="R70" s="86">
        <v>2.9229999999999999E-2</v>
      </c>
      <c r="S70" s="86">
        <v>2.9229999999999999E-2</v>
      </c>
      <c r="T70" s="86">
        <v>2.9229999999999999E-2</v>
      </c>
      <c r="U70" s="86">
        <v>1.7760000000000001E-2</v>
      </c>
      <c r="V70" s="86">
        <v>2.9229999999999999E-2</v>
      </c>
      <c r="W70" s="86">
        <v>2.9229999999999999E-2</v>
      </c>
      <c r="X70" s="86">
        <v>2.9229999999999999E-2</v>
      </c>
      <c r="Y70" s="86">
        <v>2.9229999999999999E-2</v>
      </c>
      <c r="Z70" s="86">
        <v>3.517E-2</v>
      </c>
      <c r="AA70" s="86">
        <v>4.1230000000000003E-2</v>
      </c>
      <c r="AB70" s="86">
        <v>2.9229999999999999E-2</v>
      </c>
      <c r="AC70" s="86">
        <v>4.3290000000000002E-2</v>
      </c>
      <c r="AD70" s="86">
        <v>5.2209999999999999E-2</v>
      </c>
      <c r="AE70" s="86">
        <v>2.9229999999999999E-2</v>
      </c>
      <c r="AF70" s="86">
        <v>2.9229999999999999E-2</v>
      </c>
      <c r="AG70" s="86">
        <v>2.9229999999999999E-2</v>
      </c>
      <c r="AH70" s="86">
        <v>3.5869999999999999E-2</v>
      </c>
      <c r="AI70" s="86">
        <v>1.7760000000000001E-2</v>
      </c>
      <c r="AJ70" s="86">
        <v>1.2800000000000001E-2</v>
      </c>
      <c r="AK70" s="86">
        <v>3.6200000000000003E-2</v>
      </c>
      <c r="AL70" s="86">
        <v>6.5740000000000007E-2</v>
      </c>
      <c r="AM70" s="86">
        <v>2.9770000000000001E-2</v>
      </c>
      <c r="AN70" s="86">
        <v>4.2470000000000001E-2</v>
      </c>
      <c r="AO70" s="86">
        <v>4.335E-2</v>
      </c>
      <c r="AP70" s="86">
        <v>4.9880000000000001E-2</v>
      </c>
      <c r="AQ70" s="86">
        <v>3.5450000000000002E-2</v>
      </c>
      <c r="AR70" s="86">
        <v>5.851E-2</v>
      </c>
      <c r="AS70" s="86">
        <v>1.7049999999999999E-2</v>
      </c>
      <c r="AT70" s="86">
        <v>4.3049999999999998E-2</v>
      </c>
      <c r="AU70" s="86">
        <v>6.5110000000000001E-2</v>
      </c>
      <c r="AV70" s="86">
        <v>4.206E-2</v>
      </c>
      <c r="AW70" s="86">
        <v>3.5249999999999997E-2</v>
      </c>
      <c r="AX70" s="86">
        <v>6.4829999999999999E-2</v>
      </c>
      <c r="AY70" s="86">
        <v>3.1379999999999998E-2</v>
      </c>
      <c r="AZ70" s="86">
        <v>3.2960000000000003E-2</v>
      </c>
      <c r="BA70" s="86">
        <v>3.705E-2</v>
      </c>
      <c r="BB70" s="86">
        <v>6.7199999999999996E-2</v>
      </c>
      <c r="BC70" s="86">
        <v>2.5819999999999999E-2</v>
      </c>
      <c r="BD70" s="89"/>
      <c r="BE70" s="83"/>
    </row>
    <row r="71" spans="1:57" x14ac:dyDescent="0.25">
      <c r="A71" s="84">
        <f t="shared" si="1"/>
        <v>69</v>
      </c>
      <c r="B71" s="83">
        <v>59</v>
      </c>
      <c r="C71" s="86">
        <v>2.945E-2</v>
      </c>
      <c r="D71" s="86">
        <v>2.945E-2</v>
      </c>
      <c r="E71" s="86">
        <v>2.945E-2</v>
      </c>
      <c r="F71" s="86">
        <v>2.9229999999999999E-2</v>
      </c>
      <c r="G71" s="86">
        <v>3.8649999999999997E-2</v>
      </c>
      <c r="H71" s="86">
        <v>2.945E-2</v>
      </c>
      <c r="I71" s="86">
        <v>3.1859999999999999E-2</v>
      </c>
      <c r="J71" s="86">
        <v>2.9399999999999999E-2</v>
      </c>
      <c r="K71" s="86">
        <v>2.945E-2</v>
      </c>
      <c r="L71" s="86">
        <v>2.945E-2</v>
      </c>
      <c r="M71" s="86">
        <v>2.945E-2</v>
      </c>
      <c r="N71" s="86">
        <v>2.945E-2</v>
      </c>
      <c r="O71" s="86">
        <v>2.945E-2</v>
      </c>
      <c r="P71" s="86">
        <v>4.3090000000000003E-2</v>
      </c>
      <c r="Q71" s="86">
        <v>4.3959999999999999E-2</v>
      </c>
      <c r="R71" s="86">
        <v>2.945E-2</v>
      </c>
      <c r="S71" s="86">
        <v>2.945E-2</v>
      </c>
      <c r="T71" s="86">
        <v>2.945E-2</v>
      </c>
      <c r="U71" s="86">
        <v>1.7999999999999999E-2</v>
      </c>
      <c r="V71" s="86">
        <v>2.945E-2</v>
      </c>
      <c r="W71" s="86">
        <v>2.945E-2</v>
      </c>
      <c r="X71" s="86">
        <v>2.945E-2</v>
      </c>
      <c r="Y71" s="86">
        <v>2.945E-2</v>
      </c>
      <c r="Z71" s="86">
        <v>3.5279999999999999E-2</v>
      </c>
      <c r="AA71" s="86">
        <v>4.1250000000000002E-2</v>
      </c>
      <c r="AB71" s="86">
        <v>2.945E-2</v>
      </c>
      <c r="AC71" s="86">
        <v>4.3270000000000003E-2</v>
      </c>
      <c r="AD71" s="86">
        <v>5.2040000000000003E-2</v>
      </c>
      <c r="AE71" s="86">
        <v>2.945E-2</v>
      </c>
      <c r="AF71" s="86">
        <v>2.945E-2</v>
      </c>
      <c r="AG71" s="86">
        <v>2.945E-2</v>
      </c>
      <c r="AH71" s="86">
        <v>3.5970000000000002E-2</v>
      </c>
      <c r="AI71" s="86">
        <v>1.7999999999999999E-2</v>
      </c>
      <c r="AJ71" s="86">
        <v>1.316E-2</v>
      </c>
      <c r="AK71" s="86">
        <v>3.6299999999999999E-2</v>
      </c>
      <c r="AL71" s="86">
        <v>6.5509999999999999E-2</v>
      </c>
      <c r="AM71" s="86">
        <v>2.997E-2</v>
      </c>
      <c r="AN71" s="86">
        <v>4.2459999999999998E-2</v>
      </c>
      <c r="AO71" s="86">
        <v>4.333E-2</v>
      </c>
      <c r="AP71" s="86">
        <v>4.9750000000000003E-2</v>
      </c>
      <c r="AQ71" s="86">
        <v>3.5560000000000001E-2</v>
      </c>
      <c r="AR71" s="86">
        <v>5.8400000000000001E-2</v>
      </c>
      <c r="AS71" s="86">
        <v>1.7299999999999999E-2</v>
      </c>
      <c r="AT71" s="86">
        <v>4.3040000000000002E-2</v>
      </c>
      <c r="AU71" s="86">
        <v>6.4890000000000003E-2</v>
      </c>
      <c r="AV71" s="86">
        <v>4.206E-2</v>
      </c>
      <c r="AW71" s="86">
        <v>3.5360000000000003E-2</v>
      </c>
      <c r="AX71" s="86">
        <v>6.4610000000000001E-2</v>
      </c>
      <c r="AY71" s="86">
        <v>3.1559999999999998E-2</v>
      </c>
      <c r="AZ71" s="86">
        <v>3.3110000000000001E-2</v>
      </c>
      <c r="BA71" s="86">
        <v>3.7130000000000003E-2</v>
      </c>
      <c r="BB71" s="86">
        <v>6.694E-2</v>
      </c>
      <c r="BC71" s="86">
        <v>2.6009999999999998E-2</v>
      </c>
      <c r="BD71" s="89"/>
      <c r="BE71" s="83"/>
    </row>
    <row r="72" spans="1:57" x14ac:dyDescent="0.25">
      <c r="A72" s="84">
        <f t="shared" si="1"/>
        <v>70</v>
      </c>
      <c r="B72" s="87">
        <v>60</v>
      </c>
      <c r="C72" s="88">
        <v>2.9649999999999999E-2</v>
      </c>
      <c r="D72" s="88">
        <v>2.9649999999999999E-2</v>
      </c>
      <c r="E72" s="88">
        <v>2.9649999999999999E-2</v>
      </c>
      <c r="F72" s="88">
        <v>2.9440000000000001E-2</v>
      </c>
      <c r="G72" s="88">
        <v>3.8699999999999998E-2</v>
      </c>
      <c r="H72" s="88">
        <v>2.9649999999999999E-2</v>
      </c>
      <c r="I72" s="88">
        <v>3.2030000000000003E-2</v>
      </c>
      <c r="J72" s="88">
        <v>2.9610000000000001E-2</v>
      </c>
      <c r="K72" s="88">
        <v>2.9649999999999999E-2</v>
      </c>
      <c r="L72" s="88">
        <v>2.9649999999999999E-2</v>
      </c>
      <c r="M72" s="88">
        <v>2.9649999999999999E-2</v>
      </c>
      <c r="N72" s="88">
        <v>2.9649999999999999E-2</v>
      </c>
      <c r="O72" s="88">
        <v>2.9649999999999999E-2</v>
      </c>
      <c r="P72" s="88">
        <v>4.3069999999999997E-2</v>
      </c>
      <c r="Q72" s="88">
        <v>4.3929999999999997E-2</v>
      </c>
      <c r="R72" s="88">
        <v>2.9649999999999999E-2</v>
      </c>
      <c r="S72" s="88">
        <v>2.9649999999999999E-2</v>
      </c>
      <c r="T72" s="88">
        <v>2.9649999999999999E-2</v>
      </c>
      <c r="U72" s="88">
        <v>1.822E-2</v>
      </c>
      <c r="V72" s="88">
        <v>2.9649999999999999E-2</v>
      </c>
      <c r="W72" s="88">
        <v>2.9649999999999999E-2</v>
      </c>
      <c r="X72" s="88">
        <v>2.9649999999999999E-2</v>
      </c>
      <c r="Y72" s="88">
        <v>2.9649999999999999E-2</v>
      </c>
      <c r="Z72" s="88">
        <v>3.5389999999999998E-2</v>
      </c>
      <c r="AA72" s="88">
        <v>4.1259999999999998E-2</v>
      </c>
      <c r="AB72" s="88">
        <v>2.9649999999999999E-2</v>
      </c>
      <c r="AC72" s="88">
        <v>4.3249999999999997E-2</v>
      </c>
      <c r="AD72" s="88">
        <v>5.1869999999999999E-2</v>
      </c>
      <c r="AE72" s="88">
        <v>2.9649999999999999E-2</v>
      </c>
      <c r="AF72" s="88">
        <v>2.9649999999999999E-2</v>
      </c>
      <c r="AG72" s="88">
        <v>2.9649999999999999E-2</v>
      </c>
      <c r="AH72" s="88">
        <v>3.6069999999999998E-2</v>
      </c>
      <c r="AI72" s="88">
        <v>1.822E-2</v>
      </c>
      <c r="AJ72" s="88">
        <v>1.353E-2</v>
      </c>
      <c r="AK72" s="88">
        <v>3.6389999999999999E-2</v>
      </c>
      <c r="AL72" s="88">
        <v>6.5290000000000001E-2</v>
      </c>
      <c r="AM72" s="88">
        <v>3.0159999999999999E-2</v>
      </c>
      <c r="AN72" s="88">
        <v>4.2450000000000002E-2</v>
      </c>
      <c r="AO72" s="88">
        <v>4.3310000000000001E-2</v>
      </c>
      <c r="AP72" s="88">
        <v>4.9619999999999997E-2</v>
      </c>
      <c r="AQ72" s="88">
        <v>3.5659999999999997E-2</v>
      </c>
      <c r="AR72" s="88">
        <v>5.8299999999999998E-2</v>
      </c>
      <c r="AS72" s="88">
        <v>1.753E-2</v>
      </c>
      <c r="AT72" s="88">
        <v>4.3020000000000003E-2</v>
      </c>
      <c r="AU72" s="88">
        <v>6.4680000000000001E-2</v>
      </c>
      <c r="AV72" s="88">
        <v>4.206E-2</v>
      </c>
      <c r="AW72" s="88">
        <v>3.5470000000000002E-2</v>
      </c>
      <c r="AX72" s="88">
        <v>6.4399999999999999E-2</v>
      </c>
      <c r="AY72" s="88">
        <v>3.1730000000000001E-2</v>
      </c>
      <c r="AZ72" s="88">
        <v>3.3259999999999998E-2</v>
      </c>
      <c r="BA72" s="88">
        <v>3.721E-2</v>
      </c>
      <c r="BB72" s="88">
        <v>6.6699999999999995E-2</v>
      </c>
      <c r="BC72" s="88">
        <v>2.6210000000000001E-2</v>
      </c>
      <c r="BD72" s="89"/>
      <c r="BE72" s="83"/>
    </row>
    <row r="73" spans="1:57" x14ac:dyDescent="0.25">
      <c r="A73" s="84">
        <f t="shared" si="1"/>
        <v>71</v>
      </c>
      <c r="B73" s="83">
        <v>61</v>
      </c>
      <c r="C73" s="86">
        <v>2.9850000000000002E-2</v>
      </c>
      <c r="D73" s="86">
        <v>2.9850000000000002E-2</v>
      </c>
      <c r="E73" s="86">
        <v>2.9850000000000002E-2</v>
      </c>
      <c r="F73" s="86">
        <v>2.964E-2</v>
      </c>
      <c r="G73" s="86">
        <v>3.8760000000000003E-2</v>
      </c>
      <c r="H73" s="86">
        <v>2.9850000000000002E-2</v>
      </c>
      <c r="I73" s="86">
        <v>3.2190000000000003E-2</v>
      </c>
      <c r="J73" s="86">
        <v>2.981E-2</v>
      </c>
      <c r="K73" s="86">
        <v>2.9850000000000002E-2</v>
      </c>
      <c r="L73" s="86">
        <v>2.9850000000000002E-2</v>
      </c>
      <c r="M73" s="86">
        <v>2.9850000000000002E-2</v>
      </c>
      <c r="N73" s="86">
        <v>2.9850000000000002E-2</v>
      </c>
      <c r="O73" s="86">
        <v>2.9850000000000002E-2</v>
      </c>
      <c r="P73" s="86">
        <v>4.3060000000000001E-2</v>
      </c>
      <c r="Q73" s="86">
        <v>4.3900000000000002E-2</v>
      </c>
      <c r="R73" s="86">
        <v>2.9850000000000002E-2</v>
      </c>
      <c r="S73" s="86">
        <v>2.9850000000000002E-2</v>
      </c>
      <c r="T73" s="86">
        <v>2.9850000000000002E-2</v>
      </c>
      <c r="U73" s="86">
        <v>1.8450000000000001E-2</v>
      </c>
      <c r="V73" s="86">
        <v>2.9850000000000002E-2</v>
      </c>
      <c r="W73" s="86">
        <v>2.9850000000000002E-2</v>
      </c>
      <c r="X73" s="86">
        <v>2.9850000000000002E-2</v>
      </c>
      <c r="Y73" s="86">
        <v>2.9850000000000002E-2</v>
      </c>
      <c r="Z73" s="86">
        <v>3.5499999999999997E-2</v>
      </c>
      <c r="AA73" s="86">
        <v>4.1279999999999997E-2</v>
      </c>
      <c r="AB73" s="86">
        <v>2.9850000000000002E-2</v>
      </c>
      <c r="AC73" s="86">
        <v>4.3229999999999998E-2</v>
      </c>
      <c r="AD73" s="86">
        <v>5.1709999999999999E-2</v>
      </c>
      <c r="AE73" s="86">
        <v>2.9850000000000002E-2</v>
      </c>
      <c r="AF73" s="86">
        <v>2.9850000000000002E-2</v>
      </c>
      <c r="AG73" s="86">
        <v>2.9850000000000002E-2</v>
      </c>
      <c r="AH73" s="86">
        <v>3.6170000000000001E-2</v>
      </c>
      <c r="AI73" s="86">
        <v>1.8450000000000001E-2</v>
      </c>
      <c r="AJ73" s="86">
        <v>1.389E-2</v>
      </c>
      <c r="AK73" s="86">
        <v>3.6470000000000002E-2</v>
      </c>
      <c r="AL73" s="86">
        <v>6.5070000000000003E-2</v>
      </c>
      <c r="AM73" s="86">
        <v>3.0349999999999999E-2</v>
      </c>
      <c r="AN73" s="86">
        <v>4.2450000000000002E-2</v>
      </c>
      <c r="AO73" s="86">
        <v>4.3290000000000002E-2</v>
      </c>
      <c r="AP73" s="86">
        <v>4.9500000000000002E-2</v>
      </c>
      <c r="AQ73" s="86">
        <v>3.576E-2</v>
      </c>
      <c r="AR73" s="86">
        <v>5.8200000000000002E-2</v>
      </c>
      <c r="AS73" s="86">
        <v>1.7760000000000001E-2</v>
      </c>
      <c r="AT73" s="86">
        <v>4.301E-2</v>
      </c>
      <c r="AU73" s="86">
        <v>6.447E-2</v>
      </c>
      <c r="AV73" s="86">
        <v>4.206E-2</v>
      </c>
      <c r="AW73" s="86">
        <v>3.5569999999999997E-2</v>
      </c>
      <c r="AX73" s="86">
        <v>6.4199999999999993E-2</v>
      </c>
      <c r="AY73" s="86">
        <v>3.1899999999999998E-2</v>
      </c>
      <c r="AZ73" s="86">
        <v>3.3399999999999999E-2</v>
      </c>
      <c r="BA73" s="86">
        <v>3.7289999999999997E-2</v>
      </c>
      <c r="BB73" s="86">
        <v>6.6449999999999995E-2</v>
      </c>
      <c r="BC73" s="86">
        <v>2.6409999999999999E-2</v>
      </c>
      <c r="BD73" s="89"/>
      <c r="BE73" s="83"/>
    </row>
    <row r="74" spans="1:57" x14ac:dyDescent="0.25">
      <c r="A74" s="84">
        <f t="shared" si="1"/>
        <v>72</v>
      </c>
      <c r="B74" s="83">
        <v>62</v>
      </c>
      <c r="C74" s="86">
        <v>3.005E-2</v>
      </c>
      <c r="D74" s="86">
        <v>3.005E-2</v>
      </c>
      <c r="E74" s="86">
        <v>3.005E-2</v>
      </c>
      <c r="F74" s="86">
        <v>2.9839999999999998E-2</v>
      </c>
      <c r="G74" s="86">
        <v>3.8809999999999997E-2</v>
      </c>
      <c r="H74" s="86">
        <v>3.005E-2</v>
      </c>
      <c r="I74" s="86">
        <v>3.2340000000000001E-2</v>
      </c>
      <c r="J74" s="86">
        <v>0.03</v>
      </c>
      <c r="K74" s="86">
        <v>3.005E-2</v>
      </c>
      <c r="L74" s="86">
        <v>3.005E-2</v>
      </c>
      <c r="M74" s="86">
        <v>3.005E-2</v>
      </c>
      <c r="N74" s="86">
        <v>3.005E-2</v>
      </c>
      <c r="O74" s="86">
        <v>3.005E-2</v>
      </c>
      <c r="P74" s="86">
        <v>4.3040000000000002E-2</v>
      </c>
      <c r="Q74" s="86">
        <v>4.3869999999999999E-2</v>
      </c>
      <c r="R74" s="86">
        <v>3.005E-2</v>
      </c>
      <c r="S74" s="86">
        <v>3.005E-2</v>
      </c>
      <c r="T74" s="86">
        <v>3.005E-2</v>
      </c>
      <c r="U74" s="86">
        <v>1.866E-2</v>
      </c>
      <c r="V74" s="86">
        <v>3.005E-2</v>
      </c>
      <c r="W74" s="86">
        <v>3.005E-2</v>
      </c>
      <c r="X74" s="86">
        <v>3.005E-2</v>
      </c>
      <c r="Y74" s="86">
        <v>3.005E-2</v>
      </c>
      <c r="Z74" s="86">
        <v>3.56E-2</v>
      </c>
      <c r="AA74" s="86">
        <v>4.129E-2</v>
      </c>
      <c r="AB74" s="86">
        <v>3.005E-2</v>
      </c>
      <c r="AC74" s="86">
        <v>4.3209999999999998E-2</v>
      </c>
      <c r="AD74" s="86">
        <v>5.1549999999999999E-2</v>
      </c>
      <c r="AE74" s="86">
        <v>3.005E-2</v>
      </c>
      <c r="AF74" s="86">
        <v>3.005E-2</v>
      </c>
      <c r="AG74" s="86">
        <v>3.005E-2</v>
      </c>
      <c r="AH74" s="86">
        <v>3.6260000000000001E-2</v>
      </c>
      <c r="AI74" s="86">
        <v>1.866E-2</v>
      </c>
      <c r="AJ74" s="86">
        <v>1.426E-2</v>
      </c>
      <c r="AK74" s="86">
        <v>3.6560000000000002E-2</v>
      </c>
      <c r="AL74" s="86">
        <v>6.4860000000000001E-2</v>
      </c>
      <c r="AM74" s="86">
        <v>3.0530000000000002E-2</v>
      </c>
      <c r="AN74" s="86">
        <v>4.2439999999999999E-2</v>
      </c>
      <c r="AO74" s="86">
        <v>4.3270000000000003E-2</v>
      </c>
      <c r="AP74" s="86">
        <v>4.938E-2</v>
      </c>
      <c r="AQ74" s="86">
        <v>3.5860000000000003E-2</v>
      </c>
      <c r="AR74" s="86">
        <v>5.8099999999999999E-2</v>
      </c>
      <c r="AS74" s="86">
        <v>1.7989999999999999E-2</v>
      </c>
      <c r="AT74" s="86">
        <v>4.299E-2</v>
      </c>
      <c r="AU74" s="86">
        <v>6.4269999999999994E-2</v>
      </c>
      <c r="AV74" s="86">
        <v>4.206E-2</v>
      </c>
      <c r="AW74" s="86">
        <v>3.5680000000000003E-2</v>
      </c>
      <c r="AX74" s="86">
        <v>6.4000000000000001E-2</v>
      </c>
      <c r="AY74" s="86">
        <v>3.2059999999999998E-2</v>
      </c>
      <c r="AZ74" s="86">
        <v>3.354E-2</v>
      </c>
      <c r="BA74" s="86">
        <v>3.7359999999999997E-2</v>
      </c>
      <c r="BB74" s="86">
        <v>6.6220000000000001E-2</v>
      </c>
      <c r="BC74" s="86">
        <v>2.6610000000000002E-2</v>
      </c>
      <c r="BD74" s="89"/>
      <c r="BE74" s="83"/>
    </row>
    <row r="75" spans="1:57" x14ac:dyDescent="0.25">
      <c r="A75" s="84">
        <f t="shared" si="1"/>
        <v>73</v>
      </c>
      <c r="B75" s="83">
        <v>63</v>
      </c>
      <c r="C75" s="86">
        <v>3.023E-2</v>
      </c>
      <c r="D75" s="86">
        <v>3.023E-2</v>
      </c>
      <c r="E75" s="86">
        <v>3.023E-2</v>
      </c>
      <c r="F75" s="86">
        <v>3.0030000000000001E-2</v>
      </c>
      <c r="G75" s="86">
        <v>3.8859999999999999E-2</v>
      </c>
      <c r="H75" s="86">
        <v>3.023E-2</v>
      </c>
      <c r="I75" s="86">
        <v>3.2500000000000001E-2</v>
      </c>
      <c r="J75" s="86">
        <v>3.0190000000000002E-2</v>
      </c>
      <c r="K75" s="86">
        <v>3.023E-2</v>
      </c>
      <c r="L75" s="86">
        <v>3.023E-2</v>
      </c>
      <c r="M75" s="86">
        <v>3.023E-2</v>
      </c>
      <c r="N75" s="86">
        <v>3.023E-2</v>
      </c>
      <c r="O75" s="86">
        <v>3.023E-2</v>
      </c>
      <c r="P75" s="86">
        <v>4.3029999999999999E-2</v>
      </c>
      <c r="Q75" s="86">
        <v>4.3839999999999997E-2</v>
      </c>
      <c r="R75" s="86">
        <v>3.023E-2</v>
      </c>
      <c r="S75" s="86">
        <v>3.023E-2</v>
      </c>
      <c r="T75" s="86">
        <v>3.023E-2</v>
      </c>
      <c r="U75" s="86">
        <v>1.8870000000000001E-2</v>
      </c>
      <c r="V75" s="86">
        <v>3.023E-2</v>
      </c>
      <c r="W75" s="86">
        <v>3.023E-2</v>
      </c>
      <c r="X75" s="86">
        <v>3.023E-2</v>
      </c>
      <c r="Y75" s="86">
        <v>3.023E-2</v>
      </c>
      <c r="Z75" s="86">
        <v>3.5700000000000003E-2</v>
      </c>
      <c r="AA75" s="86">
        <v>4.1300000000000003E-2</v>
      </c>
      <c r="AB75" s="86">
        <v>3.023E-2</v>
      </c>
      <c r="AC75" s="86">
        <v>4.3189999999999999E-2</v>
      </c>
      <c r="AD75" s="86">
        <v>5.1400000000000001E-2</v>
      </c>
      <c r="AE75" s="86">
        <v>3.023E-2</v>
      </c>
      <c r="AF75" s="86">
        <v>3.023E-2</v>
      </c>
      <c r="AG75" s="86">
        <v>3.023E-2</v>
      </c>
      <c r="AH75" s="86">
        <v>3.635E-2</v>
      </c>
      <c r="AI75" s="86">
        <v>1.8870000000000001E-2</v>
      </c>
      <c r="AJ75" s="86">
        <v>1.4630000000000001E-2</v>
      </c>
      <c r="AK75" s="86">
        <v>3.6639999999999999E-2</v>
      </c>
      <c r="AL75" s="86">
        <v>6.4649999999999999E-2</v>
      </c>
      <c r="AM75" s="86">
        <v>3.0710000000000001E-2</v>
      </c>
      <c r="AN75" s="86">
        <v>4.2439999999999999E-2</v>
      </c>
      <c r="AO75" s="86">
        <v>4.3249999999999997E-2</v>
      </c>
      <c r="AP75" s="86">
        <v>4.9259999999999998E-2</v>
      </c>
      <c r="AQ75" s="86">
        <v>3.5959999999999999E-2</v>
      </c>
      <c r="AR75" s="86">
        <v>5.8000000000000003E-2</v>
      </c>
      <c r="AS75" s="86">
        <v>1.8200000000000001E-2</v>
      </c>
      <c r="AT75" s="86">
        <v>4.2979999999999997E-2</v>
      </c>
      <c r="AU75" s="86">
        <v>6.4070000000000002E-2</v>
      </c>
      <c r="AV75" s="86">
        <v>4.206E-2</v>
      </c>
      <c r="AW75" s="86">
        <v>3.5770000000000003E-2</v>
      </c>
      <c r="AX75" s="86">
        <v>6.3810000000000006E-2</v>
      </c>
      <c r="AY75" s="86">
        <v>3.2210000000000003E-2</v>
      </c>
      <c r="AZ75" s="86">
        <v>3.3669999999999999E-2</v>
      </c>
      <c r="BA75" s="86">
        <v>3.7440000000000001E-2</v>
      </c>
      <c r="BB75" s="86">
        <v>6.5989999999999993E-2</v>
      </c>
      <c r="BC75" s="86">
        <v>2.6800000000000001E-2</v>
      </c>
      <c r="BD75" s="89"/>
      <c r="BE75" s="83"/>
    </row>
    <row r="76" spans="1:57" x14ac:dyDescent="0.25">
      <c r="A76" s="84">
        <f t="shared" si="1"/>
        <v>74</v>
      </c>
      <c r="B76" s="83">
        <v>64</v>
      </c>
      <c r="C76" s="86">
        <v>3.041E-2</v>
      </c>
      <c r="D76" s="86">
        <v>3.041E-2</v>
      </c>
      <c r="E76" s="86">
        <v>3.041E-2</v>
      </c>
      <c r="F76" s="86">
        <v>3.0210000000000001E-2</v>
      </c>
      <c r="G76" s="86">
        <v>3.8899999999999997E-2</v>
      </c>
      <c r="H76" s="86">
        <v>3.041E-2</v>
      </c>
      <c r="I76" s="86">
        <v>3.2640000000000002E-2</v>
      </c>
      <c r="J76" s="86">
        <v>3.0370000000000001E-2</v>
      </c>
      <c r="K76" s="86">
        <v>3.041E-2</v>
      </c>
      <c r="L76" s="86">
        <v>3.041E-2</v>
      </c>
      <c r="M76" s="86">
        <v>3.041E-2</v>
      </c>
      <c r="N76" s="86">
        <v>3.041E-2</v>
      </c>
      <c r="O76" s="86">
        <v>3.041E-2</v>
      </c>
      <c r="P76" s="86">
        <v>4.301E-2</v>
      </c>
      <c r="Q76" s="86">
        <v>4.3810000000000002E-2</v>
      </c>
      <c r="R76" s="86">
        <v>3.041E-2</v>
      </c>
      <c r="S76" s="86">
        <v>3.041E-2</v>
      </c>
      <c r="T76" s="86">
        <v>3.041E-2</v>
      </c>
      <c r="U76" s="86">
        <v>1.907E-2</v>
      </c>
      <c r="V76" s="86">
        <v>3.041E-2</v>
      </c>
      <c r="W76" s="86">
        <v>3.041E-2</v>
      </c>
      <c r="X76" s="86">
        <v>3.041E-2</v>
      </c>
      <c r="Y76" s="86">
        <v>3.041E-2</v>
      </c>
      <c r="Z76" s="86">
        <v>3.5799999999999998E-2</v>
      </c>
      <c r="AA76" s="86">
        <v>4.1309999999999999E-2</v>
      </c>
      <c r="AB76" s="86">
        <v>3.041E-2</v>
      </c>
      <c r="AC76" s="86">
        <v>4.3180000000000003E-2</v>
      </c>
      <c r="AD76" s="86">
        <v>5.126E-2</v>
      </c>
      <c r="AE76" s="86">
        <v>3.041E-2</v>
      </c>
      <c r="AF76" s="86">
        <v>3.041E-2</v>
      </c>
      <c r="AG76" s="86">
        <v>3.041E-2</v>
      </c>
      <c r="AH76" s="86">
        <v>3.644E-2</v>
      </c>
      <c r="AI76" s="86">
        <v>1.907E-2</v>
      </c>
      <c r="AJ76" s="86">
        <v>1.499E-2</v>
      </c>
      <c r="AK76" s="86">
        <v>3.6720000000000003E-2</v>
      </c>
      <c r="AL76" s="86">
        <v>6.4460000000000003E-2</v>
      </c>
      <c r="AM76" s="86">
        <v>3.0880000000000001E-2</v>
      </c>
      <c r="AN76" s="86">
        <v>4.2430000000000002E-2</v>
      </c>
      <c r="AO76" s="86">
        <v>4.3229999999999998E-2</v>
      </c>
      <c r="AP76" s="86">
        <v>4.9149999999999999E-2</v>
      </c>
      <c r="AQ76" s="86">
        <v>3.6049999999999999E-2</v>
      </c>
      <c r="AR76" s="86">
        <v>5.7910000000000003E-2</v>
      </c>
      <c r="AS76" s="86">
        <v>1.8409999999999999E-2</v>
      </c>
      <c r="AT76" s="86">
        <v>4.2970000000000001E-2</v>
      </c>
      <c r="AU76" s="86">
        <v>6.3880000000000006E-2</v>
      </c>
      <c r="AV76" s="86">
        <v>4.206E-2</v>
      </c>
      <c r="AW76" s="86">
        <v>3.5869999999999999E-2</v>
      </c>
      <c r="AX76" s="86">
        <v>6.3630000000000006E-2</v>
      </c>
      <c r="AY76" s="86">
        <v>3.236E-2</v>
      </c>
      <c r="AZ76" s="86">
        <v>3.3799999999999997E-2</v>
      </c>
      <c r="BA76" s="86">
        <v>3.7510000000000002E-2</v>
      </c>
      <c r="BB76" s="86">
        <v>6.5780000000000005E-2</v>
      </c>
      <c r="BC76" s="86">
        <v>2.7E-2</v>
      </c>
      <c r="BD76" s="89"/>
      <c r="BE76" s="83"/>
    </row>
    <row r="77" spans="1:57" x14ac:dyDescent="0.25">
      <c r="A77" s="84">
        <f t="shared" si="1"/>
        <v>75</v>
      </c>
      <c r="B77" s="87">
        <v>65</v>
      </c>
      <c r="C77" s="88">
        <v>3.0589999999999999E-2</v>
      </c>
      <c r="D77" s="88">
        <v>3.0589999999999999E-2</v>
      </c>
      <c r="E77" s="88">
        <v>3.0589999999999999E-2</v>
      </c>
      <c r="F77" s="88">
        <v>3.039E-2</v>
      </c>
      <c r="G77" s="88">
        <v>3.8949999999999999E-2</v>
      </c>
      <c r="H77" s="88">
        <v>3.0589999999999999E-2</v>
      </c>
      <c r="I77" s="88">
        <v>3.279E-2</v>
      </c>
      <c r="J77" s="88">
        <v>3.0550000000000001E-2</v>
      </c>
      <c r="K77" s="88">
        <v>3.0589999999999999E-2</v>
      </c>
      <c r="L77" s="88">
        <v>3.0589999999999999E-2</v>
      </c>
      <c r="M77" s="88">
        <v>3.0589999999999999E-2</v>
      </c>
      <c r="N77" s="88">
        <v>3.0589999999999999E-2</v>
      </c>
      <c r="O77" s="88">
        <v>3.0589999999999999E-2</v>
      </c>
      <c r="P77" s="88">
        <v>4.2999999999999997E-2</v>
      </c>
      <c r="Q77" s="88">
        <v>4.3790000000000003E-2</v>
      </c>
      <c r="R77" s="88">
        <v>3.0589999999999999E-2</v>
      </c>
      <c r="S77" s="88">
        <v>3.0589999999999999E-2</v>
      </c>
      <c r="T77" s="88">
        <v>3.0589999999999999E-2</v>
      </c>
      <c r="U77" s="88">
        <v>1.9269999999999999E-2</v>
      </c>
      <c r="V77" s="88">
        <v>3.0589999999999999E-2</v>
      </c>
      <c r="W77" s="88">
        <v>3.0589999999999999E-2</v>
      </c>
      <c r="X77" s="88">
        <v>3.0589999999999999E-2</v>
      </c>
      <c r="Y77" s="88">
        <v>3.0589999999999999E-2</v>
      </c>
      <c r="Z77" s="88">
        <v>3.5889999999999998E-2</v>
      </c>
      <c r="AA77" s="88">
        <v>4.1329999999999999E-2</v>
      </c>
      <c r="AB77" s="88">
        <v>3.0589999999999999E-2</v>
      </c>
      <c r="AC77" s="88">
        <v>4.3159999999999997E-2</v>
      </c>
      <c r="AD77" s="88">
        <v>5.1110000000000003E-2</v>
      </c>
      <c r="AE77" s="88">
        <v>3.0589999999999999E-2</v>
      </c>
      <c r="AF77" s="88">
        <v>3.0589999999999999E-2</v>
      </c>
      <c r="AG77" s="88">
        <v>3.0589999999999999E-2</v>
      </c>
      <c r="AH77" s="88">
        <v>3.653E-2</v>
      </c>
      <c r="AI77" s="88">
        <v>1.9269999999999999E-2</v>
      </c>
      <c r="AJ77" s="88">
        <v>1.5350000000000001E-2</v>
      </c>
      <c r="AK77" s="88">
        <v>3.6799999999999999E-2</v>
      </c>
      <c r="AL77" s="88">
        <v>6.4259999999999998E-2</v>
      </c>
      <c r="AM77" s="88">
        <v>3.1050000000000001E-2</v>
      </c>
      <c r="AN77" s="88">
        <v>4.2430000000000002E-2</v>
      </c>
      <c r="AO77" s="88">
        <v>4.3209999999999998E-2</v>
      </c>
      <c r="AP77" s="88">
        <v>4.904E-2</v>
      </c>
      <c r="AQ77" s="88">
        <v>3.6139999999999999E-2</v>
      </c>
      <c r="AR77" s="88">
        <v>5.7820000000000003E-2</v>
      </c>
      <c r="AS77" s="88">
        <v>1.8620000000000001E-2</v>
      </c>
      <c r="AT77" s="88">
        <v>4.2950000000000002E-2</v>
      </c>
      <c r="AU77" s="88">
        <v>6.3700000000000007E-2</v>
      </c>
      <c r="AV77" s="88">
        <v>4.206E-2</v>
      </c>
      <c r="AW77" s="88">
        <v>3.5959999999999999E-2</v>
      </c>
      <c r="AX77" s="88">
        <v>6.3450000000000006E-2</v>
      </c>
      <c r="AY77" s="88">
        <v>3.2509999999999997E-2</v>
      </c>
      <c r="AZ77" s="88">
        <v>3.3919999999999999E-2</v>
      </c>
      <c r="BA77" s="88">
        <v>3.7569999999999999E-2</v>
      </c>
      <c r="BB77" s="88">
        <v>6.5559999999999993E-2</v>
      </c>
      <c r="BC77" s="88">
        <v>2.7199999999999998E-2</v>
      </c>
      <c r="BD77" s="89"/>
      <c r="BE77" s="83"/>
    </row>
    <row r="78" spans="1:57" x14ac:dyDescent="0.25">
      <c r="A78" s="84">
        <f t="shared" si="1"/>
        <v>76</v>
      </c>
      <c r="B78" s="83">
        <v>66</v>
      </c>
      <c r="C78" s="86">
        <v>3.0759999999999999E-2</v>
      </c>
      <c r="D78" s="86">
        <v>3.0759999999999999E-2</v>
      </c>
      <c r="E78" s="86">
        <v>3.0759999999999999E-2</v>
      </c>
      <c r="F78" s="86">
        <v>3.057E-2</v>
      </c>
      <c r="G78" s="86">
        <v>3.9E-2</v>
      </c>
      <c r="H78" s="86">
        <v>3.0759999999999999E-2</v>
      </c>
      <c r="I78" s="86">
        <v>3.2919999999999998E-2</v>
      </c>
      <c r="J78" s="86">
        <v>3.0720000000000001E-2</v>
      </c>
      <c r="K78" s="86">
        <v>3.0759999999999999E-2</v>
      </c>
      <c r="L78" s="86">
        <v>3.0759999999999999E-2</v>
      </c>
      <c r="M78" s="86">
        <v>3.0759999999999999E-2</v>
      </c>
      <c r="N78" s="86">
        <v>3.0759999999999999E-2</v>
      </c>
      <c r="O78" s="86">
        <v>3.0759999999999999E-2</v>
      </c>
      <c r="P78" s="86">
        <v>4.2979999999999997E-2</v>
      </c>
      <c r="Q78" s="86">
        <v>4.376E-2</v>
      </c>
      <c r="R78" s="86">
        <v>3.0759999999999999E-2</v>
      </c>
      <c r="S78" s="86">
        <v>3.0759999999999999E-2</v>
      </c>
      <c r="T78" s="86">
        <v>3.0759999999999999E-2</v>
      </c>
      <c r="U78" s="86">
        <v>1.9460000000000002E-2</v>
      </c>
      <c r="V78" s="86">
        <v>3.0759999999999999E-2</v>
      </c>
      <c r="W78" s="86">
        <v>3.0759999999999999E-2</v>
      </c>
      <c r="X78" s="86">
        <v>3.0759999999999999E-2</v>
      </c>
      <c r="Y78" s="86">
        <v>3.0759999999999999E-2</v>
      </c>
      <c r="Z78" s="86">
        <v>3.5979999999999998E-2</v>
      </c>
      <c r="AA78" s="86">
        <v>4.1340000000000002E-2</v>
      </c>
      <c r="AB78" s="86">
        <v>3.0759999999999999E-2</v>
      </c>
      <c r="AC78" s="86">
        <v>4.3139999999999998E-2</v>
      </c>
      <c r="AD78" s="86">
        <v>5.0979999999999998E-2</v>
      </c>
      <c r="AE78" s="86">
        <v>3.0759999999999999E-2</v>
      </c>
      <c r="AF78" s="86">
        <v>3.0759999999999999E-2</v>
      </c>
      <c r="AG78" s="86">
        <v>3.0759999999999999E-2</v>
      </c>
      <c r="AH78" s="86">
        <v>3.6609999999999997E-2</v>
      </c>
      <c r="AI78" s="86">
        <v>1.9460000000000002E-2</v>
      </c>
      <c r="AJ78" s="86">
        <v>1.5709999999999998E-2</v>
      </c>
      <c r="AK78" s="86">
        <v>3.687E-2</v>
      </c>
      <c r="AL78" s="86">
        <v>6.4079999999999998E-2</v>
      </c>
      <c r="AM78" s="86">
        <v>3.1210000000000002E-2</v>
      </c>
      <c r="AN78" s="86">
        <v>4.2419999999999999E-2</v>
      </c>
      <c r="AO78" s="86">
        <v>4.3200000000000002E-2</v>
      </c>
      <c r="AP78" s="86">
        <v>4.8930000000000001E-2</v>
      </c>
      <c r="AQ78" s="86">
        <v>3.6229999999999998E-2</v>
      </c>
      <c r="AR78" s="86">
        <v>5.7729999999999997E-2</v>
      </c>
      <c r="AS78" s="86">
        <v>1.882E-2</v>
      </c>
      <c r="AT78" s="86">
        <v>4.2939999999999999E-2</v>
      </c>
      <c r="AU78" s="86">
        <v>6.3519999999999993E-2</v>
      </c>
      <c r="AV78" s="86">
        <v>4.206E-2</v>
      </c>
      <c r="AW78" s="86">
        <v>3.6049999999999999E-2</v>
      </c>
      <c r="AX78" s="86">
        <v>6.3270000000000007E-2</v>
      </c>
      <c r="AY78" s="86">
        <v>3.2649999999999998E-2</v>
      </c>
      <c r="AZ78" s="86">
        <v>3.4040000000000001E-2</v>
      </c>
      <c r="BA78" s="86">
        <v>3.764E-2</v>
      </c>
      <c r="BB78" s="86">
        <v>6.5360000000000001E-2</v>
      </c>
      <c r="BC78" s="86">
        <v>2.7390000000000001E-2</v>
      </c>
      <c r="BD78" s="89"/>
      <c r="BE78" s="83"/>
    </row>
    <row r="79" spans="1:57" x14ac:dyDescent="0.25">
      <c r="A79" s="84">
        <f t="shared" si="1"/>
        <v>77</v>
      </c>
      <c r="B79" s="83">
        <v>67</v>
      </c>
      <c r="C79" s="86">
        <v>3.0929999999999999E-2</v>
      </c>
      <c r="D79" s="86">
        <v>3.0929999999999999E-2</v>
      </c>
      <c r="E79" s="86">
        <v>3.0929999999999999E-2</v>
      </c>
      <c r="F79" s="86">
        <v>3.074E-2</v>
      </c>
      <c r="G79" s="86">
        <v>3.9039999999999998E-2</v>
      </c>
      <c r="H79" s="86">
        <v>3.0929999999999999E-2</v>
      </c>
      <c r="I79" s="86">
        <v>3.3059999999999999E-2</v>
      </c>
      <c r="J79" s="86">
        <v>3.0890000000000001E-2</v>
      </c>
      <c r="K79" s="86">
        <v>3.0929999999999999E-2</v>
      </c>
      <c r="L79" s="86">
        <v>3.0929999999999999E-2</v>
      </c>
      <c r="M79" s="86">
        <v>3.0929999999999999E-2</v>
      </c>
      <c r="N79" s="86">
        <v>3.0929999999999999E-2</v>
      </c>
      <c r="O79" s="86">
        <v>3.0929999999999999E-2</v>
      </c>
      <c r="P79" s="86">
        <v>4.2970000000000001E-2</v>
      </c>
      <c r="Q79" s="86">
        <v>4.3740000000000001E-2</v>
      </c>
      <c r="R79" s="86">
        <v>3.0929999999999999E-2</v>
      </c>
      <c r="S79" s="86">
        <v>3.0929999999999999E-2</v>
      </c>
      <c r="T79" s="86">
        <v>3.0929999999999999E-2</v>
      </c>
      <c r="U79" s="86">
        <v>1.9640000000000001E-2</v>
      </c>
      <c r="V79" s="86">
        <v>3.0929999999999999E-2</v>
      </c>
      <c r="W79" s="86">
        <v>3.0929999999999999E-2</v>
      </c>
      <c r="X79" s="86">
        <v>3.0929999999999999E-2</v>
      </c>
      <c r="Y79" s="86">
        <v>3.0929999999999999E-2</v>
      </c>
      <c r="Z79" s="86">
        <v>3.6069999999999998E-2</v>
      </c>
      <c r="AA79" s="86">
        <v>4.1349999999999998E-2</v>
      </c>
      <c r="AB79" s="86">
        <v>3.0929999999999999E-2</v>
      </c>
      <c r="AC79" s="86">
        <v>4.3130000000000002E-2</v>
      </c>
      <c r="AD79" s="86">
        <v>5.0840000000000003E-2</v>
      </c>
      <c r="AE79" s="86">
        <v>3.0929999999999999E-2</v>
      </c>
      <c r="AF79" s="86">
        <v>3.0929999999999999E-2</v>
      </c>
      <c r="AG79" s="86">
        <v>3.0929999999999999E-2</v>
      </c>
      <c r="AH79" s="86">
        <v>3.669E-2</v>
      </c>
      <c r="AI79" s="86">
        <v>1.9640000000000001E-2</v>
      </c>
      <c r="AJ79" s="86">
        <v>1.6060000000000001E-2</v>
      </c>
      <c r="AK79" s="86">
        <v>3.6949999999999997E-2</v>
      </c>
      <c r="AL79" s="86">
        <v>6.3899999999999998E-2</v>
      </c>
      <c r="AM79" s="86">
        <v>3.1370000000000002E-2</v>
      </c>
      <c r="AN79" s="86">
        <v>4.2419999999999999E-2</v>
      </c>
      <c r="AO79" s="86">
        <v>4.3180000000000003E-2</v>
      </c>
      <c r="AP79" s="86">
        <v>4.8829999999999998E-2</v>
      </c>
      <c r="AQ79" s="86">
        <v>3.6310000000000002E-2</v>
      </c>
      <c r="AR79" s="86">
        <v>5.765E-2</v>
      </c>
      <c r="AS79" s="86">
        <v>1.9009999999999999E-2</v>
      </c>
      <c r="AT79" s="86">
        <v>4.292E-2</v>
      </c>
      <c r="AU79" s="86">
        <v>6.3350000000000004E-2</v>
      </c>
      <c r="AV79" s="86">
        <v>4.206E-2</v>
      </c>
      <c r="AW79" s="86">
        <v>3.6139999999999999E-2</v>
      </c>
      <c r="AX79" s="86">
        <v>6.3109999999999999E-2</v>
      </c>
      <c r="AY79" s="86">
        <v>3.279E-2</v>
      </c>
      <c r="AZ79" s="86">
        <v>3.4160000000000003E-2</v>
      </c>
      <c r="BA79" s="86">
        <v>3.7699999999999997E-2</v>
      </c>
      <c r="BB79" s="86">
        <v>6.5159999999999996E-2</v>
      </c>
      <c r="BC79" s="86">
        <v>2.758E-2</v>
      </c>
      <c r="BD79" s="89"/>
      <c r="BE79" s="83"/>
    </row>
    <row r="80" spans="1:57" x14ac:dyDescent="0.25">
      <c r="A80" s="84">
        <f t="shared" si="1"/>
        <v>78</v>
      </c>
      <c r="B80" s="83">
        <v>68</v>
      </c>
      <c r="C80" s="86">
        <v>3.109E-2</v>
      </c>
      <c r="D80" s="86">
        <v>3.109E-2</v>
      </c>
      <c r="E80" s="86">
        <v>3.109E-2</v>
      </c>
      <c r="F80" s="86">
        <v>3.09E-2</v>
      </c>
      <c r="G80" s="86">
        <v>3.9079999999999997E-2</v>
      </c>
      <c r="H80" s="86">
        <v>3.109E-2</v>
      </c>
      <c r="I80" s="86">
        <v>3.3189999999999997E-2</v>
      </c>
      <c r="J80" s="86">
        <v>3.1050000000000001E-2</v>
      </c>
      <c r="K80" s="86">
        <v>3.109E-2</v>
      </c>
      <c r="L80" s="86">
        <v>3.109E-2</v>
      </c>
      <c r="M80" s="86">
        <v>3.109E-2</v>
      </c>
      <c r="N80" s="86">
        <v>3.109E-2</v>
      </c>
      <c r="O80" s="86">
        <v>3.109E-2</v>
      </c>
      <c r="P80" s="86">
        <v>4.2950000000000002E-2</v>
      </c>
      <c r="Q80" s="86">
        <v>4.3709999999999999E-2</v>
      </c>
      <c r="R80" s="86">
        <v>3.109E-2</v>
      </c>
      <c r="S80" s="86">
        <v>3.109E-2</v>
      </c>
      <c r="T80" s="86">
        <v>3.109E-2</v>
      </c>
      <c r="U80" s="86">
        <v>1.9820000000000001E-2</v>
      </c>
      <c r="V80" s="86">
        <v>3.109E-2</v>
      </c>
      <c r="W80" s="86">
        <v>3.109E-2</v>
      </c>
      <c r="X80" s="86">
        <v>3.109E-2</v>
      </c>
      <c r="Y80" s="86">
        <v>3.109E-2</v>
      </c>
      <c r="Z80" s="86">
        <v>3.6159999999999998E-2</v>
      </c>
      <c r="AA80" s="86">
        <v>4.1360000000000001E-2</v>
      </c>
      <c r="AB80" s="86">
        <v>3.109E-2</v>
      </c>
      <c r="AC80" s="86">
        <v>4.3110000000000002E-2</v>
      </c>
      <c r="AD80" s="86">
        <v>5.0709999999999998E-2</v>
      </c>
      <c r="AE80" s="86">
        <v>3.109E-2</v>
      </c>
      <c r="AF80" s="86">
        <v>3.109E-2</v>
      </c>
      <c r="AG80" s="86">
        <v>3.109E-2</v>
      </c>
      <c r="AH80" s="86">
        <v>3.6769999999999997E-2</v>
      </c>
      <c r="AI80" s="86">
        <v>1.9820000000000001E-2</v>
      </c>
      <c r="AJ80" s="86">
        <v>1.6400000000000001E-2</v>
      </c>
      <c r="AK80" s="86">
        <v>3.7019999999999997E-2</v>
      </c>
      <c r="AL80" s="86">
        <v>6.3719999999999999E-2</v>
      </c>
      <c r="AM80" s="86">
        <v>3.1519999999999999E-2</v>
      </c>
      <c r="AN80" s="86">
        <v>4.2410000000000003E-2</v>
      </c>
      <c r="AO80" s="86">
        <v>4.3159999999999997E-2</v>
      </c>
      <c r="AP80" s="86">
        <v>4.8730000000000002E-2</v>
      </c>
      <c r="AQ80" s="86">
        <v>3.6400000000000002E-2</v>
      </c>
      <c r="AR80" s="86">
        <v>5.756E-2</v>
      </c>
      <c r="AS80" s="86">
        <v>1.9199999999999998E-2</v>
      </c>
      <c r="AT80" s="86">
        <v>4.2909999999999997E-2</v>
      </c>
      <c r="AU80" s="86">
        <v>6.318E-2</v>
      </c>
      <c r="AV80" s="86">
        <v>4.206E-2</v>
      </c>
      <c r="AW80" s="86">
        <v>3.6229999999999998E-2</v>
      </c>
      <c r="AX80" s="86">
        <v>6.2939999999999996E-2</v>
      </c>
      <c r="AY80" s="86">
        <v>3.2930000000000001E-2</v>
      </c>
      <c r="AZ80" s="86">
        <v>3.4279999999999998E-2</v>
      </c>
      <c r="BA80" s="86">
        <v>3.7769999999999998E-2</v>
      </c>
      <c r="BB80" s="86">
        <v>6.4960000000000004E-2</v>
      </c>
      <c r="BC80" s="86">
        <v>2.777E-2</v>
      </c>
      <c r="BD80" s="89"/>
      <c r="BE80" s="83"/>
    </row>
    <row r="81" spans="1:57" x14ac:dyDescent="0.25">
      <c r="A81" s="84">
        <f t="shared" si="1"/>
        <v>79</v>
      </c>
      <c r="B81" s="83">
        <v>69</v>
      </c>
      <c r="C81" s="86">
        <v>3.125E-2</v>
      </c>
      <c r="D81" s="86">
        <v>3.125E-2</v>
      </c>
      <c r="E81" s="86">
        <v>3.125E-2</v>
      </c>
      <c r="F81" s="86">
        <v>3.1060000000000001E-2</v>
      </c>
      <c r="G81" s="86">
        <v>3.9120000000000002E-2</v>
      </c>
      <c r="H81" s="86">
        <v>3.125E-2</v>
      </c>
      <c r="I81" s="86">
        <v>3.3309999999999999E-2</v>
      </c>
      <c r="J81" s="86">
        <v>3.1210000000000002E-2</v>
      </c>
      <c r="K81" s="86">
        <v>3.125E-2</v>
      </c>
      <c r="L81" s="86">
        <v>3.125E-2</v>
      </c>
      <c r="M81" s="86">
        <v>3.125E-2</v>
      </c>
      <c r="N81" s="86">
        <v>3.125E-2</v>
      </c>
      <c r="O81" s="86">
        <v>3.125E-2</v>
      </c>
      <c r="P81" s="86">
        <v>4.2939999999999999E-2</v>
      </c>
      <c r="Q81" s="86">
        <v>4.369E-2</v>
      </c>
      <c r="R81" s="86">
        <v>3.125E-2</v>
      </c>
      <c r="S81" s="86">
        <v>3.125E-2</v>
      </c>
      <c r="T81" s="86">
        <v>3.125E-2</v>
      </c>
      <c r="U81" s="86">
        <v>0.02</v>
      </c>
      <c r="V81" s="86">
        <v>3.125E-2</v>
      </c>
      <c r="W81" s="86">
        <v>3.125E-2</v>
      </c>
      <c r="X81" s="86">
        <v>3.125E-2</v>
      </c>
      <c r="Y81" s="86">
        <v>3.125E-2</v>
      </c>
      <c r="Z81" s="86">
        <v>3.6240000000000001E-2</v>
      </c>
      <c r="AA81" s="86">
        <v>4.1369999999999997E-2</v>
      </c>
      <c r="AB81" s="86">
        <v>3.125E-2</v>
      </c>
      <c r="AC81" s="86">
        <v>4.3099999999999999E-2</v>
      </c>
      <c r="AD81" s="86">
        <v>5.0590000000000003E-2</v>
      </c>
      <c r="AE81" s="86">
        <v>3.125E-2</v>
      </c>
      <c r="AF81" s="86">
        <v>3.125E-2</v>
      </c>
      <c r="AG81" s="86">
        <v>3.125E-2</v>
      </c>
      <c r="AH81" s="86">
        <v>3.6839999999999998E-2</v>
      </c>
      <c r="AI81" s="86">
        <v>0.02</v>
      </c>
      <c r="AJ81" s="86">
        <v>1.6740000000000001E-2</v>
      </c>
      <c r="AK81" s="86">
        <v>3.7089999999999998E-2</v>
      </c>
      <c r="AL81" s="86">
        <v>6.3549999999999995E-2</v>
      </c>
      <c r="AM81" s="86">
        <v>3.1669999999999997E-2</v>
      </c>
      <c r="AN81" s="86">
        <v>4.2410000000000003E-2</v>
      </c>
      <c r="AO81" s="86">
        <v>4.3150000000000001E-2</v>
      </c>
      <c r="AP81" s="86">
        <v>4.863E-2</v>
      </c>
      <c r="AQ81" s="86">
        <v>3.6479999999999999E-2</v>
      </c>
      <c r="AR81" s="86">
        <v>5.7480000000000003E-2</v>
      </c>
      <c r="AS81" s="86">
        <v>1.9380000000000001E-2</v>
      </c>
      <c r="AT81" s="86">
        <v>4.2900000000000001E-2</v>
      </c>
      <c r="AU81" s="86">
        <v>6.3020000000000007E-2</v>
      </c>
      <c r="AV81" s="86">
        <v>4.206E-2</v>
      </c>
      <c r="AW81" s="86">
        <v>3.6310000000000002E-2</v>
      </c>
      <c r="AX81" s="86">
        <v>6.2780000000000002E-2</v>
      </c>
      <c r="AY81" s="86">
        <v>3.3059999999999999E-2</v>
      </c>
      <c r="AZ81" s="86">
        <v>3.4389999999999997E-2</v>
      </c>
      <c r="BA81" s="86">
        <v>3.7830000000000003E-2</v>
      </c>
      <c r="BB81" s="86">
        <v>6.4780000000000004E-2</v>
      </c>
      <c r="BC81" s="86">
        <v>2.7949999999999999E-2</v>
      </c>
      <c r="BD81" s="89"/>
      <c r="BE81" s="83"/>
    </row>
    <row r="82" spans="1:57" x14ac:dyDescent="0.25">
      <c r="A82" s="84">
        <f t="shared" si="1"/>
        <v>80</v>
      </c>
      <c r="B82" s="87">
        <v>70</v>
      </c>
      <c r="C82" s="88">
        <v>3.1399999999999997E-2</v>
      </c>
      <c r="D82" s="88">
        <v>3.1399999999999997E-2</v>
      </c>
      <c r="E82" s="88">
        <v>3.1399999999999997E-2</v>
      </c>
      <c r="F82" s="88">
        <v>3.1210000000000002E-2</v>
      </c>
      <c r="G82" s="88">
        <v>3.916E-2</v>
      </c>
      <c r="H82" s="88">
        <v>3.1399999999999997E-2</v>
      </c>
      <c r="I82" s="88">
        <v>3.3439999999999998E-2</v>
      </c>
      <c r="J82" s="88">
        <v>3.1359999999999999E-2</v>
      </c>
      <c r="K82" s="88">
        <v>3.1399999999999997E-2</v>
      </c>
      <c r="L82" s="88">
        <v>3.1399999999999997E-2</v>
      </c>
      <c r="M82" s="88">
        <v>3.1399999999999997E-2</v>
      </c>
      <c r="N82" s="88">
        <v>3.1399999999999997E-2</v>
      </c>
      <c r="O82" s="88">
        <v>3.1399999999999997E-2</v>
      </c>
      <c r="P82" s="88">
        <v>4.2930000000000003E-2</v>
      </c>
      <c r="Q82" s="88">
        <v>4.3659999999999997E-2</v>
      </c>
      <c r="R82" s="88">
        <v>3.1399999999999997E-2</v>
      </c>
      <c r="S82" s="88">
        <v>3.1399999999999997E-2</v>
      </c>
      <c r="T82" s="88">
        <v>3.1399999999999997E-2</v>
      </c>
      <c r="U82" s="88">
        <v>2.017E-2</v>
      </c>
      <c r="V82" s="88">
        <v>3.1399999999999997E-2</v>
      </c>
      <c r="W82" s="88">
        <v>3.1399999999999997E-2</v>
      </c>
      <c r="X82" s="88">
        <v>3.1399999999999997E-2</v>
      </c>
      <c r="Y82" s="88">
        <v>3.1399999999999997E-2</v>
      </c>
      <c r="Z82" s="88">
        <v>3.6319999999999998E-2</v>
      </c>
      <c r="AA82" s="88">
        <v>4.138E-2</v>
      </c>
      <c r="AB82" s="88">
        <v>3.1399999999999997E-2</v>
      </c>
      <c r="AC82" s="88">
        <v>4.308E-2</v>
      </c>
      <c r="AD82" s="88">
        <v>5.0459999999999998E-2</v>
      </c>
      <c r="AE82" s="88">
        <v>3.1399999999999997E-2</v>
      </c>
      <c r="AF82" s="88">
        <v>3.1399999999999997E-2</v>
      </c>
      <c r="AG82" s="88">
        <v>3.1399999999999997E-2</v>
      </c>
      <c r="AH82" s="88">
        <v>3.6920000000000001E-2</v>
      </c>
      <c r="AI82" s="88">
        <v>2.017E-2</v>
      </c>
      <c r="AJ82" s="88">
        <v>1.7080000000000001E-2</v>
      </c>
      <c r="AK82" s="88">
        <v>3.7159999999999999E-2</v>
      </c>
      <c r="AL82" s="88">
        <v>6.3390000000000002E-2</v>
      </c>
      <c r="AM82" s="88">
        <v>3.1820000000000001E-2</v>
      </c>
      <c r="AN82" s="88">
        <v>4.24E-2</v>
      </c>
      <c r="AO82" s="88">
        <v>4.3130000000000002E-2</v>
      </c>
      <c r="AP82" s="88">
        <v>4.854E-2</v>
      </c>
      <c r="AQ82" s="88">
        <v>3.6560000000000002E-2</v>
      </c>
      <c r="AR82" s="88">
        <v>5.7410000000000003E-2</v>
      </c>
      <c r="AS82" s="88">
        <v>1.9560000000000001E-2</v>
      </c>
      <c r="AT82" s="88">
        <v>4.2889999999999998E-2</v>
      </c>
      <c r="AU82" s="88">
        <v>6.2859999999999999E-2</v>
      </c>
      <c r="AV82" s="88">
        <v>4.206E-2</v>
      </c>
      <c r="AW82" s="88">
        <v>3.6389999999999999E-2</v>
      </c>
      <c r="AX82" s="88">
        <v>6.2630000000000005E-2</v>
      </c>
      <c r="AY82" s="88">
        <v>3.3180000000000001E-2</v>
      </c>
      <c r="AZ82" s="88">
        <v>3.449E-2</v>
      </c>
      <c r="BA82" s="88">
        <v>3.789E-2</v>
      </c>
      <c r="BB82" s="88">
        <v>6.4589999999999995E-2</v>
      </c>
      <c r="BC82" s="88">
        <v>2.8129999999999999E-2</v>
      </c>
      <c r="BD82" s="89"/>
      <c r="BE82" s="83"/>
    </row>
    <row r="83" spans="1:57" x14ac:dyDescent="0.25">
      <c r="A83" s="84">
        <f t="shared" si="1"/>
        <v>81</v>
      </c>
      <c r="B83" s="83">
        <v>71</v>
      </c>
      <c r="C83" s="86">
        <v>3.1550000000000002E-2</v>
      </c>
      <c r="D83" s="86">
        <v>3.1550000000000002E-2</v>
      </c>
      <c r="E83" s="86">
        <v>3.1550000000000002E-2</v>
      </c>
      <c r="F83" s="86">
        <v>3.1370000000000002E-2</v>
      </c>
      <c r="G83" s="86">
        <v>3.9199999999999999E-2</v>
      </c>
      <c r="H83" s="86">
        <v>3.1550000000000002E-2</v>
      </c>
      <c r="I83" s="86">
        <v>3.356E-2</v>
      </c>
      <c r="J83" s="86">
        <v>3.1510000000000003E-2</v>
      </c>
      <c r="K83" s="86">
        <v>3.1550000000000002E-2</v>
      </c>
      <c r="L83" s="86">
        <v>3.1550000000000002E-2</v>
      </c>
      <c r="M83" s="86">
        <v>3.1550000000000002E-2</v>
      </c>
      <c r="N83" s="86">
        <v>3.1550000000000002E-2</v>
      </c>
      <c r="O83" s="86">
        <v>3.1550000000000002E-2</v>
      </c>
      <c r="P83" s="86">
        <v>4.292E-2</v>
      </c>
      <c r="Q83" s="86">
        <v>4.3639999999999998E-2</v>
      </c>
      <c r="R83" s="86">
        <v>3.1550000000000002E-2</v>
      </c>
      <c r="S83" s="86">
        <v>3.1550000000000002E-2</v>
      </c>
      <c r="T83" s="86">
        <v>3.1550000000000002E-2</v>
      </c>
      <c r="U83" s="86">
        <v>2.0330000000000001E-2</v>
      </c>
      <c r="V83" s="86">
        <v>3.1550000000000002E-2</v>
      </c>
      <c r="W83" s="86">
        <v>3.1550000000000002E-2</v>
      </c>
      <c r="X83" s="86">
        <v>3.1550000000000002E-2</v>
      </c>
      <c r="Y83" s="86">
        <v>3.1550000000000002E-2</v>
      </c>
      <c r="Z83" s="86">
        <v>3.6400000000000002E-2</v>
      </c>
      <c r="AA83" s="86">
        <v>4.1390000000000003E-2</v>
      </c>
      <c r="AB83" s="86">
        <v>3.1550000000000002E-2</v>
      </c>
      <c r="AC83" s="86">
        <v>4.3069999999999997E-2</v>
      </c>
      <c r="AD83" s="86">
        <v>5.0340000000000003E-2</v>
      </c>
      <c r="AE83" s="86">
        <v>3.1550000000000002E-2</v>
      </c>
      <c r="AF83" s="86">
        <v>3.1550000000000002E-2</v>
      </c>
      <c r="AG83" s="86">
        <v>3.1550000000000002E-2</v>
      </c>
      <c r="AH83" s="86">
        <v>3.6990000000000002E-2</v>
      </c>
      <c r="AI83" s="86">
        <v>2.0330000000000001E-2</v>
      </c>
      <c r="AJ83" s="86">
        <v>1.7399999999999999E-2</v>
      </c>
      <c r="AK83" s="86">
        <v>3.7229999999999999E-2</v>
      </c>
      <c r="AL83" s="86">
        <v>6.3229999999999995E-2</v>
      </c>
      <c r="AM83" s="86">
        <v>3.1960000000000002E-2</v>
      </c>
      <c r="AN83" s="86">
        <v>4.24E-2</v>
      </c>
      <c r="AO83" s="86">
        <v>4.3119999999999999E-2</v>
      </c>
      <c r="AP83" s="86">
        <v>4.845E-2</v>
      </c>
      <c r="AQ83" s="86">
        <v>3.6630000000000003E-2</v>
      </c>
      <c r="AR83" s="86">
        <v>5.7329999999999999E-2</v>
      </c>
      <c r="AS83" s="86">
        <v>1.9730000000000001E-2</v>
      </c>
      <c r="AT83" s="86">
        <v>4.2880000000000001E-2</v>
      </c>
      <c r="AU83" s="86">
        <v>6.2710000000000002E-2</v>
      </c>
      <c r="AV83" s="86">
        <v>4.206E-2</v>
      </c>
      <c r="AW83" s="86">
        <v>3.6470000000000002E-2</v>
      </c>
      <c r="AX83" s="86">
        <v>6.2480000000000001E-2</v>
      </c>
      <c r="AY83" s="86">
        <v>3.3309999999999999E-2</v>
      </c>
      <c r="AZ83" s="86">
        <v>3.4599999999999999E-2</v>
      </c>
      <c r="BA83" s="86">
        <v>3.7940000000000002E-2</v>
      </c>
      <c r="BB83" s="86">
        <v>6.4409999999999995E-2</v>
      </c>
      <c r="BC83" s="86">
        <v>2.8309999999999998E-2</v>
      </c>
      <c r="BD83" s="89"/>
      <c r="BE83" s="83"/>
    </row>
    <row r="84" spans="1:57" x14ac:dyDescent="0.25">
      <c r="A84" s="84">
        <f t="shared" si="1"/>
        <v>82</v>
      </c>
      <c r="B84" s="83">
        <v>72</v>
      </c>
      <c r="C84" s="86">
        <v>3.1690000000000003E-2</v>
      </c>
      <c r="D84" s="86">
        <v>3.1690000000000003E-2</v>
      </c>
      <c r="E84" s="86">
        <v>3.1690000000000003E-2</v>
      </c>
      <c r="F84" s="86">
        <v>3.1510000000000003E-2</v>
      </c>
      <c r="G84" s="86">
        <v>3.9239999999999997E-2</v>
      </c>
      <c r="H84" s="86">
        <v>3.1690000000000003E-2</v>
      </c>
      <c r="I84" s="86">
        <v>3.3669999999999999E-2</v>
      </c>
      <c r="J84" s="86">
        <v>3.1660000000000001E-2</v>
      </c>
      <c r="K84" s="86">
        <v>3.1690000000000003E-2</v>
      </c>
      <c r="L84" s="86">
        <v>3.1690000000000003E-2</v>
      </c>
      <c r="M84" s="86">
        <v>3.1690000000000003E-2</v>
      </c>
      <c r="N84" s="86">
        <v>3.1690000000000003E-2</v>
      </c>
      <c r="O84" s="86">
        <v>3.1690000000000003E-2</v>
      </c>
      <c r="P84" s="86">
        <v>4.2900000000000001E-2</v>
      </c>
      <c r="Q84" s="86">
        <v>4.3619999999999999E-2</v>
      </c>
      <c r="R84" s="86">
        <v>3.1690000000000003E-2</v>
      </c>
      <c r="S84" s="86">
        <v>3.1690000000000003E-2</v>
      </c>
      <c r="T84" s="86">
        <v>3.1690000000000003E-2</v>
      </c>
      <c r="U84" s="86">
        <v>2.0490000000000001E-2</v>
      </c>
      <c r="V84" s="86">
        <v>3.1690000000000003E-2</v>
      </c>
      <c r="W84" s="86">
        <v>3.1690000000000003E-2</v>
      </c>
      <c r="X84" s="86">
        <v>3.1690000000000003E-2</v>
      </c>
      <c r="Y84" s="86">
        <v>3.1690000000000003E-2</v>
      </c>
      <c r="Z84" s="86">
        <v>3.6479999999999999E-2</v>
      </c>
      <c r="AA84" s="86">
        <v>4.1399999999999999E-2</v>
      </c>
      <c r="AB84" s="86">
        <v>3.1690000000000003E-2</v>
      </c>
      <c r="AC84" s="86">
        <v>4.3049999999999998E-2</v>
      </c>
      <c r="AD84" s="86">
        <v>5.0229999999999997E-2</v>
      </c>
      <c r="AE84" s="86">
        <v>3.1690000000000003E-2</v>
      </c>
      <c r="AF84" s="86">
        <v>3.1690000000000003E-2</v>
      </c>
      <c r="AG84" s="86">
        <v>3.1690000000000003E-2</v>
      </c>
      <c r="AH84" s="86">
        <v>3.7060000000000003E-2</v>
      </c>
      <c r="AI84" s="86">
        <v>2.0490000000000001E-2</v>
      </c>
      <c r="AJ84" s="86">
        <v>1.772E-2</v>
      </c>
      <c r="AK84" s="86">
        <v>3.7289999999999997E-2</v>
      </c>
      <c r="AL84" s="86">
        <v>6.3070000000000001E-2</v>
      </c>
      <c r="AM84" s="86">
        <v>3.2099999999999997E-2</v>
      </c>
      <c r="AN84" s="86">
        <v>4.2389999999999997E-2</v>
      </c>
      <c r="AO84" s="86">
        <v>4.3099999999999999E-2</v>
      </c>
      <c r="AP84" s="86">
        <v>4.836E-2</v>
      </c>
      <c r="AQ84" s="86">
        <v>3.6700000000000003E-2</v>
      </c>
      <c r="AR84" s="86">
        <v>5.7259999999999998E-2</v>
      </c>
      <c r="AS84" s="86">
        <v>1.9900000000000001E-2</v>
      </c>
      <c r="AT84" s="86">
        <v>4.2860000000000002E-2</v>
      </c>
      <c r="AU84" s="86">
        <v>6.2560000000000004E-2</v>
      </c>
      <c r="AV84" s="86">
        <v>4.206E-2</v>
      </c>
      <c r="AW84" s="86">
        <v>3.6540000000000003E-2</v>
      </c>
      <c r="AX84" s="86">
        <v>6.2330000000000003E-2</v>
      </c>
      <c r="AY84" s="86">
        <v>3.3430000000000001E-2</v>
      </c>
      <c r="AZ84" s="86">
        <v>3.4700000000000002E-2</v>
      </c>
      <c r="BA84" s="86">
        <v>3.7999999999999999E-2</v>
      </c>
      <c r="BB84" s="86">
        <v>6.4240000000000005E-2</v>
      </c>
      <c r="BC84" s="86">
        <v>2.8490000000000001E-2</v>
      </c>
      <c r="BD84" s="89"/>
      <c r="BE84" s="83"/>
    </row>
    <row r="85" spans="1:57" x14ac:dyDescent="0.25">
      <c r="A85" s="84">
        <f t="shared" si="1"/>
        <v>83</v>
      </c>
      <c r="B85" s="83">
        <v>73</v>
      </c>
      <c r="C85" s="86">
        <v>3.1829999999999997E-2</v>
      </c>
      <c r="D85" s="86">
        <v>3.1829999999999997E-2</v>
      </c>
      <c r="E85" s="86">
        <v>3.1829999999999997E-2</v>
      </c>
      <c r="F85" s="86">
        <v>3.1649999999999998E-2</v>
      </c>
      <c r="G85" s="86">
        <v>3.9280000000000002E-2</v>
      </c>
      <c r="H85" s="86">
        <v>3.1829999999999997E-2</v>
      </c>
      <c r="I85" s="86">
        <v>3.3790000000000001E-2</v>
      </c>
      <c r="J85" s="86">
        <v>3.1800000000000002E-2</v>
      </c>
      <c r="K85" s="86">
        <v>3.1829999999999997E-2</v>
      </c>
      <c r="L85" s="86">
        <v>3.1829999999999997E-2</v>
      </c>
      <c r="M85" s="86">
        <v>3.1829999999999997E-2</v>
      </c>
      <c r="N85" s="86">
        <v>3.1829999999999997E-2</v>
      </c>
      <c r="O85" s="86">
        <v>3.1829999999999997E-2</v>
      </c>
      <c r="P85" s="86">
        <v>4.2889999999999998E-2</v>
      </c>
      <c r="Q85" s="86">
        <v>4.36E-2</v>
      </c>
      <c r="R85" s="86">
        <v>3.1829999999999997E-2</v>
      </c>
      <c r="S85" s="86">
        <v>3.1829999999999997E-2</v>
      </c>
      <c r="T85" s="86">
        <v>3.1829999999999997E-2</v>
      </c>
      <c r="U85" s="86">
        <v>2.0650000000000002E-2</v>
      </c>
      <c r="V85" s="86">
        <v>3.1829999999999997E-2</v>
      </c>
      <c r="W85" s="86">
        <v>3.1829999999999997E-2</v>
      </c>
      <c r="X85" s="86">
        <v>3.1829999999999997E-2</v>
      </c>
      <c r="Y85" s="86">
        <v>3.1829999999999997E-2</v>
      </c>
      <c r="Z85" s="86">
        <v>3.6549999999999999E-2</v>
      </c>
      <c r="AA85" s="86">
        <v>4.1410000000000002E-2</v>
      </c>
      <c r="AB85" s="86">
        <v>3.1829999999999997E-2</v>
      </c>
      <c r="AC85" s="86">
        <v>4.3040000000000002E-2</v>
      </c>
      <c r="AD85" s="86">
        <v>5.0119999999999998E-2</v>
      </c>
      <c r="AE85" s="86">
        <v>3.1829999999999997E-2</v>
      </c>
      <c r="AF85" s="86">
        <v>3.1829999999999997E-2</v>
      </c>
      <c r="AG85" s="86">
        <v>3.1829999999999997E-2</v>
      </c>
      <c r="AH85" s="86">
        <v>3.712E-2</v>
      </c>
      <c r="AI85" s="86">
        <v>2.0650000000000002E-2</v>
      </c>
      <c r="AJ85" s="86">
        <v>1.804E-2</v>
      </c>
      <c r="AK85" s="86">
        <v>3.7350000000000001E-2</v>
      </c>
      <c r="AL85" s="86">
        <v>6.2920000000000004E-2</v>
      </c>
      <c r="AM85" s="86">
        <v>3.2230000000000002E-2</v>
      </c>
      <c r="AN85" s="86">
        <v>4.2389999999999997E-2</v>
      </c>
      <c r="AO85" s="86">
        <v>4.3090000000000003E-2</v>
      </c>
      <c r="AP85" s="86">
        <v>4.827E-2</v>
      </c>
      <c r="AQ85" s="86">
        <v>3.678E-2</v>
      </c>
      <c r="AR85" s="86">
        <v>5.7180000000000002E-2</v>
      </c>
      <c r="AS85" s="86">
        <v>2.0060000000000001E-2</v>
      </c>
      <c r="AT85" s="86">
        <v>4.2849999999999999E-2</v>
      </c>
      <c r="AU85" s="86">
        <v>6.2420000000000003E-2</v>
      </c>
      <c r="AV85" s="86">
        <v>4.206E-2</v>
      </c>
      <c r="AW85" s="86">
        <v>3.662E-2</v>
      </c>
      <c r="AX85" s="86">
        <v>6.2190000000000002E-2</v>
      </c>
      <c r="AY85" s="86">
        <v>3.354E-2</v>
      </c>
      <c r="AZ85" s="86">
        <v>3.4799999999999998E-2</v>
      </c>
      <c r="BA85" s="86">
        <v>3.805E-2</v>
      </c>
      <c r="BB85" s="86">
        <v>6.4070000000000002E-2</v>
      </c>
      <c r="BC85" s="86">
        <v>2.8660000000000001E-2</v>
      </c>
      <c r="BD85" s="89"/>
      <c r="BE85" s="83"/>
    </row>
    <row r="86" spans="1:57" x14ac:dyDescent="0.25">
      <c r="A86" s="84">
        <f t="shared" si="1"/>
        <v>84</v>
      </c>
      <c r="B86" s="83">
        <v>74</v>
      </c>
      <c r="C86" s="86">
        <v>3.1969999999999998E-2</v>
      </c>
      <c r="D86" s="86">
        <v>3.1969999999999998E-2</v>
      </c>
      <c r="E86" s="86">
        <v>3.1969999999999998E-2</v>
      </c>
      <c r="F86" s="86">
        <v>3.1789999999999999E-2</v>
      </c>
      <c r="G86" s="86">
        <v>3.9309999999999998E-2</v>
      </c>
      <c r="H86" s="86">
        <v>3.1969999999999998E-2</v>
      </c>
      <c r="I86" s="86">
        <v>3.39E-2</v>
      </c>
      <c r="J86" s="86">
        <v>3.193E-2</v>
      </c>
      <c r="K86" s="86">
        <v>3.1969999999999998E-2</v>
      </c>
      <c r="L86" s="86">
        <v>3.1969999999999998E-2</v>
      </c>
      <c r="M86" s="86">
        <v>3.1969999999999998E-2</v>
      </c>
      <c r="N86" s="86">
        <v>3.1969999999999998E-2</v>
      </c>
      <c r="O86" s="86">
        <v>3.1969999999999998E-2</v>
      </c>
      <c r="P86" s="86">
        <v>4.2880000000000001E-2</v>
      </c>
      <c r="Q86" s="86">
        <v>4.3580000000000001E-2</v>
      </c>
      <c r="R86" s="86">
        <v>3.1969999999999998E-2</v>
      </c>
      <c r="S86" s="86">
        <v>3.1969999999999998E-2</v>
      </c>
      <c r="T86" s="86">
        <v>3.1969999999999998E-2</v>
      </c>
      <c r="U86" s="86">
        <v>2.0799999999999999E-2</v>
      </c>
      <c r="V86" s="86">
        <v>3.1969999999999998E-2</v>
      </c>
      <c r="W86" s="86">
        <v>3.1969999999999998E-2</v>
      </c>
      <c r="X86" s="86">
        <v>3.1969999999999998E-2</v>
      </c>
      <c r="Y86" s="86">
        <v>3.1969999999999998E-2</v>
      </c>
      <c r="Z86" s="86">
        <v>3.6630000000000003E-2</v>
      </c>
      <c r="AA86" s="86">
        <v>4.1410000000000002E-2</v>
      </c>
      <c r="AB86" s="86">
        <v>3.1969999999999998E-2</v>
      </c>
      <c r="AC86" s="86">
        <v>4.3020000000000003E-2</v>
      </c>
      <c r="AD86" s="86">
        <v>5.0009999999999999E-2</v>
      </c>
      <c r="AE86" s="86">
        <v>3.1969999999999998E-2</v>
      </c>
      <c r="AF86" s="86">
        <v>3.1969999999999998E-2</v>
      </c>
      <c r="AG86" s="86">
        <v>3.1969999999999998E-2</v>
      </c>
      <c r="AH86" s="86">
        <v>3.7190000000000001E-2</v>
      </c>
      <c r="AI86" s="86">
        <v>2.0799999999999999E-2</v>
      </c>
      <c r="AJ86" s="86">
        <v>1.8339999999999999E-2</v>
      </c>
      <c r="AK86" s="86">
        <v>3.7420000000000002E-2</v>
      </c>
      <c r="AL86" s="86">
        <v>6.2770000000000006E-2</v>
      </c>
      <c r="AM86" s="86">
        <v>3.236E-2</v>
      </c>
      <c r="AN86" s="86">
        <v>4.2380000000000001E-2</v>
      </c>
      <c r="AO86" s="86">
        <v>4.3069999999999997E-2</v>
      </c>
      <c r="AP86" s="86">
        <v>4.8189999999999997E-2</v>
      </c>
      <c r="AQ86" s="86">
        <v>3.6850000000000001E-2</v>
      </c>
      <c r="AR86" s="86">
        <v>5.7110000000000001E-2</v>
      </c>
      <c r="AS86" s="86">
        <v>2.0219999999999998E-2</v>
      </c>
      <c r="AT86" s="86">
        <v>4.2840000000000003E-2</v>
      </c>
      <c r="AU86" s="86">
        <v>6.2269999999999999E-2</v>
      </c>
      <c r="AV86" s="86">
        <v>4.206E-2</v>
      </c>
      <c r="AW86" s="86">
        <v>3.669E-2</v>
      </c>
      <c r="AX86" s="86">
        <v>6.2050000000000001E-2</v>
      </c>
      <c r="AY86" s="86">
        <v>3.3660000000000002E-2</v>
      </c>
      <c r="AZ86" s="86">
        <v>3.49E-2</v>
      </c>
      <c r="BA86" s="86">
        <v>3.8109999999999998E-2</v>
      </c>
      <c r="BB86" s="86">
        <v>6.3909999999999995E-2</v>
      </c>
      <c r="BC86" s="86">
        <v>2.8830000000000001E-2</v>
      </c>
      <c r="BD86" s="89"/>
      <c r="BE86" s="83"/>
    </row>
    <row r="87" spans="1:57" x14ac:dyDescent="0.25">
      <c r="A87" s="84">
        <f t="shared" si="1"/>
        <v>85</v>
      </c>
      <c r="B87" s="87">
        <v>75</v>
      </c>
      <c r="C87" s="88">
        <v>3.2099999999999997E-2</v>
      </c>
      <c r="D87" s="88">
        <v>3.2099999999999997E-2</v>
      </c>
      <c r="E87" s="88">
        <v>3.2099999999999997E-2</v>
      </c>
      <c r="F87" s="88">
        <v>3.193E-2</v>
      </c>
      <c r="G87" s="88">
        <v>3.9350000000000003E-2</v>
      </c>
      <c r="H87" s="88">
        <v>3.2099999999999997E-2</v>
      </c>
      <c r="I87" s="88">
        <v>3.4000000000000002E-2</v>
      </c>
      <c r="J87" s="88">
        <v>3.2070000000000001E-2</v>
      </c>
      <c r="K87" s="88">
        <v>3.2099999999999997E-2</v>
      </c>
      <c r="L87" s="88">
        <v>3.2099999999999997E-2</v>
      </c>
      <c r="M87" s="88">
        <v>3.2099999999999997E-2</v>
      </c>
      <c r="N87" s="88">
        <v>3.2099999999999997E-2</v>
      </c>
      <c r="O87" s="88">
        <v>3.2099999999999997E-2</v>
      </c>
      <c r="P87" s="88">
        <v>4.2869999999999998E-2</v>
      </c>
      <c r="Q87" s="88">
        <v>4.3549999999999998E-2</v>
      </c>
      <c r="R87" s="88">
        <v>3.2099999999999997E-2</v>
      </c>
      <c r="S87" s="88">
        <v>3.2099999999999997E-2</v>
      </c>
      <c r="T87" s="88">
        <v>3.2099999999999997E-2</v>
      </c>
      <c r="U87" s="88">
        <v>2.095E-2</v>
      </c>
      <c r="V87" s="88">
        <v>3.2099999999999997E-2</v>
      </c>
      <c r="W87" s="88">
        <v>3.2099999999999997E-2</v>
      </c>
      <c r="X87" s="88">
        <v>3.2099999999999997E-2</v>
      </c>
      <c r="Y87" s="88">
        <v>3.2099999999999997E-2</v>
      </c>
      <c r="Z87" s="88">
        <v>3.6700000000000003E-2</v>
      </c>
      <c r="AA87" s="88">
        <v>4.1419999999999998E-2</v>
      </c>
      <c r="AB87" s="88">
        <v>3.2099999999999997E-2</v>
      </c>
      <c r="AC87" s="88">
        <v>4.301E-2</v>
      </c>
      <c r="AD87" s="88">
        <v>4.99E-2</v>
      </c>
      <c r="AE87" s="88">
        <v>3.2099999999999997E-2</v>
      </c>
      <c r="AF87" s="88">
        <v>3.2099999999999997E-2</v>
      </c>
      <c r="AG87" s="88">
        <v>3.2099999999999997E-2</v>
      </c>
      <c r="AH87" s="88">
        <v>3.7249999999999998E-2</v>
      </c>
      <c r="AI87" s="88">
        <v>2.095E-2</v>
      </c>
      <c r="AJ87" s="88">
        <v>1.864E-2</v>
      </c>
      <c r="AK87" s="88">
        <v>3.7479999999999999E-2</v>
      </c>
      <c r="AL87" s="88">
        <v>6.2619999999999995E-2</v>
      </c>
      <c r="AM87" s="88">
        <v>3.2489999999999998E-2</v>
      </c>
      <c r="AN87" s="88">
        <v>4.2380000000000001E-2</v>
      </c>
      <c r="AO87" s="88">
        <v>4.3060000000000001E-2</v>
      </c>
      <c r="AP87" s="88">
        <v>4.8099999999999997E-2</v>
      </c>
      <c r="AQ87" s="88">
        <v>3.6920000000000001E-2</v>
      </c>
      <c r="AR87" s="88">
        <v>5.7049999999999997E-2</v>
      </c>
      <c r="AS87" s="88">
        <v>2.0379999999999999E-2</v>
      </c>
      <c r="AT87" s="88">
        <v>4.283E-2</v>
      </c>
      <c r="AU87" s="88">
        <v>6.2140000000000001E-2</v>
      </c>
      <c r="AV87" s="88">
        <v>4.206E-2</v>
      </c>
      <c r="AW87" s="88">
        <v>3.6760000000000001E-2</v>
      </c>
      <c r="AX87" s="88">
        <v>6.1920000000000003E-2</v>
      </c>
      <c r="AY87" s="88">
        <v>3.3770000000000001E-2</v>
      </c>
      <c r="AZ87" s="88">
        <v>3.499E-2</v>
      </c>
      <c r="BA87" s="88">
        <v>3.8159999999999999E-2</v>
      </c>
      <c r="BB87" s="88">
        <v>6.3750000000000001E-2</v>
      </c>
      <c r="BC87" s="88">
        <v>2.9000000000000001E-2</v>
      </c>
      <c r="BD87" s="89"/>
      <c r="BE87" s="83"/>
    </row>
    <row r="88" spans="1:57" x14ac:dyDescent="0.25">
      <c r="A88" s="84">
        <f t="shared" si="1"/>
        <v>86</v>
      </c>
      <c r="B88" s="83">
        <v>76</v>
      </c>
      <c r="C88" s="86">
        <v>3.2230000000000002E-2</v>
      </c>
      <c r="D88" s="86">
        <v>3.2230000000000002E-2</v>
      </c>
      <c r="E88" s="86">
        <v>3.2230000000000002E-2</v>
      </c>
      <c r="F88" s="86">
        <v>3.2059999999999998E-2</v>
      </c>
      <c r="G88" s="86">
        <v>3.9379999999999998E-2</v>
      </c>
      <c r="H88" s="86">
        <v>3.2230000000000002E-2</v>
      </c>
      <c r="I88" s="86">
        <v>3.4110000000000001E-2</v>
      </c>
      <c r="J88" s="86">
        <v>3.2199999999999999E-2</v>
      </c>
      <c r="K88" s="86">
        <v>3.2230000000000002E-2</v>
      </c>
      <c r="L88" s="86">
        <v>3.2230000000000002E-2</v>
      </c>
      <c r="M88" s="86">
        <v>3.2230000000000002E-2</v>
      </c>
      <c r="N88" s="86">
        <v>3.2230000000000002E-2</v>
      </c>
      <c r="O88" s="86">
        <v>3.2230000000000002E-2</v>
      </c>
      <c r="P88" s="86">
        <v>4.2860000000000002E-2</v>
      </c>
      <c r="Q88" s="86">
        <v>4.3529999999999999E-2</v>
      </c>
      <c r="R88" s="86">
        <v>3.2230000000000002E-2</v>
      </c>
      <c r="S88" s="86">
        <v>3.2230000000000002E-2</v>
      </c>
      <c r="T88" s="86">
        <v>3.2230000000000002E-2</v>
      </c>
      <c r="U88" s="86">
        <v>2.1090000000000001E-2</v>
      </c>
      <c r="V88" s="86">
        <v>3.2230000000000002E-2</v>
      </c>
      <c r="W88" s="86">
        <v>3.2230000000000002E-2</v>
      </c>
      <c r="X88" s="86">
        <v>3.2230000000000002E-2</v>
      </c>
      <c r="Y88" s="86">
        <v>3.2230000000000002E-2</v>
      </c>
      <c r="Z88" s="86">
        <v>3.6769999999999997E-2</v>
      </c>
      <c r="AA88" s="86">
        <v>4.1430000000000002E-2</v>
      </c>
      <c r="AB88" s="86">
        <v>3.2230000000000002E-2</v>
      </c>
      <c r="AC88" s="86">
        <v>4.2999999999999997E-2</v>
      </c>
      <c r="AD88" s="86">
        <v>4.9790000000000001E-2</v>
      </c>
      <c r="AE88" s="86">
        <v>3.2230000000000002E-2</v>
      </c>
      <c r="AF88" s="86">
        <v>3.2230000000000002E-2</v>
      </c>
      <c r="AG88" s="86">
        <v>3.2230000000000002E-2</v>
      </c>
      <c r="AH88" s="86">
        <v>3.7319999999999999E-2</v>
      </c>
      <c r="AI88" s="86">
        <v>2.1090000000000001E-2</v>
      </c>
      <c r="AJ88" s="86">
        <v>1.8939999999999999E-2</v>
      </c>
      <c r="AK88" s="86">
        <v>3.7530000000000001E-2</v>
      </c>
      <c r="AL88" s="86">
        <v>6.2480000000000001E-2</v>
      </c>
      <c r="AM88" s="86">
        <v>3.261E-2</v>
      </c>
      <c r="AN88" s="86">
        <v>4.2369999999999998E-2</v>
      </c>
      <c r="AO88" s="86">
        <v>4.3049999999999998E-2</v>
      </c>
      <c r="AP88" s="86">
        <v>4.802E-2</v>
      </c>
      <c r="AQ88" s="86">
        <v>3.6979999999999999E-2</v>
      </c>
      <c r="AR88" s="86">
        <v>5.6980000000000003E-2</v>
      </c>
      <c r="AS88" s="86">
        <v>2.053E-2</v>
      </c>
      <c r="AT88" s="86">
        <v>4.2819999999999997E-2</v>
      </c>
      <c r="AU88" s="86">
        <v>6.2E-2</v>
      </c>
      <c r="AV88" s="86">
        <v>4.206E-2</v>
      </c>
      <c r="AW88" s="86">
        <v>3.6830000000000002E-2</v>
      </c>
      <c r="AX88" s="86">
        <v>6.1789999999999998E-2</v>
      </c>
      <c r="AY88" s="86">
        <v>3.3869999999999997E-2</v>
      </c>
      <c r="AZ88" s="86">
        <v>3.508E-2</v>
      </c>
      <c r="BA88" s="86">
        <v>3.8210000000000001E-2</v>
      </c>
      <c r="BB88" s="86">
        <v>6.3589999999999994E-2</v>
      </c>
      <c r="BC88" s="86">
        <v>2.9159999999999998E-2</v>
      </c>
      <c r="BD88" s="89"/>
      <c r="BE88" s="83"/>
    </row>
    <row r="89" spans="1:57" x14ac:dyDescent="0.25">
      <c r="A89" s="84">
        <f t="shared" si="1"/>
        <v>87</v>
      </c>
      <c r="B89" s="83">
        <v>77</v>
      </c>
      <c r="C89" s="86">
        <v>3.236E-2</v>
      </c>
      <c r="D89" s="86">
        <v>3.236E-2</v>
      </c>
      <c r="E89" s="86">
        <v>3.236E-2</v>
      </c>
      <c r="F89" s="86">
        <v>3.2190000000000003E-2</v>
      </c>
      <c r="G89" s="86">
        <v>3.9419999999999997E-2</v>
      </c>
      <c r="H89" s="86">
        <v>3.236E-2</v>
      </c>
      <c r="I89" s="86">
        <v>3.4209999999999997E-2</v>
      </c>
      <c r="J89" s="86">
        <v>3.2320000000000002E-2</v>
      </c>
      <c r="K89" s="86">
        <v>3.236E-2</v>
      </c>
      <c r="L89" s="86">
        <v>3.236E-2</v>
      </c>
      <c r="M89" s="86">
        <v>3.236E-2</v>
      </c>
      <c r="N89" s="86">
        <v>3.236E-2</v>
      </c>
      <c r="O89" s="86">
        <v>3.236E-2</v>
      </c>
      <c r="P89" s="86">
        <v>4.2849999999999999E-2</v>
      </c>
      <c r="Q89" s="86">
        <v>4.3520000000000003E-2</v>
      </c>
      <c r="R89" s="86">
        <v>3.236E-2</v>
      </c>
      <c r="S89" s="86">
        <v>3.236E-2</v>
      </c>
      <c r="T89" s="86">
        <v>3.236E-2</v>
      </c>
      <c r="U89" s="86">
        <v>2.1229999999999999E-2</v>
      </c>
      <c r="V89" s="86">
        <v>3.236E-2</v>
      </c>
      <c r="W89" s="86">
        <v>3.236E-2</v>
      </c>
      <c r="X89" s="86">
        <v>3.236E-2</v>
      </c>
      <c r="Y89" s="86">
        <v>3.236E-2</v>
      </c>
      <c r="Z89" s="86">
        <v>3.6830000000000002E-2</v>
      </c>
      <c r="AA89" s="86">
        <v>4.1439999999999998E-2</v>
      </c>
      <c r="AB89" s="86">
        <v>3.236E-2</v>
      </c>
      <c r="AC89" s="86">
        <v>4.2979999999999997E-2</v>
      </c>
      <c r="AD89" s="86">
        <v>4.9689999999999998E-2</v>
      </c>
      <c r="AE89" s="86">
        <v>3.236E-2</v>
      </c>
      <c r="AF89" s="86">
        <v>3.236E-2</v>
      </c>
      <c r="AG89" s="86">
        <v>3.236E-2</v>
      </c>
      <c r="AH89" s="86">
        <v>3.7379999999999997E-2</v>
      </c>
      <c r="AI89" s="86">
        <v>2.1229999999999999E-2</v>
      </c>
      <c r="AJ89" s="86">
        <v>1.9230000000000001E-2</v>
      </c>
      <c r="AK89" s="86">
        <v>3.7589999999999998E-2</v>
      </c>
      <c r="AL89" s="86">
        <v>6.2350000000000003E-2</v>
      </c>
      <c r="AM89" s="86">
        <v>3.2730000000000002E-2</v>
      </c>
      <c r="AN89" s="86">
        <v>4.2369999999999998E-2</v>
      </c>
      <c r="AO89" s="86">
        <v>4.3029999999999999E-2</v>
      </c>
      <c r="AP89" s="86">
        <v>4.7940000000000003E-2</v>
      </c>
      <c r="AQ89" s="86">
        <v>3.705E-2</v>
      </c>
      <c r="AR89" s="86">
        <v>5.6919999999999998E-2</v>
      </c>
      <c r="AS89" s="86">
        <v>2.068E-2</v>
      </c>
      <c r="AT89" s="86">
        <v>4.2810000000000001E-2</v>
      </c>
      <c r="AU89" s="86">
        <v>6.1870000000000001E-2</v>
      </c>
      <c r="AV89" s="86">
        <v>4.206E-2</v>
      </c>
      <c r="AW89" s="86">
        <v>3.6900000000000002E-2</v>
      </c>
      <c r="AX89" s="86">
        <v>6.166E-2</v>
      </c>
      <c r="AY89" s="86">
        <v>3.3980000000000003E-2</v>
      </c>
      <c r="AZ89" s="86">
        <v>3.517E-2</v>
      </c>
      <c r="BA89" s="86">
        <v>3.8260000000000002E-2</v>
      </c>
      <c r="BB89" s="86">
        <v>6.3439999999999996E-2</v>
      </c>
      <c r="BC89" s="86">
        <v>2.9319999999999999E-2</v>
      </c>
      <c r="BD89" s="89"/>
      <c r="BE89" s="83"/>
    </row>
    <row r="90" spans="1:57" x14ac:dyDescent="0.25">
      <c r="A90" s="84">
        <f t="shared" si="1"/>
        <v>88</v>
      </c>
      <c r="B90" s="83">
        <v>78</v>
      </c>
      <c r="C90" s="86">
        <v>3.2480000000000002E-2</v>
      </c>
      <c r="D90" s="86">
        <v>3.2480000000000002E-2</v>
      </c>
      <c r="E90" s="86">
        <v>3.2480000000000002E-2</v>
      </c>
      <c r="F90" s="86">
        <v>3.2309999999999998E-2</v>
      </c>
      <c r="G90" s="86">
        <v>3.9449999999999999E-2</v>
      </c>
      <c r="H90" s="86">
        <v>3.2480000000000002E-2</v>
      </c>
      <c r="I90" s="86">
        <v>3.431E-2</v>
      </c>
      <c r="J90" s="86">
        <v>3.245E-2</v>
      </c>
      <c r="K90" s="86">
        <v>3.2480000000000002E-2</v>
      </c>
      <c r="L90" s="86">
        <v>3.2480000000000002E-2</v>
      </c>
      <c r="M90" s="86">
        <v>3.2480000000000002E-2</v>
      </c>
      <c r="N90" s="86">
        <v>3.2480000000000002E-2</v>
      </c>
      <c r="O90" s="86">
        <v>3.2480000000000002E-2</v>
      </c>
      <c r="P90" s="86">
        <v>4.2840000000000003E-2</v>
      </c>
      <c r="Q90" s="86">
        <v>4.3499999999999997E-2</v>
      </c>
      <c r="R90" s="86">
        <v>3.2480000000000002E-2</v>
      </c>
      <c r="S90" s="86">
        <v>3.2480000000000002E-2</v>
      </c>
      <c r="T90" s="86">
        <v>3.2480000000000002E-2</v>
      </c>
      <c r="U90" s="86">
        <v>2.137E-2</v>
      </c>
      <c r="V90" s="86">
        <v>3.2480000000000002E-2</v>
      </c>
      <c r="W90" s="86">
        <v>3.2480000000000002E-2</v>
      </c>
      <c r="X90" s="86">
        <v>3.2480000000000002E-2</v>
      </c>
      <c r="Y90" s="86">
        <v>3.2480000000000002E-2</v>
      </c>
      <c r="Z90" s="86">
        <v>3.6900000000000002E-2</v>
      </c>
      <c r="AA90" s="86">
        <v>4.1450000000000001E-2</v>
      </c>
      <c r="AB90" s="86">
        <v>3.2480000000000002E-2</v>
      </c>
      <c r="AC90" s="86">
        <v>4.2970000000000001E-2</v>
      </c>
      <c r="AD90" s="86">
        <v>4.9590000000000002E-2</v>
      </c>
      <c r="AE90" s="86">
        <v>3.2480000000000002E-2</v>
      </c>
      <c r="AF90" s="86">
        <v>3.2480000000000002E-2</v>
      </c>
      <c r="AG90" s="86">
        <v>3.2480000000000002E-2</v>
      </c>
      <c r="AH90" s="86">
        <v>3.7440000000000001E-2</v>
      </c>
      <c r="AI90" s="86">
        <v>2.137E-2</v>
      </c>
      <c r="AJ90" s="86">
        <v>1.951E-2</v>
      </c>
      <c r="AK90" s="86">
        <v>3.7650000000000003E-2</v>
      </c>
      <c r="AL90" s="86">
        <v>6.2210000000000001E-2</v>
      </c>
      <c r="AM90" s="86">
        <v>3.2849999999999997E-2</v>
      </c>
      <c r="AN90" s="86">
        <v>4.2360000000000002E-2</v>
      </c>
      <c r="AO90" s="86">
        <v>4.3020000000000003E-2</v>
      </c>
      <c r="AP90" s="86">
        <v>4.7870000000000003E-2</v>
      </c>
      <c r="AQ90" s="86">
        <v>3.7109999999999997E-2</v>
      </c>
      <c r="AR90" s="86">
        <v>5.6849999999999998E-2</v>
      </c>
      <c r="AS90" s="86">
        <v>2.0820000000000002E-2</v>
      </c>
      <c r="AT90" s="86">
        <v>4.2799999999999998E-2</v>
      </c>
      <c r="AU90" s="86">
        <v>6.1749999999999999E-2</v>
      </c>
      <c r="AV90" s="86">
        <v>4.206E-2</v>
      </c>
      <c r="AW90" s="86">
        <v>3.696E-2</v>
      </c>
      <c r="AX90" s="86">
        <v>6.1539999999999997E-2</v>
      </c>
      <c r="AY90" s="86">
        <v>3.4079999999999999E-2</v>
      </c>
      <c r="AZ90" s="86">
        <v>3.526E-2</v>
      </c>
      <c r="BA90" s="86">
        <v>3.8300000000000001E-2</v>
      </c>
      <c r="BB90" s="86">
        <v>6.3299999999999995E-2</v>
      </c>
      <c r="BC90" s="86">
        <v>2.947E-2</v>
      </c>
      <c r="BD90" s="89"/>
      <c r="BE90" s="83"/>
    </row>
    <row r="91" spans="1:57" x14ac:dyDescent="0.25">
      <c r="A91" s="84">
        <f t="shared" si="1"/>
        <v>89</v>
      </c>
      <c r="B91" s="83">
        <v>79</v>
      </c>
      <c r="C91" s="86">
        <v>3.2599999999999997E-2</v>
      </c>
      <c r="D91" s="86">
        <v>3.2599999999999997E-2</v>
      </c>
      <c r="E91" s="86">
        <v>3.2599999999999997E-2</v>
      </c>
      <c r="F91" s="86">
        <v>3.2439999999999997E-2</v>
      </c>
      <c r="G91" s="86">
        <v>3.9480000000000001E-2</v>
      </c>
      <c r="H91" s="86">
        <v>3.2599999999999997E-2</v>
      </c>
      <c r="I91" s="86">
        <v>3.4410000000000003E-2</v>
      </c>
      <c r="J91" s="86">
        <v>3.2570000000000002E-2</v>
      </c>
      <c r="K91" s="86">
        <v>3.2599999999999997E-2</v>
      </c>
      <c r="L91" s="86">
        <v>3.2599999999999997E-2</v>
      </c>
      <c r="M91" s="86">
        <v>3.2599999999999997E-2</v>
      </c>
      <c r="N91" s="86">
        <v>3.2599999999999997E-2</v>
      </c>
      <c r="O91" s="86">
        <v>3.2599999999999997E-2</v>
      </c>
      <c r="P91" s="86">
        <v>4.283E-2</v>
      </c>
      <c r="Q91" s="86">
        <v>4.3479999999999998E-2</v>
      </c>
      <c r="R91" s="86">
        <v>3.2599999999999997E-2</v>
      </c>
      <c r="S91" s="86">
        <v>3.2599999999999997E-2</v>
      </c>
      <c r="T91" s="86">
        <v>3.2599999999999997E-2</v>
      </c>
      <c r="U91" s="86">
        <v>2.1499999999999998E-2</v>
      </c>
      <c r="V91" s="86">
        <v>3.2599999999999997E-2</v>
      </c>
      <c r="W91" s="86">
        <v>3.2599999999999997E-2</v>
      </c>
      <c r="X91" s="86">
        <v>3.2599999999999997E-2</v>
      </c>
      <c r="Y91" s="86">
        <v>3.2599999999999997E-2</v>
      </c>
      <c r="Z91" s="86">
        <v>3.696E-2</v>
      </c>
      <c r="AA91" s="86">
        <v>4.1450000000000001E-2</v>
      </c>
      <c r="AB91" s="86">
        <v>3.2599999999999997E-2</v>
      </c>
      <c r="AC91" s="86">
        <v>4.2959999999999998E-2</v>
      </c>
      <c r="AD91" s="86">
        <v>4.9500000000000002E-2</v>
      </c>
      <c r="AE91" s="86">
        <v>3.2599999999999997E-2</v>
      </c>
      <c r="AF91" s="86">
        <v>3.2599999999999997E-2</v>
      </c>
      <c r="AG91" s="86">
        <v>3.2599999999999997E-2</v>
      </c>
      <c r="AH91" s="86">
        <v>3.7490000000000002E-2</v>
      </c>
      <c r="AI91" s="86">
        <v>2.1499999999999998E-2</v>
      </c>
      <c r="AJ91" s="86">
        <v>1.9779999999999999E-2</v>
      </c>
      <c r="AK91" s="86">
        <v>3.7699999999999997E-2</v>
      </c>
      <c r="AL91" s="86">
        <v>6.2080000000000003E-2</v>
      </c>
      <c r="AM91" s="86">
        <v>3.2969999999999999E-2</v>
      </c>
      <c r="AN91" s="86">
        <v>4.2360000000000002E-2</v>
      </c>
      <c r="AO91" s="86">
        <v>4.301E-2</v>
      </c>
      <c r="AP91" s="86">
        <v>4.7789999999999999E-2</v>
      </c>
      <c r="AQ91" s="86">
        <v>3.7170000000000002E-2</v>
      </c>
      <c r="AR91" s="86">
        <v>5.679E-2</v>
      </c>
      <c r="AS91" s="86">
        <v>2.0959999999999999E-2</v>
      </c>
      <c r="AT91" s="86">
        <v>4.2790000000000002E-2</v>
      </c>
      <c r="AU91" s="86">
        <v>6.1620000000000001E-2</v>
      </c>
      <c r="AV91" s="86">
        <v>4.206E-2</v>
      </c>
      <c r="AW91" s="86">
        <v>3.703E-2</v>
      </c>
      <c r="AX91" s="86">
        <v>6.1409999999999999E-2</v>
      </c>
      <c r="AY91" s="86">
        <v>3.4180000000000002E-2</v>
      </c>
      <c r="AZ91" s="86">
        <v>3.5340000000000003E-2</v>
      </c>
      <c r="BA91" s="86">
        <v>3.8350000000000002E-2</v>
      </c>
      <c r="BB91" s="86">
        <v>6.3149999999999998E-2</v>
      </c>
      <c r="BC91" s="86">
        <v>2.963E-2</v>
      </c>
      <c r="BD91" s="89"/>
      <c r="BE91" s="83"/>
    </row>
    <row r="92" spans="1:57" x14ac:dyDescent="0.25">
      <c r="A92" s="84">
        <f t="shared" si="1"/>
        <v>90</v>
      </c>
      <c r="B92" s="87">
        <v>80</v>
      </c>
      <c r="C92" s="88">
        <v>3.2719999999999999E-2</v>
      </c>
      <c r="D92" s="88">
        <v>3.2719999999999999E-2</v>
      </c>
      <c r="E92" s="88">
        <v>3.2719999999999999E-2</v>
      </c>
      <c r="F92" s="88">
        <v>3.2550000000000003E-2</v>
      </c>
      <c r="G92" s="88">
        <v>3.9510000000000003E-2</v>
      </c>
      <c r="H92" s="88">
        <v>3.2719999999999999E-2</v>
      </c>
      <c r="I92" s="88">
        <v>3.4500000000000003E-2</v>
      </c>
      <c r="J92" s="88">
        <v>3.2680000000000001E-2</v>
      </c>
      <c r="K92" s="88">
        <v>3.2719999999999999E-2</v>
      </c>
      <c r="L92" s="88">
        <v>3.2719999999999999E-2</v>
      </c>
      <c r="M92" s="88">
        <v>3.2719999999999999E-2</v>
      </c>
      <c r="N92" s="88">
        <v>3.2719999999999999E-2</v>
      </c>
      <c r="O92" s="88">
        <v>3.2719999999999999E-2</v>
      </c>
      <c r="P92" s="88">
        <v>4.2810000000000001E-2</v>
      </c>
      <c r="Q92" s="88">
        <v>4.3459999999999999E-2</v>
      </c>
      <c r="R92" s="88">
        <v>3.2719999999999999E-2</v>
      </c>
      <c r="S92" s="88">
        <v>3.2719999999999999E-2</v>
      </c>
      <c r="T92" s="88">
        <v>3.2719999999999999E-2</v>
      </c>
      <c r="U92" s="88">
        <v>2.163E-2</v>
      </c>
      <c r="V92" s="88">
        <v>3.2719999999999999E-2</v>
      </c>
      <c r="W92" s="88">
        <v>3.2719999999999999E-2</v>
      </c>
      <c r="X92" s="88">
        <v>3.2719999999999999E-2</v>
      </c>
      <c r="Y92" s="88">
        <v>3.2719999999999999E-2</v>
      </c>
      <c r="Z92" s="88">
        <v>3.703E-2</v>
      </c>
      <c r="AA92" s="88">
        <v>4.1459999999999997E-2</v>
      </c>
      <c r="AB92" s="88">
        <v>3.2719999999999999E-2</v>
      </c>
      <c r="AC92" s="88">
        <v>4.2950000000000002E-2</v>
      </c>
      <c r="AD92" s="88">
        <v>4.9399999999999999E-2</v>
      </c>
      <c r="AE92" s="88">
        <v>3.2719999999999999E-2</v>
      </c>
      <c r="AF92" s="88">
        <v>3.2719999999999999E-2</v>
      </c>
      <c r="AG92" s="88">
        <v>3.2719999999999999E-2</v>
      </c>
      <c r="AH92" s="88">
        <v>3.755E-2</v>
      </c>
      <c r="AI92" s="88">
        <v>2.163E-2</v>
      </c>
      <c r="AJ92" s="88">
        <v>2.0049999999999998E-2</v>
      </c>
      <c r="AK92" s="88">
        <v>3.7749999999999999E-2</v>
      </c>
      <c r="AL92" s="88">
        <v>6.1960000000000001E-2</v>
      </c>
      <c r="AM92" s="88">
        <v>3.3079999999999998E-2</v>
      </c>
      <c r="AN92" s="88">
        <v>4.2349999999999999E-2</v>
      </c>
      <c r="AO92" s="88">
        <v>4.299E-2</v>
      </c>
      <c r="AP92" s="88">
        <v>4.7719999999999999E-2</v>
      </c>
      <c r="AQ92" s="88">
        <v>3.7229999999999999E-2</v>
      </c>
      <c r="AR92" s="88">
        <v>5.6730000000000003E-2</v>
      </c>
      <c r="AS92" s="88">
        <v>2.1100000000000001E-2</v>
      </c>
      <c r="AT92" s="88">
        <v>4.2779999999999999E-2</v>
      </c>
      <c r="AU92" s="88">
        <v>6.1499999999999999E-2</v>
      </c>
      <c r="AV92" s="88">
        <v>4.206E-2</v>
      </c>
      <c r="AW92" s="88">
        <v>3.7089999999999998E-2</v>
      </c>
      <c r="AX92" s="88">
        <v>6.13E-2</v>
      </c>
      <c r="AY92" s="88">
        <v>3.4279999999999998E-2</v>
      </c>
      <c r="AZ92" s="88">
        <v>3.5430000000000003E-2</v>
      </c>
      <c r="BA92" s="88">
        <v>3.8399999999999997E-2</v>
      </c>
      <c r="BB92" s="88">
        <v>6.3009999999999997E-2</v>
      </c>
      <c r="BC92" s="88">
        <v>2.9780000000000001E-2</v>
      </c>
      <c r="BD92" s="89"/>
      <c r="BE92" s="83"/>
    </row>
    <row r="93" spans="1:57" x14ac:dyDescent="0.25">
      <c r="A93" s="84">
        <f t="shared" si="1"/>
        <v>91</v>
      </c>
      <c r="B93" s="83">
        <v>81</v>
      </c>
      <c r="C93" s="86">
        <v>3.2829999999999998E-2</v>
      </c>
      <c r="D93" s="86">
        <v>3.2829999999999998E-2</v>
      </c>
      <c r="E93" s="86">
        <v>3.2829999999999998E-2</v>
      </c>
      <c r="F93" s="86">
        <v>3.2669999999999998E-2</v>
      </c>
      <c r="G93" s="86">
        <v>3.9539999999999999E-2</v>
      </c>
      <c r="H93" s="86">
        <v>3.2829999999999998E-2</v>
      </c>
      <c r="I93" s="86">
        <v>3.4590000000000003E-2</v>
      </c>
      <c r="J93" s="86">
        <v>3.2800000000000003E-2</v>
      </c>
      <c r="K93" s="86">
        <v>3.2829999999999998E-2</v>
      </c>
      <c r="L93" s="86">
        <v>3.2829999999999998E-2</v>
      </c>
      <c r="M93" s="86">
        <v>3.2829999999999998E-2</v>
      </c>
      <c r="N93" s="86">
        <v>3.2829999999999998E-2</v>
      </c>
      <c r="O93" s="86">
        <v>3.2829999999999998E-2</v>
      </c>
      <c r="P93" s="86">
        <v>4.2799999999999998E-2</v>
      </c>
      <c r="Q93" s="86">
        <v>4.3439999999999999E-2</v>
      </c>
      <c r="R93" s="86">
        <v>3.2829999999999998E-2</v>
      </c>
      <c r="S93" s="86">
        <v>3.2829999999999998E-2</v>
      </c>
      <c r="T93" s="86">
        <v>3.2829999999999998E-2</v>
      </c>
      <c r="U93" s="86">
        <v>2.1760000000000002E-2</v>
      </c>
      <c r="V93" s="86">
        <v>3.2829999999999998E-2</v>
      </c>
      <c r="W93" s="86">
        <v>3.2829999999999998E-2</v>
      </c>
      <c r="X93" s="86">
        <v>3.2829999999999998E-2</v>
      </c>
      <c r="Y93" s="86">
        <v>3.2829999999999998E-2</v>
      </c>
      <c r="Z93" s="86">
        <v>3.7089999999999998E-2</v>
      </c>
      <c r="AA93" s="86">
        <v>4.147E-2</v>
      </c>
      <c r="AB93" s="86">
        <v>3.2829999999999998E-2</v>
      </c>
      <c r="AC93" s="86">
        <v>4.2939999999999999E-2</v>
      </c>
      <c r="AD93" s="86">
        <v>4.931E-2</v>
      </c>
      <c r="AE93" s="86">
        <v>3.2829999999999998E-2</v>
      </c>
      <c r="AF93" s="86">
        <v>3.2829999999999998E-2</v>
      </c>
      <c r="AG93" s="86">
        <v>3.2829999999999998E-2</v>
      </c>
      <c r="AH93" s="86">
        <v>3.7609999999999998E-2</v>
      </c>
      <c r="AI93" s="86">
        <v>2.1760000000000002E-2</v>
      </c>
      <c r="AJ93" s="86">
        <v>2.0320000000000001E-2</v>
      </c>
      <c r="AK93" s="86">
        <v>3.7810000000000003E-2</v>
      </c>
      <c r="AL93" s="86">
        <v>6.1830000000000003E-2</v>
      </c>
      <c r="AM93" s="86">
        <v>3.3189999999999997E-2</v>
      </c>
      <c r="AN93" s="86">
        <v>4.2349999999999999E-2</v>
      </c>
      <c r="AO93" s="86">
        <v>4.2979999999999997E-2</v>
      </c>
      <c r="AP93" s="86">
        <v>4.7649999999999998E-2</v>
      </c>
      <c r="AQ93" s="86">
        <v>3.7289999999999997E-2</v>
      </c>
      <c r="AR93" s="86">
        <v>5.6669999999999998E-2</v>
      </c>
      <c r="AS93" s="86">
        <v>2.1229999999999999E-2</v>
      </c>
      <c r="AT93" s="86">
        <v>4.2770000000000002E-2</v>
      </c>
      <c r="AU93" s="86">
        <v>6.1379999999999997E-2</v>
      </c>
      <c r="AV93" s="86">
        <v>4.206E-2</v>
      </c>
      <c r="AW93" s="86">
        <v>3.7150000000000002E-2</v>
      </c>
      <c r="AX93" s="86">
        <v>6.1179999999999998E-2</v>
      </c>
      <c r="AY93" s="86">
        <v>3.4369999999999998E-2</v>
      </c>
      <c r="AZ93" s="86">
        <v>3.551E-2</v>
      </c>
      <c r="BA93" s="86">
        <v>3.8440000000000002E-2</v>
      </c>
      <c r="BB93" s="86">
        <v>6.2880000000000005E-2</v>
      </c>
      <c r="BC93" s="86">
        <v>2.9919999999999999E-2</v>
      </c>
      <c r="BD93" s="89"/>
      <c r="BE93" s="83"/>
    </row>
    <row r="94" spans="1:57" x14ac:dyDescent="0.25">
      <c r="A94" s="84">
        <f t="shared" si="1"/>
        <v>92</v>
      </c>
      <c r="B94" s="83">
        <v>82</v>
      </c>
      <c r="C94" s="86">
        <v>3.2939999999999997E-2</v>
      </c>
      <c r="D94" s="86">
        <v>3.2939999999999997E-2</v>
      </c>
      <c r="E94" s="86">
        <v>3.2939999999999997E-2</v>
      </c>
      <c r="F94" s="86">
        <v>3.2779999999999997E-2</v>
      </c>
      <c r="G94" s="86">
        <v>3.9570000000000001E-2</v>
      </c>
      <c r="H94" s="86">
        <v>3.2939999999999997E-2</v>
      </c>
      <c r="I94" s="86">
        <v>3.4680000000000002E-2</v>
      </c>
      <c r="J94" s="86">
        <v>3.2910000000000002E-2</v>
      </c>
      <c r="K94" s="86">
        <v>3.2939999999999997E-2</v>
      </c>
      <c r="L94" s="86">
        <v>3.2939999999999997E-2</v>
      </c>
      <c r="M94" s="86">
        <v>3.2939999999999997E-2</v>
      </c>
      <c r="N94" s="86">
        <v>3.2939999999999997E-2</v>
      </c>
      <c r="O94" s="86">
        <v>3.2939999999999997E-2</v>
      </c>
      <c r="P94" s="86">
        <v>4.2799999999999998E-2</v>
      </c>
      <c r="Q94" s="86">
        <v>4.342E-2</v>
      </c>
      <c r="R94" s="86">
        <v>3.2939999999999997E-2</v>
      </c>
      <c r="S94" s="86">
        <v>3.2939999999999997E-2</v>
      </c>
      <c r="T94" s="86">
        <v>3.2939999999999997E-2</v>
      </c>
      <c r="U94" s="86">
        <v>2.188E-2</v>
      </c>
      <c r="V94" s="86">
        <v>3.2939999999999997E-2</v>
      </c>
      <c r="W94" s="86">
        <v>3.2939999999999997E-2</v>
      </c>
      <c r="X94" s="86">
        <v>3.2939999999999997E-2</v>
      </c>
      <c r="Y94" s="86">
        <v>3.2939999999999997E-2</v>
      </c>
      <c r="Z94" s="86">
        <v>3.7150000000000002E-2</v>
      </c>
      <c r="AA94" s="86">
        <v>4.1480000000000003E-2</v>
      </c>
      <c r="AB94" s="86">
        <v>3.2939999999999997E-2</v>
      </c>
      <c r="AC94" s="86">
        <v>4.2930000000000003E-2</v>
      </c>
      <c r="AD94" s="86">
        <v>4.922E-2</v>
      </c>
      <c r="AE94" s="86">
        <v>3.2939999999999997E-2</v>
      </c>
      <c r="AF94" s="86">
        <v>3.2939999999999997E-2</v>
      </c>
      <c r="AG94" s="86">
        <v>3.2939999999999997E-2</v>
      </c>
      <c r="AH94" s="86">
        <v>3.7659999999999999E-2</v>
      </c>
      <c r="AI94" s="86">
        <v>2.188E-2</v>
      </c>
      <c r="AJ94" s="86">
        <v>2.0580000000000001E-2</v>
      </c>
      <c r="AK94" s="86">
        <v>3.7859999999999998E-2</v>
      </c>
      <c r="AL94" s="86">
        <v>6.1710000000000001E-2</v>
      </c>
      <c r="AM94" s="86">
        <v>3.329E-2</v>
      </c>
      <c r="AN94" s="86">
        <v>4.2349999999999999E-2</v>
      </c>
      <c r="AO94" s="86">
        <v>4.2970000000000001E-2</v>
      </c>
      <c r="AP94" s="86">
        <v>4.7579999999999997E-2</v>
      </c>
      <c r="AQ94" s="86">
        <v>3.7350000000000001E-2</v>
      </c>
      <c r="AR94" s="86">
        <v>5.6619999999999997E-2</v>
      </c>
      <c r="AS94" s="86">
        <v>2.1360000000000001E-2</v>
      </c>
      <c r="AT94" s="86">
        <v>4.2759999999999999E-2</v>
      </c>
      <c r="AU94" s="86">
        <v>6.1269999999999998E-2</v>
      </c>
      <c r="AV94" s="86">
        <v>4.206E-2</v>
      </c>
      <c r="AW94" s="86">
        <v>3.721E-2</v>
      </c>
      <c r="AX94" s="86">
        <v>6.1069999999999999E-2</v>
      </c>
      <c r="AY94" s="86">
        <v>3.4470000000000001E-2</v>
      </c>
      <c r="AZ94" s="86">
        <v>3.5589999999999997E-2</v>
      </c>
      <c r="BA94" s="86">
        <v>3.848E-2</v>
      </c>
      <c r="BB94" s="86">
        <v>6.2740000000000004E-2</v>
      </c>
      <c r="BC94" s="86">
        <v>3.006E-2</v>
      </c>
      <c r="BD94" s="89"/>
      <c r="BE94" s="83"/>
    </row>
    <row r="95" spans="1:57" x14ac:dyDescent="0.25">
      <c r="A95" s="84">
        <f t="shared" si="1"/>
        <v>93</v>
      </c>
      <c r="B95" s="83">
        <v>83</v>
      </c>
      <c r="C95" s="86">
        <v>3.3050000000000003E-2</v>
      </c>
      <c r="D95" s="86">
        <v>3.3050000000000003E-2</v>
      </c>
      <c r="E95" s="86">
        <v>3.3050000000000003E-2</v>
      </c>
      <c r="F95" s="86">
        <v>3.2890000000000003E-2</v>
      </c>
      <c r="G95" s="86">
        <v>3.9600000000000003E-2</v>
      </c>
      <c r="H95" s="86">
        <v>3.3050000000000003E-2</v>
      </c>
      <c r="I95" s="86">
        <v>3.4770000000000002E-2</v>
      </c>
      <c r="J95" s="86">
        <v>3.3020000000000001E-2</v>
      </c>
      <c r="K95" s="86">
        <v>3.3050000000000003E-2</v>
      </c>
      <c r="L95" s="86">
        <v>3.3050000000000003E-2</v>
      </c>
      <c r="M95" s="86">
        <v>3.3050000000000003E-2</v>
      </c>
      <c r="N95" s="86">
        <v>3.3050000000000003E-2</v>
      </c>
      <c r="O95" s="86">
        <v>3.3050000000000003E-2</v>
      </c>
      <c r="P95" s="86">
        <v>4.2790000000000002E-2</v>
      </c>
      <c r="Q95" s="86">
        <v>4.3409999999999997E-2</v>
      </c>
      <c r="R95" s="86">
        <v>3.3050000000000003E-2</v>
      </c>
      <c r="S95" s="86">
        <v>3.3050000000000003E-2</v>
      </c>
      <c r="T95" s="86">
        <v>3.3050000000000003E-2</v>
      </c>
      <c r="U95" s="86">
        <v>2.2009999999999998E-2</v>
      </c>
      <c r="V95" s="86">
        <v>3.3050000000000003E-2</v>
      </c>
      <c r="W95" s="86">
        <v>3.3050000000000003E-2</v>
      </c>
      <c r="X95" s="86">
        <v>3.3050000000000003E-2</v>
      </c>
      <c r="Y95" s="86">
        <v>3.3050000000000003E-2</v>
      </c>
      <c r="Z95" s="86">
        <v>3.721E-2</v>
      </c>
      <c r="AA95" s="86">
        <v>4.1480000000000003E-2</v>
      </c>
      <c r="AB95" s="86">
        <v>3.3050000000000003E-2</v>
      </c>
      <c r="AC95" s="86">
        <v>4.2909999999999997E-2</v>
      </c>
      <c r="AD95" s="86">
        <v>4.9140000000000003E-2</v>
      </c>
      <c r="AE95" s="86">
        <v>3.3050000000000003E-2</v>
      </c>
      <c r="AF95" s="86">
        <v>3.3050000000000003E-2</v>
      </c>
      <c r="AG95" s="86">
        <v>3.3050000000000003E-2</v>
      </c>
      <c r="AH95" s="86">
        <v>3.771E-2</v>
      </c>
      <c r="AI95" s="86">
        <v>2.2009999999999998E-2</v>
      </c>
      <c r="AJ95" s="86">
        <v>2.0830000000000001E-2</v>
      </c>
      <c r="AK95" s="86">
        <v>3.7909999999999999E-2</v>
      </c>
      <c r="AL95" s="86">
        <v>6.1600000000000002E-2</v>
      </c>
      <c r="AM95" s="86">
        <v>3.3399999999999999E-2</v>
      </c>
      <c r="AN95" s="86">
        <v>4.2340000000000003E-2</v>
      </c>
      <c r="AO95" s="86">
        <v>4.2959999999999998E-2</v>
      </c>
      <c r="AP95" s="86">
        <v>4.7509999999999997E-2</v>
      </c>
      <c r="AQ95" s="86">
        <v>3.7400000000000003E-2</v>
      </c>
      <c r="AR95" s="86">
        <v>5.6559999999999999E-2</v>
      </c>
      <c r="AS95" s="86">
        <v>2.1489999999999999E-2</v>
      </c>
      <c r="AT95" s="86">
        <v>4.2750000000000003E-2</v>
      </c>
      <c r="AU95" s="86">
        <v>6.1159999999999999E-2</v>
      </c>
      <c r="AV95" s="86">
        <v>4.2049999999999997E-2</v>
      </c>
      <c r="AW95" s="86">
        <v>3.7260000000000001E-2</v>
      </c>
      <c r="AX95" s="86">
        <v>6.096E-2</v>
      </c>
      <c r="AY95" s="86">
        <v>3.456E-2</v>
      </c>
      <c r="AZ95" s="86">
        <v>3.5659999999999997E-2</v>
      </c>
      <c r="BA95" s="86">
        <v>3.8519999999999999E-2</v>
      </c>
      <c r="BB95" s="86">
        <v>6.2609999999999999E-2</v>
      </c>
      <c r="BC95" s="86">
        <v>3.0200000000000001E-2</v>
      </c>
      <c r="BD95" s="89"/>
      <c r="BE95" s="83"/>
    </row>
    <row r="96" spans="1:57" x14ac:dyDescent="0.25">
      <c r="A96" s="84">
        <f t="shared" si="1"/>
        <v>94</v>
      </c>
      <c r="B96" s="83">
        <v>84</v>
      </c>
      <c r="C96" s="86">
        <v>3.3160000000000002E-2</v>
      </c>
      <c r="D96" s="86">
        <v>3.3160000000000002E-2</v>
      </c>
      <c r="E96" s="86">
        <v>3.3160000000000002E-2</v>
      </c>
      <c r="F96" s="86">
        <v>3.3000000000000002E-2</v>
      </c>
      <c r="G96" s="86">
        <v>3.9629999999999999E-2</v>
      </c>
      <c r="H96" s="86">
        <v>3.3160000000000002E-2</v>
      </c>
      <c r="I96" s="86">
        <v>3.4860000000000002E-2</v>
      </c>
      <c r="J96" s="86">
        <v>3.313E-2</v>
      </c>
      <c r="K96" s="86">
        <v>3.3160000000000002E-2</v>
      </c>
      <c r="L96" s="86">
        <v>3.3160000000000002E-2</v>
      </c>
      <c r="M96" s="86">
        <v>3.3160000000000002E-2</v>
      </c>
      <c r="N96" s="86">
        <v>3.3160000000000002E-2</v>
      </c>
      <c r="O96" s="86">
        <v>3.3160000000000002E-2</v>
      </c>
      <c r="P96" s="86">
        <v>4.2779999999999999E-2</v>
      </c>
      <c r="Q96" s="86">
        <v>4.3389999999999998E-2</v>
      </c>
      <c r="R96" s="86">
        <v>3.3160000000000002E-2</v>
      </c>
      <c r="S96" s="86">
        <v>3.3160000000000002E-2</v>
      </c>
      <c r="T96" s="86">
        <v>3.3160000000000002E-2</v>
      </c>
      <c r="U96" s="86">
        <v>2.2120000000000001E-2</v>
      </c>
      <c r="V96" s="86">
        <v>3.3160000000000002E-2</v>
      </c>
      <c r="W96" s="86">
        <v>3.3160000000000002E-2</v>
      </c>
      <c r="X96" s="86">
        <v>3.3160000000000002E-2</v>
      </c>
      <c r="Y96" s="86">
        <v>3.3160000000000002E-2</v>
      </c>
      <c r="Z96" s="86">
        <v>3.7260000000000001E-2</v>
      </c>
      <c r="AA96" s="86">
        <v>4.1489999999999999E-2</v>
      </c>
      <c r="AB96" s="86">
        <v>3.3160000000000002E-2</v>
      </c>
      <c r="AC96" s="86">
        <v>4.2900000000000001E-2</v>
      </c>
      <c r="AD96" s="86">
        <v>4.9050000000000003E-2</v>
      </c>
      <c r="AE96" s="86">
        <v>3.3160000000000002E-2</v>
      </c>
      <c r="AF96" s="86">
        <v>3.3160000000000002E-2</v>
      </c>
      <c r="AG96" s="86">
        <v>3.3160000000000002E-2</v>
      </c>
      <c r="AH96" s="86">
        <v>3.7760000000000002E-2</v>
      </c>
      <c r="AI96" s="86">
        <v>2.2120000000000001E-2</v>
      </c>
      <c r="AJ96" s="86">
        <v>2.1069999999999998E-2</v>
      </c>
      <c r="AK96" s="86">
        <v>3.7960000000000001E-2</v>
      </c>
      <c r="AL96" s="86">
        <v>6.148E-2</v>
      </c>
      <c r="AM96" s="86">
        <v>3.3500000000000002E-2</v>
      </c>
      <c r="AN96" s="86">
        <v>4.2340000000000003E-2</v>
      </c>
      <c r="AO96" s="86">
        <v>4.2950000000000002E-2</v>
      </c>
      <c r="AP96" s="86">
        <v>4.7449999999999999E-2</v>
      </c>
      <c r="AQ96" s="86">
        <v>3.746E-2</v>
      </c>
      <c r="AR96" s="86">
        <v>5.6509999999999998E-2</v>
      </c>
      <c r="AS96" s="86">
        <v>2.1610000000000001E-2</v>
      </c>
      <c r="AT96" s="86">
        <v>4.274E-2</v>
      </c>
      <c r="AU96" s="86">
        <v>6.105E-2</v>
      </c>
      <c r="AV96" s="86">
        <v>4.2049999999999997E-2</v>
      </c>
      <c r="AW96" s="86">
        <v>3.7319999999999999E-2</v>
      </c>
      <c r="AX96" s="86">
        <v>6.0850000000000001E-2</v>
      </c>
      <c r="AY96" s="86">
        <v>3.4639999999999997E-2</v>
      </c>
      <c r="AZ96" s="86">
        <v>3.5740000000000001E-2</v>
      </c>
      <c r="BA96" s="86">
        <v>3.857E-2</v>
      </c>
      <c r="BB96" s="86">
        <v>6.2489999999999997E-2</v>
      </c>
      <c r="BC96" s="86">
        <v>3.0339999999999999E-2</v>
      </c>
      <c r="BD96" s="89"/>
      <c r="BE96" s="83"/>
    </row>
    <row r="97" spans="1:57" x14ac:dyDescent="0.25">
      <c r="A97" s="84">
        <f t="shared" si="1"/>
        <v>95</v>
      </c>
      <c r="B97" s="87">
        <v>85</v>
      </c>
      <c r="C97" s="88">
        <v>3.3259999999999998E-2</v>
      </c>
      <c r="D97" s="88">
        <v>3.3259999999999998E-2</v>
      </c>
      <c r="E97" s="88">
        <v>3.3259999999999998E-2</v>
      </c>
      <c r="F97" s="88">
        <v>3.3110000000000001E-2</v>
      </c>
      <c r="G97" s="88">
        <v>3.9660000000000001E-2</v>
      </c>
      <c r="H97" s="88">
        <v>3.3259999999999998E-2</v>
      </c>
      <c r="I97" s="88">
        <v>3.4939999999999999E-2</v>
      </c>
      <c r="J97" s="88">
        <v>3.3230000000000003E-2</v>
      </c>
      <c r="K97" s="88">
        <v>3.3259999999999998E-2</v>
      </c>
      <c r="L97" s="88">
        <v>3.3259999999999998E-2</v>
      </c>
      <c r="M97" s="88">
        <v>3.3259999999999998E-2</v>
      </c>
      <c r="N97" s="88">
        <v>3.3259999999999998E-2</v>
      </c>
      <c r="O97" s="88">
        <v>3.3259999999999998E-2</v>
      </c>
      <c r="P97" s="88">
        <v>4.2770000000000002E-2</v>
      </c>
      <c r="Q97" s="88">
        <v>4.3369999999999999E-2</v>
      </c>
      <c r="R97" s="88">
        <v>3.3259999999999998E-2</v>
      </c>
      <c r="S97" s="88">
        <v>3.3259999999999998E-2</v>
      </c>
      <c r="T97" s="88">
        <v>3.3259999999999998E-2</v>
      </c>
      <c r="U97" s="88">
        <v>2.2239999999999999E-2</v>
      </c>
      <c r="V97" s="88">
        <v>3.3259999999999998E-2</v>
      </c>
      <c r="W97" s="88">
        <v>3.3259999999999998E-2</v>
      </c>
      <c r="X97" s="88">
        <v>3.3259999999999998E-2</v>
      </c>
      <c r="Y97" s="88">
        <v>3.3259999999999998E-2</v>
      </c>
      <c r="Z97" s="88">
        <v>3.7319999999999999E-2</v>
      </c>
      <c r="AA97" s="88">
        <v>4.1489999999999999E-2</v>
      </c>
      <c r="AB97" s="88">
        <v>3.3259999999999998E-2</v>
      </c>
      <c r="AC97" s="88">
        <v>4.2889999999999998E-2</v>
      </c>
      <c r="AD97" s="88">
        <v>4.897E-2</v>
      </c>
      <c r="AE97" s="88">
        <v>3.3259999999999998E-2</v>
      </c>
      <c r="AF97" s="88">
        <v>3.3259999999999998E-2</v>
      </c>
      <c r="AG97" s="88">
        <v>3.3259999999999998E-2</v>
      </c>
      <c r="AH97" s="88">
        <v>3.7810000000000003E-2</v>
      </c>
      <c r="AI97" s="88">
        <v>2.2239999999999999E-2</v>
      </c>
      <c r="AJ97" s="88">
        <v>2.1319999999999999E-2</v>
      </c>
      <c r="AK97" s="88">
        <v>3.7999999999999999E-2</v>
      </c>
      <c r="AL97" s="88">
        <v>6.1370000000000001E-2</v>
      </c>
      <c r="AM97" s="88">
        <v>3.3599999999999998E-2</v>
      </c>
      <c r="AN97" s="88">
        <v>4.233E-2</v>
      </c>
      <c r="AO97" s="88">
        <v>4.2939999999999999E-2</v>
      </c>
      <c r="AP97" s="88">
        <v>4.7379999999999999E-2</v>
      </c>
      <c r="AQ97" s="88">
        <v>3.7510000000000002E-2</v>
      </c>
      <c r="AR97" s="88">
        <v>5.645E-2</v>
      </c>
      <c r="AS97" s="88">
        <v>2.1739999999999999E-2</v>
      </c>
      <c r="AT97" s="88">
        <v>4.274E-2</v>
      </c>
      <c r="AU97" s="88">
        <v>6.0940000000000001E-2</v>
      </c>
      <c r="AV97" s="88">
        <v>4.2049999999999997E-2</v>
      </c>
      <c r="AW97" s="88">
        <v>3.737E-2</v>
      </c>
      <c r="AX97" s="88">
        <v>6.0749999999999998E-2</v>
      </c>
      <c r="AY97" s="88">
        <v>3.4729999999999997E-2</v>
      </c>
      <c r="AZ97" s="88">
        <v>3.5810000000000002E-2</v>
      </c>
      <c r="BA97" s="88">
        <v>3.8609999999999998E-2</v>
      </c>
      <c r="BB97" s="88">
        <v>6.2359999999999999E-2</v>
      </c>
      <c r="BC97" s="88">
        <v>3.048E-2</v>
      </c>
      <c r="BD97" s="89"/>
      <c r="BE97" s="83"/>
    </row>
    <row r="98" spans="1:57" x14ac:dyDescent="0.25">
      <c r="A98" s="84">
        <f t="shared" si="1"/>
        <v>96</v>
      </c>
      <c r="B98" s="83">
        <v>86</v>
      </c>
      <c r="C98" s="86">
        <v>3.3360000000000001E-2</v>
      </c>
      <c r="D98" s="86">
        <v>3.3360000000000001E-2</v>
      </c>
      <c r="E98" s="86">
        <v>3.3360000000000001E-2</v>
      </c>
      <c r="F98" s="86">
        <v>3.3210000000000003E-2</v>
      </c>
      <c r="G98" s="86">
        <v>3.9690000000000003E-2</v>
      </c>
      <c r="H98" s="86">
        <v>3.3360000000000001E-2</v>
      </c>
      <c r="I98" s="86">
        <v>3.5020000000000003E-2</v>
      </c>
      <c r="J98" s="86">
        <v>3.3329999999999999E-2</v>
      </c>
      <c r="K98" s="86">
        <v>3.3360000000000001E-2</v>
      </c>
      <c r="L98" s="86">
        <v>3.3360000000000001E-2</v>
      </c>
      <c r="M98" s="86">
        <v>3.3360000000000001E-2</v>
      </c>
      <c r="N98" s="86">
        <v>3.3360000000000001E-2</v>
      </c>
      <c r="O98" s="86">
        <v>3.3360000000000001E-2</v>
      </c>
      <c r="P98" s="86">
        <v>4.2759999999999999E-2</v>
      </c>
      <c r="Q98" s="86">
        <v>4.3360000000000003E-2</v>
      </c>
      <c r="R98" s="86">
        <v>3.3360000000000001E-2</v>
      </c>
      <c r="S98" s="86">
        <v>3.3360000000000001E-2</v>
      </c>
      <c r="T98" s="86">
        <v>3.3360000000000001E-2</v>
      </c>
      <c r="U98" s="86">
        <v>2.2349999999999998E-2</v>
      </c>
      <c r="V98" s="86">
        <v>3.3360000000000001E-2</v>
      </c>
      <c r="W98" s="86">
        <v>3.3360000000000001E-2</v>
      </c>
      <c r="X98" s="86">
        <v>3.3360000000000001E-2</v>
      </c>
      <c r="Y98" s="86">
        <v>3.3360000000000001E-2</v>
      </c>
      <c r="Z98" s="86">
        <v>3.737E-2</v>
      </c>
      <c r="AA98" s="86">
        <v>4.1500000000000002E-2</v>
      </c>
      <c r="AB98" s="86">
        <v>3.3360000000000001E-2</v>
      </c>
      <c r="AC98" s="86">
        <v>4.2880000000000001E-2</v>
      </c>
      <c r="AD98" s="86">
        <v>4.8890000000000003E-2</v>
      </c>
      <c r="AE98" s="86">
        <v>3.3360000000000001E-2</v>
      </c>
      <c r="AF98" s="86">
        <v>3.3360000000000001E-2</v>
      </c>
      <c r="AG98" s="86">
        <v>3.3360000000000001E-2</v>
      </c>
      <c r="AH98" s="86">
        <v>3.7859999999999998E-2</v>
      </c>
      <c r="AI98" s="86">
        <v>2.2349999999999998E-2</v>
      </c>
      <c r="AJ98" s="86">
        <v>2.155E-2</v>
      </c>
      <c r="AK98" s="86">
        <v>3.805E-2</v>
      </c>
      <c r="AL98" s="86">
        <v>6.1260000000000002E-2</v>
      </c>
      <c r="AM98" s="86">
        <v>3.3700000000000001E-2</v>
      </c>
      <c r="AN98" s="86">
        <v>4.233E-2</v>
      </c>
      <c r="AO98" s="86">
        <v>4.2930000000000003E-2</v>
      </c>
      <c r="AP98" s="86">
        <v>4.7320000000000001E-2</v>
      </c>
      <c r="AQ98" s="86">
        <v>3.7560000000000003E-2</v>
      </c>
      <c r="AR98" s="86">
        <v>5.6399999999999999E-2</v>
      </c>
      <c r="AS98" s="86">
        <v>2.1850000000000001E-2</v>
      </c>
      <c r="AT98" s="86">
        <v>4.2729999999999997E-2</v>
      </c>
      <c r="AU98" s="86">
        <v>6.0839999999999998E-2</v>
      </c>
      <c r="AV98" s="86">
        <v>4.2049999999999997E-2</v>
      </c>
      <c r="AW98" s="86">
        <v>3.7429999999999998E-2</v>
      </c>
      <c r="AX98" s="86">
        <v>6.0650000000000003E-2</v>
      </c>
      <c r="AY98" s="86">
        <v>3.4810000000000001E-2</v>
      </c>
      <c r="AZ98" s="86">
        <v>3.5880000000000002E-2</v>
      </c>
      <c r="BA98" s="86">
        <v>3.8649999999999997E-2</v>
      </c>
      <c r="BB98" s="86">
        <v>6.2239999999999997E-2</v>
      </c>
      <c r="BC98" s="86">
        <v>3.0609999999999998E-2</v>
      </c>
      <c r="BD98" s="89"/>
      <c r="BE98" s="83"/>
    </row>
    <row r="99" spans="1:57" x14ac:dyDescent="0.25">
      <c r="A99" s="84">
        <f t="shared" si="1"/>
        <v>97</v>
      </c>
      <c r="B99" s="83">
        <v>87</v>
      </c>
      <c r="C99" s="86">
        <v>3.3459999999999997E-2</v>
      </c>
      <c r="D99" s="86">
        <v>3.3459999999999997E-2</v>
      </c>
      <c r="E99" s="86">
        <v>3.3459999999999997E-2</v>
      </c>
      <c r="F99" s="86">
        <v>3.3309999999999999E-2</v>
      </c>
      <c r="G99" s="86">
        <v>3.9710000000000002E-2</v>
      </c>
      <c r="H99" s="86">
        <v>3.3459999999999997E-2</v>
      </c>
      <c r="I99" s="86">
        <v>3.5099999999999999E-2</v>
      </c>
      <c r="J99" s="86">
        <v>3.3430000000000001E-2</v>
      </c>
      <c r="K99" s="86">
        <v>3.3459999999999997E-2</v>
      </c>
      <c r="L99" s="86">
        <v>3.3459999999999997E-2</v>
      </c>
      <c r="M99" s="86">
        <v>3.3459999999999997E-2</v>
      </c>
      <c r="N99" s="86">
        <v>3.3459999999999997E-2</v>
      </c>
      <c r="O99" s="86">
        <v>3.3459999999999997E-2</v>
      </c>
      <c r="P99" s="86">
        <v>4.2750000000000003E-2</v>
      </c>
      <c r="Q99" s="86">
        <v>4.3339999999999997E-2</v>
      </c>
      <c r="R99" s="86">
        <v>3.3459999999999997E-2</v>
      </c>
      <c r="S99" s="86">
        <v>3.3459999999999997E-2</v>
      </c>
      <c r="T99" s="86">
        <v>3.3459999999999997E-2</v>
      </c>
      <c r="U99" s="86">
        <v>2.2460000000000001E-2</v>
      </c>
      <c r="V99" s="86">
        <v>3.3459999999999997E-2</v>
      </c>
      <c r="W99" s="86">
        <v>3.3459999999999997E-2</v>
      </c>
      <c r="X99" s="86">
        <v>3.3459999999999997E-2</v>
      </c>
      <c r="Y99" s="86">
        <v>3.3459999999999997E-2</v>
      </c>
      <c r="Z99" s="86">
        <v>3.7429999999999998E-2</v>
      </c>
      <c r="AA99" s="86">
        <v>4.1509999999999998E-2</v>
      </c>
      <c r="AB99" s="86">
        <v>3.3459999999999997E-2</v>
      </c>
      <c r="AC99" s="86">
        <v>4.2869999999999998E-2</v>
      </c>
      <c r="AD99" s="86">
        <v>4.8809999999999999E-2</v>
      </c>
      <c r="AE99" s="86">
        <v>3.3459999999999997E-2</v>
      </c>
      <c r="AF99" s="86">
        <v>3.3459999999999997E-2</v>
      </c>
      <c r="AG99" s="86">
        <v>3.3459999999999997E-2</v>
      </c>
      <c r="AH99" s="86">
        <v>3.7909999999999999E-2</v>
      </c>
      <c r="AI99" s="86">
        <v>2.2460000000000001E-2</v>
      </c>
      <c r="AJ99" s="86">
        <v>2.1780000000000001E-2</v>
      </c>
      <c r="AK99" s="86">
        <v>3.8089999999999999E-2</v>
      </c>
      <c r="AL99" s="86">
        <v>6.1150000000000003E-2</v>
      </c>
      <c r="AM99" s="86">
        <v>3.3790000000000001E-2</v>
      </c>
      <c r="AN99" s="86">
        <v>4.233E-2</v>
      </c>
      <c r="AO99" s="86">
        <v>4.292E-2</v>
      </c>
      <c r="AP99" s="86">
        <v>4.7260000000000003E-2</v>
      </c>
      <c r="AQ99" s="86">
        <v>3.7609999999999998E-2</v>
      </c>
      <c r="AR99" s="86">
        <v>5.6349999999999997E-2</v>
      </c>
      <c r="AS99" s="86">
        <v>2.197E-2</v>
      </c>
      <c r="AT99" s="86">
        <v>4.2720000000000001E-2</v>
      </c>
      <c r="AU99" s="86">
        <v>6.0729999999999999E-2</v>
      </c>
      <c r="AV99" s="86">
        <v>4.2049999999999997E-2</v>
      </c>
      <c r="AW99" s="86">
        <v>3.7479999999999999E-2</v>
      </c>
      <c r="AX99" s="86">
        <v>6.055E-2</v>
      </c>
      <c r="AY99" s="86">
        <v>3.49E-2</v>
      </c>
      <c r="AZ99" s="86">
        <v>3.5950000000000003E-2</v>
      </c>
      <c r="BA99" s="86">
        <v>3.8679999999999999E-2</v>
      </c>
      <c r="BB99" s="86">
        <v>6.2120000000000002E-2</v>
      </c>
      <c r="BC99" s="86">
        <v>3.073E-2</v>
      </c>
      <c r="BD99" s="89"/>
      <c r="BE99" s="83"/>
    </row>
    <row r="100" spans="1:57" x14ac:dyDescent="0.25">
      <c r="A100" s="84">
        <f t="shared" si="1"/>
        <v>98</v>
      </c>
      <c r="B100" s="83">
        <v>88</v>
      </c>
      <c r="C100" s="86">
        <v>3.356E-2</v>
      </c>
      <c r="D100" s="86">
        <v>3.356E-2</v>
      </c>
      <c r="E100" s="86">
        <v>3.356E-2</v>
      </c>
      <c r="F100" s="86">
        <v>3.3410000000000002E-2</v>
      </c>
      <c r="G100" s="86">
        <v>3.9739999999999998E-2</v>
      </c>
      <c r="H100" s="86">
        <v>3.356E-2</v>
      </c>
      <c r="I100" s="86">
        <v>3.5180000000000003E-2</v>
      </c>
      <c r="J100" s="86">
        <v>3.3529999999999997E-2</v>
      </c>
      <c r="K100" s="86">
        <v>3.356E-2</v>
      </c>
      <c r="L100" s="86">
        <v>3.356E-2</v>
      </c>
      <c r="M100" s="86">
        <v>3.356E-2</v>
      </c>
      <c r="N100" s="86">
        <v>3.356E-2</v>
      </c>
      <c r="O100" s="86">
        <v>3.356E-2</v>
      </c>
      <c r="P100" s="86">
        <v>4.274E-2</v>
      </c>
      <c r="Q100" s="86">
        <v>4.333E-2</v>
      </c>
      <c r="R100" s="86">
        <v>3.356E-2</v>
      </c>
      <c r="S100" s="86">
        <v>3.356E-2</v>
      </c>
      <c r="T100" s="86">
        <v>3.356E-2</v>
      </c>
      <c r="U100" s="86">
        <v>2.257E-2</v>
      </c>
      <c r="V100" s="86">
        <v>3.356E-2</v>
      </c>
      <c r="W100" s="86">
        <v>3.356E-2</v>
      </c>
      <c r="X100" s="86">
        <v>3.356E-2</v>
      </c>
      <c r="Y100" s="86">
        <v>3.356E-2</v>
      </c>
      <c r="Z100" s="86">
        <v>3.7479999999999999E-2</v>
      </c>
      <c r="AA100" s="86">
        <v>4.1509999999999998E-2</v>
      </c>
      <c r="AB100" s="86">
        <v>3.356E-2</v>
      </c>
      <c r="AC100" s="86">
        <v>4.2860000000000002E-2</v>
      </c>
      <c r="AD100" s="86">
        <v>4.8730000000000002E-2</v>
      </c>
      <c r="AE100" s="86">
        <v>3.356E-2</v>
      </c>
      <c r="AF100" s="86">
        <v>3.356E-2</v>
      </c>
      <c r="AG100" s="86">
        <v>3.356E-2</v>
      </c>
      <c r="AH100" s="86">
        <v>3.7949999999999998E-2</v>
      </c>
      <c r="AI100" s="86">
        <v>2.257E-2</v>
      </c>
      <c r="AJ100" s="86">
        <v>2.2009999999999998E-2</v>
      </c>
      <c r="AK100" s="86">
        <v>3.814E-2</v>
      </c>
      <c r="AL100" s="86">
        <v>6.105E-2</v>
      </c>
      <c r="AM100" s="86">
        <v>3.388E-2</v>
      </c>
      <c r="AN100" s="86">
        <v>4.2320000000000003E-2</v>
      </c>
      <c r="AO100" s="86">
        <v>4.2900000000000001E-2</v>
      </c>
      <c r="AP100" s="86">
        <v>4.7199999999999999E-2</v>
      </c>
      <c r="AQ100" s="86">
        <v>3.7659999999999999E-2</v>
      </c>
      <c r="AR100" s="86">
        <v>5.6300000000000003E-2</v>
      </c>
      <c r="AS100" s="86">
        <v>2.2079999999999999E-2</v>
      </c>
      <c r="AT100" s="86">
        <v>4.2709999999999998E-2</v>
      </c>
      <c r="AU100" s="86">
        <v>6.0630000000000003E-2</v>
      </c>
      <c r="AV100" s="86">
        <v>4.2049999999999997E-2</v>
      </c>
      <c r="AW100" s="86">
        <v>3.7530000000000001E-2</v>
      </c>
      <c r="AX100" s="86">
        <v>6.0449999999999997E-2</v>
      </c>
      <c r="AY100" s="86">
        <v>3.4979999999999997E-2</v>
      </c>
      <c r="AZ100" s="86">
        <v>3.6020000000000003E-2</v>
      </c>
      <c r="BA100" s="86">
        <v>3.8719999999999997E-2</v>
      </c>
      <c r="BB100" s="86">
        <v>6.2010000000000003E-2</v>
      </c>
      <c r="BC100" s="86">
        <v>3.0859999999999999E-2</v>
      </c>
      <c r="BD100" s="89"/>
      <c r="BE100" s="83"/>
    </row>
    <row r="101" spans="1:57" x14ac:dyDescent="0.25">
      <c r="A101" s="84">
        <f t="shared" si="1"/>
        <v>99</v>
      </c>
      <c r="B101" s="83">
        <v>89</v>
      </c>
      <c r="C101" s="86">
        <v>3.3649999999999999E-2</v>
      </c>
      <c r="D101" s="86">
        <v>3.3649999999999999E-2</v>
      </c>
      <c r="E101" s="86">
        <v>3.3649999999999999E-2</v>
      </c>
      <c r="F101" s="86">
        <v>3.3509999999999998E-2</v>
      </c>
      <c r="G101" s="86">
        <v>3.9759999999999997E-2</v>
      </c>
      <c r="H101" s="86">
        <v>3.3649999999999999E-2</v>
      </c>
      <c r="I101" s="86">
        <v>3.526E-2</v>
      </c>
      <c r="J101" s="86">
        <v>3.3619999999999997E-2</v>
      </c>
      <c r="K101" s="86">
        <v>3.3649999999999999E-2</v>
      </c>
      <c r="L101" s="86">
        <v>3.3649999999999999E-2</v>
      </c>
      <c r="M101" s="86">
        <v>3.3649999999999999E-2</v>
      </c>
      <c r="N101" s="86">
        <v>3.3649999999999999E-2</v>
      </c>
      <c r="O101" s="86">
        <v>3.3649999999999999E-2</v>
      </c>
      <c r="P101" s="86">
        <v>4.2729999999999997E-2</v>
      </c>
      <c r="Q101" s="86">
        <v>4.3310000000000001E-2</v>
      </c>
      <c r="R101" s="86">
        <v>3.3649999999999999E-2</v>
      </c>
      <c r="S101" s="86">
        <v>3.3649999999999999E-2</v>
      </c>
      <c r="T101" s="86">
        <v>3.3649999999999999E-2</v>
      </c>
      <c r="U101" s="86">
        <v>2.2679999999999999E-2</v>
      </c>
      <c r="V101" s="86">
        <v>3.3649999999999999E-2</v>
      </c>
      <c r="W101" s="86">
        <v>3.3649999999999999E-2</v>
      </c>
      <c r="X101" s="86">
        <v>3.3649999999999999E-2</v>
      </c>
      <c r="Y101" s="86">
        <v>3.3649999999999999E-2</v>
      </c>
      <c r="Z101" s="86">
        <v>3.7530000000000001E-2</v>
      </c>
      <c r="AA101" s="86">
        <v>4.1520000000000001E-2</v>
      </c>
      <c r="AB101" s="86">
        <v>3.3649999999999999E-2</v>
      </c>
      <c r="AC101" s="86">
        <v>4.2849999999999999E-2</v>
      </c>
      <c r="AD101" s="86">
        <v>4.8649999999999999E-2</v>
      </c>
      <c r="AE101" s="86">
        <v>3.3649999999999999E-2</v>
      </c>
      <c r="AF101" s="86">
        <v>3.3649999999999999E-2</v>
      </c>
      <c r="AG101" s="86">
        <v>3.3649999999999999E-2</v>
      </c>
      <c r="AH101" s="86">
        <v>3.7999999999999999E-2</v>
      </c>
      <c r="AI101" s="86">
        <v>2.2679999999999999E-2</v>
      </c>
      <c r="AJ101" s="86">
        <v>2.223E-2</v>
      </c>
      <c r="AK101" s="86">
        <v>3.8179999999999999E-2</v>
      </c>
      <c r="AL101" s="86">
        <v>6.0949999999999997E-2</v>
      </c>
      <c r="AM101" s="86">
        <v>3.397E-2</v>
      </c>
      <c r="AN101" s="86">
        <v>4.2320000000000003E-2</v>
      </c>
      <c r="AO101" s="86">
        <v>4.2889999999999998E-2</v>
      </c>
      <c r="AP101" s="86">
        <v>4.7140000000000001E-2</v>
      </c>
      <c r="AQ101" s="86">
        <v>3.771E-2</v>
      </c>
      <c r="AR101" s="86">
        <v>5.6250000000000001E-2</v>
      </c>
      <c r="AS101" s="86">
        <v>2.2190000000000001E-2</v>
      </c>
      <c r="AT101" s="86">
        <v>4.2700000000000002E-2</v>
      </c>
      <c r="AU101" s="86">
        <v>6.0539999999999997E-2</v>
      </c>
      <c r="AV101" s="86">
        <v>4.2049999999999997E-2</v>
      </c>
      <c r="AW101" s="86">
        <v>3.7580000000000002E-2</v>
      </c>
      <c r="AX101" s="86">
        <v>6.0350000000000001E-2</v>
      </c>
      <c r="AY101" s="86">
        <v>3.5060000000000001E-2</v>
      </c>
      <c r="AZ101" s="86">
        <v>3.6089999999999997E-2</v>
      </c>
      <c r="BA101" s="86">
        <v>3.8760000000000003E-2</v>
      </c>
      <c r="BB101" s="86">
        <v>6.1890000000000001E-2</v>
      </c>
      <c r="BC101" s="86">
        <v>3.0980000000000001E-2</v>
      </c>
      <c r="BD101" s="89"/>
      <c r="BE101" s="83"/>
    </row>
    <row r="102" spans="1:57" x14ac:dyDescent="0.25">
      <c r="A102" s="84">
        <f t="shared" si="1"/>
        <v>100</v>
      </c>
      <c r="B102" s="87">
        <v>90</v>
      </c>
      <c r="C102" s="88">
        <v>3.3739999999999999E-2</v>
      </c>
      <c r="D102" s="88">
        <v>3.3739999999999999E-2</v>
      </c>
      <c r="E102" s="88">
        <v>3.3739999999999999E-2</v>
      </c>
      <c r="F102" s="88">
        <v>3.3599999999999998E-2</v>
      </c>
      <c r="G102" s="88">
        <v>3.9789999999999999E-2</v>
      </c>
      <c r="H102" s="88">
        <v>3.3739999999999999E-2</v>
      </c>
      <c r="I102" s="88">
        <v>3.533E-2</v>
      </c>
      <c r="J102" s="88">
        <v>3.3709999999999997E-2</v>
      </c>
      <c r="K102" s="88">
        <v>3.3739999999999999E-2</v>
      </c>
      <c r="L102" s="88">
        <v>3.3739999999999999E-2</v>
      </c>
      <c r="M102" s="88">
        <v>3.3739999999999999E-2</v>
      </c>
      <c r="N102" s="88">
        <v>3.3739999999999999E-2</v>
      </c>
      <c r="O102" s="88">
        <v>3.3739999999999999E-2</v>
      </c>
      <c r="P102" s="88">
        <v>4.2729999999999997E-2</v>
      </c>
      <c r="Q102" s="88">
        <v>4.3299999999999998E-2</v>
      </c>
      <c r="R102" s="88">
        <v>3.3739999999999999E-2</v>
      </c>
      <c r="S102" s="88">
        <v>3.3739999999999999E-2</v>
      </c>
      <c r="T102" s="88">
        <v>3.3739999999999999E-2</v>
      </c>
      <c r="U102" s="88">
        <v>2.2780000000000002E-2</v>
      </c>
      <c r="V102" s="88">
        <v>3.3739999999999999E-2</v>
      </c>
      <c r="W102" s="88">
        <v>3.3739999999999999E-2</v>
      </c>
      <c r="X102" s="88">
        <v>3.3739999999999999E-2</v>
      </c>
      <c r="Y102" s="88">
        <v>3.3739999999999999E-2</v>
      </c>
      <c r="Z102" s="88">
        <v>3.7580000000000002E-2</v>
      </c>
      <c r="AA102" s="88">
        <v>4.1520000000000001E-2</v>
      </c>
      <c r="AB102" s="88">
        <v>3.3739999999999999E-2</v>
      </c>
      <c r="AC102" s="88">
        <v>4.2840000000000003E-2</v>
      </c>
      <c r="AD102" s="88">
        <v>4.8579999999999998E-2</v>
      </c>
      <c r="AE102" s="88">
        <v>3.3739999999999999E-2</v>
      </c>
      <c r="AF102" s="88">
        <v>3.3739999999999999E-2</v>
      </c>
      <c r="AG102" s="88">
        <v>3.3739999999999999E-2</v>
      </c>
      <c r="AH102" s="88">
        <v>3.8039999999999997E-2</v>
      </c>
      <c r="AI102" s="88">
        <v>2.2780000000000002E-2</v>
      </c>
      <c r="AJ102" s="88">
        <v>2.2450000000000001E-2</v>
      </c>
      <c r="AK102" s="88">
        <v>3.8219999999999997E-2</v>
      </c>
      <c r="AL102" s="88">
        <v>6.0850000000000001E-2</v>
      </c>
      <c r="AM102" s="88">
        <v>3.406E-2</v>
      </c>
      <c r="AN102" s="88">
        <v>4.2320000000000003E-2</v>
      </c>
      <c r="AO102" s="88">
        <v>4.2880000000000001E-2</v>
      </c>
      <c r="AP102" s="88">
        <v>4.7079999999999997E-2</v>
      </c>
      <c r="AQ102" s="88">
        <v>3.7760000000000002E-2</v>
      </c>
      <c r="AR102" s="88">
        <v>5.6210000000000003E-2</v>
      </c>
      <c r="AS102" s="88">
        <v>2.23E-2</v>
      </c>
      <c r="AT102" s="88">
        <v>4.2700000000000002E-2</v>
      </c>
      <c r="AU102" s="88">
        <v>6.0440000000000001E-2</v>
      </c>
      <c r="AV102" s="88">
        <v>4.2049999999999997E-2</v>
      </c>
      <c r="AW102" s="88">
        <v>3.7629999999999997E-2</v>
      </c>
      <c r="AX102" s="88">
        <v>6.0260000000000001E-2</v>
      </c>
      <c r="AY102" s="88">
        <v>3.5130000000000002E-2</v>
      </c>
      <c r="AZ102" s="88">
        <v>3.6150000000000002E-2</v>
      </c>
      <c r="BA102" s="88">
        <v>3.8789999999999998E-2</v>
      </c>
      <c r="BB102" s="88">
        <v>6.1780000000000002E-2</v>
      </c>
      <c r="BC102" s="88">
        <v>3.1099999999999999E-2</v>
      </c>
      <c r="BD102" s="89"/>
      <c r="BE102" s="83"/>
    </row>
    <row r="103" spans="1:57" x14ac:dyDescent="0.25">
      <c r="A103" s="84">
        <f t="shared" si="1"/>
        <v>101</v>
      </c>
      <c r="B103" s="83">
        <v>91</v>
      </c>
      <c r="C103" s="86">
        <v>3.3829999999999999E-2</v>
      </c>
      <c r="D103" s="86">
        <v>3.3829999999999999E-2</v>
      </c>
      <c r="E103" s="86">
        <v>3.3829999999999999E-2</v>
      </c>
      <c r="F103" s="86">
        <v>3.3689999999999998E-2</v>
      </c>
      <c r="G103" s="86">
        <v>3.9809999999999998E-2</v>
      </c>
      <c r="H103" s="86">
        <v>3.3829999999999999E-2</v>
      </c>
      <c r="I103" s="86">
        <v>3.5400000000000001E-2</v>
      </c>
      <c r="J103" s="86">
        <v>3.381E-2</v>
      </c>
      <c r="K103" s="86">
        <v>3.3829999999999999E-2</v>
      </c>
      <c r="L103" s="86">
        <v>3.3829999999999999E-2</v>
      </c>
      <c r="M103" s="86">
        <v>3.3829999999999999E-2</v>
      </c>
      <c r="N103" s="86">
        <v>3.3829999999999999E-2</v>
      </c>
      <c r="O103" s="86">
        <v>3.3829999999999999E-2</v>
      </c>
      <c r="P103" s="86">
        <v>4.2720000000000001E-2</v>
      </c>
      <c r="Q103" s="86">
        <v>4.3279999999999999E-2</v>
      </c>
      <c r="R103" s="86">
        <v>3.3829999999999999E-2</v>
      </c>
      <c r="S103" s="86">
        <v>3.3829999999999999E-2</v>
      </c>
      <c r="T103" s="86">
        <v>3.3829999999999999E-2</v>
      </c>
      <c r="U103" s="86">
        <v>2.2880000000000001E-2</v>
      </c>
      <c r="V103" s="86">
        <v>3.3829999999999999E-2</v>
      </c>
      <c r="W103" s="86">
        <v>3.3829999999999999E-2</v>
      </c>
      <c r="X103" s="86">
        <v>3.3829999999999999E-2</v>
      </c>
      <c r="Y103" s="86">
        <v>3.3829999999999999E-2</v>
      </c>
      <c r="Z103" s="86">
        <v>3.7629999999999997E-2</v>
      </c>
      <c r="AA103" s="86">
        <v>4.1529999999999997E-2</v>
      </c>
      <c r="AB103" s="86">
        <v>3.3829999999999999E-2</v>
      </c>
      <c r="AC103" s="86">
        <v>4.2840000000000003E-2</v>
      </c>
      <c r="AD103" s="86">
        <v>4.8509999999999998E-2</v>
      </c>
      <c r="AE103" s="86">
        <v>3.3829999999999999E-2</v>
      </c>
      <c r="AF103" s="86">
        <v>3.3829999999999999E-2</v>
      </c>
      <c r="AG103" s="86">
        <v>3.3829999999999999E-2</v>
      </c>
      <c r="AH103" s="86">
        <v>3.8089999999999999E-2</v>
      </c>
      <c r="AI103" s="86">
        <v>2.2880000000000001E-2</v>
      </c>
      <c r="AJ103" s="86">
        <v>2.266E-2</v>
      </c>
      <c r="AK103" s="86">
        <v>3.8260000000000002E-2</v>
      </c>
      <c r="AL103" s="86">
        <v>6.0749999999999998E-2</v>
      </c>
      <c r="AM103" s="86">
        <v>3.415E-2</v>
      </c>
      <c r="AN103" s="86">
        <v>4.231E-2</v>
      </c>
      <c r="AO103" s="86">
        <v>4.2880000000000001E-2</v>
      </c>
      <c r="AP103" s="86">
        <v>4.7030000000000002E-2</v>
      </c>
      <c r="AQ103" s="86">
        <v>3.7810000000000003E-2</v>
      </c>
      <c r="AR103" s="86">
        <v>5.6160000000000002E-2</v>
      </c>
      <c r="AS103" s="86">
        <v>2.2409999999999999E-2</v>
      </c>
      <c r="AT103" s="86">
        <v>4.2689999999999999E-2</v>
      </c>
      <c r="AU103" s="86">
        <v>6.0350000000000001E-2</v>
      </c>
      <c r="AV103" s="86">
        <v>4.2049999999999997E-2</v>
      </c>
      <c r="AW103" s="86">
        <v>3.7679999999999998E-2</v>
      </c>
      <c r="AX103" s="86">
        <v>6.0170000000000001E-2</v>
      </c>
      <c r="AY103" s="86">
        <v>3.5209999999999998E-2</v>
      </c>
      <c r="AZ103" s="86">
        <v>3.6220000000000002E-2</v>
      </c>
      <c r="BA103" s="86">
        <v>3.8830000000000003E-2</v>
      </c>
      <c r="BB103" s="86">
        <v>6.1679999999999999E-2</v>
      </c>
      <c r="BC103" s="86">
        <v>3.1220000000000001E-2</v>
      </c>
      <c r="BD103" s="89"/>
      <c r="BE103" s="83"/>
    </row>
    <row r="104" spans="1:57" x14ac:dyDescent="0.25">
      <c r="A104" s="84">
        <f t="shared" si="1"/>
        <v>102</v>
      </c>
      <c r="B104" s="83">
        <v>92</v>
      </c>
      <c r="C104" s="86">
        <v>3.3919999999999999E-2</v>
      </c>
      <c r="D104" s="86">
        <v>3.3919999999999999E-2</v>
      </c>
      <c r="E104" s="86">
        <v>3.3919999999999999E-2</v>
      </c>
      <c r="F104" s="86">
        <v>3.3779999999999998E-2</v>
      </c>
      <c r="G104" s="86">
        <v>3.984E-2</v>
      </c>
      <c r="H104" s="86">
        <v>3.3919999999999999E-2</v>
      </c>
      <c r="I104" s="86">
        <v>3.5479999999999998E-2</v>
      </c>
      <c r="J104" s="86">
        <v>3.3890000000000003E-2</v>
      </c>
      <c r="K104" s="86">
        <v>3.3919999999999999E-2</v>
      </c>
      <c r="L104" s="86">
        <v>3.3919999999999999E-2</v>
      </c>
      <c r="M104" s="86">
        <v>3.3919999999999999E-2</v>
      </c>
      <c r="N104" s="86">
        <v>3.3919999999999999E-2</v>
      </c>
      <c r="O104" s="86">
        <v>3.3919999999999999E-2</v>
      </c>
      <c r="P104" s="86">
        <v>4.2709999999999998E-2</v>
      </c>
      <c r="Q104" s="86">
        <v>4.3270000000000003E-2</v>
      </c>
      <c r="R104" s="86">
        <v>3.3919999999999999E-2</v>
      </c>
      <c r="S104" s="86">
        <v>3.3919999999999999E-2</v>
      </c>
      <c r="T104" s="86">
        <v>3.3919999999999999E-2</v>
      </c>
      <c r="U104" s="86">
        <v>2.298E-2</v>
      </c>
      <c r="V104" s="86">
        <v>3.3919999999999999E-2</v>
      </c>
      <c r="W104" s="86">
        <v>3.3919999999999999E-2</v>
      </c>
      <c r="X104" s="86">
        <v>3.3919999999999999E-2</v>
      </c>
      <c r="Y104" s="86">
        <v>3.3919999999999999E-2</v>
      </c>
      <c r="Z104" s="86">
        <v>3.7670000000000002E-2</v>
      </c>
      <c r="AA104" s="86">
        <v>4.1529999999999997E-2</v>
      </c>
      <c r="AB104" s="86">
        <v>3.3919999999999999E-2</v>
      </c>
      <c r="AC104" s="86">
        <v>4.283E-2</v>
      </c>
      <c r="AD104" s="86">
        <v>4.8439999999999997E-2</v>
      </c>
      <c r="AE104" s="86">
        <v>3.3919999999999999E-2</v>
      </c>
      <c r="AF104" s="86">
        <v>3.3919999999999999E-2</v>
      </c>
      <c r="AG104" s="86">
        <v>3.3919999999999999E-2</v>
      </c>
      <c r="AH104" s="86">
        <v>3.8129999999999997E-2</v>
      </c>
      <c r="AI104" s="86">
        <v>2.298E-2</v>
      </c>
      <c r="AJ104" s="86">
        <v>2.2859999999999998E-2</v>
      </c>
      <c r="AK104" s="86">
        <v>3.8300000000000001E-2</v>
      </c>
      <c r="AL104" s="86">
        <v>6.0650000000000003E-2</v>
      </c>
      <c r="AM104" s="86">
        <v>3.4229999999999997E-2</v>
      </c>
      <c r="AN104" s="86">
        <v>4.231E-2</v>
      </c>
      <c r="AO104" s="86">
        <v>4.2869999999999998E-2</v>
      </c>
      <c r="AP104" s="86">
        <v>4.6969999999999998E-2</v>
      </c>
      <c r="AQ104" s="86">
        <v>3.7850000000000002E-2</v>
      </c>
      <c r="AR104" s="86">
        <v>5.611E-2</v>
      </c>
      <c r="AS104" s="86">
        <v>2.2509999999999999E-2</v>
      </c>
      <c r="AT104" s="86">
        <v>4.2680000000000003E-2</v>
      </c>
      <c r="AU104" s="86">
        <v>6.0260000000000001E-2</v>
      </c>
      <c r="AV104" s="86">
        <v>4.2049999999999997E-2</v>
      </c>
      <c r="AW104" s="86">
        <v>3.773E-2</v>
      </c>
      <c r="AX104" s="86">
        <v>6.0080000000000001E-2</v>
      </c>
      <c r="AY104" s="86">
        <v>3.5279999999999999E-2</v>
      </c>
      <c r="AZ104" s="86">
        <v>3.628E-2</v>
      </c>
      <c r="BA104" s="86">
        <v>3.8859999999999999E-2</v>
      </c>
      <c r="BB104" s="86">
        <v>6.157E-2</v>
      </c>
      <c r="BC104" s="86">
        <v>3.134E-2</v>
      </c>
      <c r="BD104" s="89"/>
      <c r="BE104" s="83"/>
    </row>
    <row r="105" spans="1:57" x14ac:dyDescent="0.25">
      <c r="A105" s="84">
        <f t="shared" si="1"/>
        <v>103</v>
      </c>
      <c r="B105" s="83">
        <v>93</v>
      </c>
      <c r="C105" s="86">
        <v>3.4009999999999999E-2</v>
      </c>
      <c r="D105" s="86">
        <v>3.4009999999999999E-2</v>
      </c>
      <c r="E105" s="86">
        <v>3.4009999999999999E-2</v>
      </c>
      <c r="F105" s="86">
        <v>3.3869999999999997E-2</v>
      </c>
      <c r="G105" s="86">
        <v>3.986E-2</v>
      </c>
      <c r="H105" s="86">
        <v>3.4009999999999999E-2</v>
      </c>
      <c r="I105" s="86">
        <v>3.5549999999999998E-2</v>
      </c>
      <c r="J105" s="86">
        <v>3.3980000000000003E-2</v>
      </c>
      <c r="K105" s="86">
        <v>3.4009999999999999E-2</v>
      </c>
      <c r="L105" s="86">
        <v>3.4009999999999999E-2</v>
      </c>
      <c r="M105" s="86">
        <v>3.4009999999999999E-2</v>
      </c>
      <c r="N105" s="86">
        <v>3.4009999999999999E-2</v>
      </c>
      <c r="O105" s="86">
        <v>3.4009999999999999E-2</v>
      </c>
      <c r="P105" s="86">
        <v>4.2700000000000002E-2</v>
      </c>
      <c r="Q105" s="86">
        <v>4.326E-2</v>
      </c>
      <c r="R105" s="86">
        <v>3.4009999999999999E-2</v>
      </c>
      <c r="S105" s="86">
        <v>3.4009999999999999E-2</v>
      </c>
      <c r="T105" s="86">
        <v>3.4009999999999999E-2</v>
      </c>
      <c r="U105" s="86">
        <v>2.308E-2</v>
      </c>
      <c r="V105" s="86">
        <v>3.4009999999999999E-2</v>
      </c>
      <c r="W105" s="86">
        <v>3.4009999999999999E-2</v>
      </c>
      <c r="X105" s="86">
        <v>3.4009999999999999E-2</v>
      </c>
      <c r="Y105" s="86">
        <v>3.4009999999999999E-2</v>
      </c>
      <c r="Z105" s="86">
        <v>3.7719999999999997E-2</v>
      </c>
      <c r="AA105" s="86">
        <v>4.1540000000000001E-2</v>
      </c>
      <c r="AB105" s="86">
        <v>3.4009999999999999E-2</v>
      </c>
      <c r="AC105" s="86">
        <v>4.2819999999999997E-2</v>
      </c>
      <c r="AD105" s="86">
        <v>4.8370000000000003E-2</v>
      </c>
      <c r="AE105" s="86">
        <v>3.4009999999999999E-2</v>
      </c>
      <c r="AF105" s="86">
        <v>3.4009999999999999E-2</v>
      </c>
      <c r="AG105" s="86">
        <v>3.4009999999999999E-2</v>
      </c>
      <c r="AH105" s="86">
        <v>3.8170000000000003E-2</v>
      </c>
      <c r="AI105" s="86">
        <v>2.308E-2</v>
      </c>
      <c r="AJ105" s="86">
        <v>2.307E-2</v>
      </c>
      <c r="AK105" s="86">
        <v>3.8339999999999999E-2</v>
      </c>
      <c r="AL105" s="86">
        <v>6.0560000000000003E-2</v>
      </c>
      <c r="AM105" s="86">
        <v>3.4320000000000003E-2</v>
      </c>
      <c r="AN105" s="86">
        <v>4.231E-2</v>
      </c>
      <c r="AO105" s="86">
        <v>4.2860000000000002E-2</v>
      </c>
      <c r="AP105" s="86">
        <v>4.6920000000000003E-2</v>
      </c>
      <c r="AQ105" s="86">
        <v>3.7900000000000003E-2</v>
      </c>
      <c r="AR105" s="86">
        <v>5.6070000000000002E-2</v>
      </c>
      <c r="AS105" s="86">
        <v>2.2610000000000002E-2</v>
      </c>
      <c r="AT105" s="86">
        <v>4.267E-2</v>
      </c>
      <c r="AU105" s="86">
        <v>6.0170000000000001E-2</v>
      </c>
      <c r="AV105" s="86">
        <v>4.2049999999999997E-2</v>
      </c>
      <c r="AW105" s="86">
        <v>3.7769999999999998E-2</v>
      </c>
      <c r="AX105" s="86">
        <v>5.9990000000000002E-2</v>
      </c>
      <c r="AY105" s="86">
        <v>3.5349999999999999E-2</v>
      </c>
      <c r="AZ105" s="86">
        <v>3.6339999999999997E-2</v>
      </c>
      <c r="BA105" s="86">
        <v>3.8899999999999997E-2</v>
      </c>
      <c r="BB105" s="86">
        <v>6.1469999999999997E-2</v>
      </c>
      <c r="BC105" s="86">
        <v>3.1449999999999999E-2</v>
      </c>
      <c r="BD105" s="89"/>
      <c r="BE105" s="83"/>
    </row>
    <row r="106" spans="1:57" x14ac:dyDescent="0.25">
      <c r="A106" s="84">
        <f t="shared" si="1"/>
        <v>104</v>
      </c>
      <c r="B106" s="83">
        <v>94</v>
      </c>
      <c r="C106" s="86">
        <v>3.4090000000000002E-2</v>
      </c>
      <c r="D106" s="86">
        <v>3.4090000000000002E-2</v>
      </c>
      <c r="E106" s="86">
        <v>3.4090000000000002E-2</v>
      </c>
      <c r="F106" s="86">
        <v>3.3959999999999997E-2</v>
      </c>
      <c r="G106" s="86">
        <v>3.9879999999999999E-2</v>
      </c>
      <c r="H106" s="86">
        <v>3.4090000000000002E-2</v>
      </c>
      <c r="I106" s="86">
        <v>3.5610000000000003E-2</v>
      </c>
      <c r="J106" s="86">
        <v>3.4070000000000003E-2</v>
      </c>
      <c r="K106" s="86">
        <v>3.4090000000000002E-2</v>
      </c>
      <c r="L106" s="86">
        <v>3.4090000000000002E-2</v>
      </c>
      <c r="M106" s="86">
        <v>3.4090000000000002E-2</v>
      </c>
      <c r="N106" s="86">
        <v>3.4090000000000002E-2</v>
      </c>
      <c r="O106" s="86">
        <v>3.4090000000000002E-2</v>
      </c>
      <c r="P106" s="86">
        <v>4.2689999999999999E-2</v>
      </c>
      <c r="Q106" s="86">
        <v>4.3240000000000001E-2</v>
      </c>
      <c r="R106" s="86">
        <v>3.4090000000000002E-2</v>
      </c>
      <c r="S106" s="86">
        <v>3.4090000000000002E-2</v>
      </c>
      <c r="T106" s="86">
        <v>3.4090000000000002E-2</v>
      </c>
      <c r="U106" s="86">
        <v>2.317E-2</v>
      </c>
      <c r="V106" s="86">
        <v>3.4090000000000002E-2</v>
      </c>
      <c r="W106" s="86">
        <v>3.4090000000000002E-2</v>
      </c>
      <c r="X106" s="86">
        <v>3.4090000000000002E-2</v>
      </c>
      <c r="Y106" s="86">
        <v>3.4090000000000002E-2</v>
      </c>
      <c r="Z106" s="86">
        <v>3.7769999999999998E-2</v>
      </c>
      <c r="AA106" s="86">
        <v>4.1540000000000001E-2</v>
      </c>
      <c r="AB106" s="86">
        <v>3.4090000000000002E-2</v>
      </c>
      <c r="AC106" s="86">
        <v>4.2810000000000001E-2</v>
      </c>
      <c r="AD106" s="86">
        <v>4.8300000000000003E-2</v>
      </c>
      <c r="AE106" s="86">
        <v>3.4090000000000002E-2</v>
      </c>
      <c r="AF106" s="86">
        <v>3.4090000000000002E-2</v>
      </c>
      <c r="AG106" s="86">
        <v>3.4090000000000002E-2</v>
      </c>
      <c r="AH106" s="86">
        <v>3.8210000000000001E-2</v>
      </c>
      <c r="AI106" s="86">
        <v>2.317E-2</v>
      </c>
      <c r="AJ106" s="86">
        <v>2.3269999999999999E-2</v>
      </c>
      <c r="AK106" s="86">
        <v>3.8379999999999997E-2</v>
      </c>
      <c r="AL106" s="86">
        <v>6.0470000000000003E-2</v>
      </c>
      <c r="AM106" s="86">
        <v>3.44E-2</v>
      </c>
      <c r="AN106" s="86">
        <v>4.2299999999999997E-2</v>
      </c>
      <c r="AO106" s="86">
        <v>4.2849999999999999E-2</v>
      </c>
      <c r="AP106" s="86">
        <v>4.6870000000000002E-2</v>
      </c>
      <c r="AQ106" s="86">
        <v>3.7940000000000002E-2</v>
      </c>
      <c r="AR106" s="86">
        <v>5.6030000000000003E-2</v>
      </c>
      <c r="AS106" s="86">
        <v>2.2710000000000001E-2</v>
      </c>
      <c r="AT106" s="86">
        <v>4.267E-2</v>
      </c>
      <c r="AU106" s="86">
        <v>6.0080000000000001E-2</v>
      </c>
      <c r="AV106" s="86">
        <v>4.2049999999999997E-2</v>
      </c>
      <c r="AW106" s="86">
        <v>3.7819999999999999E-2</v>
      </c>
      <c r="AX106" s="86">
        <v>5.9909999999999998E-2</v>
      </c>
      <c r="AY106" s="86">
        <v>3.542E-2</v>
      </c>
      <c r="AZ106" s="86">
        <v>3.6400000000000002E-2</v>
      </c>
      <c r="BA106" s="86">
        <v>3.8929999999999999E-2</v>
      </c>
      <c r="BB106" s="86">
        <v>6.1370000000000001E-2</v>
      </c>
      <c r="BC106" s="86">
        <v>3.1559999999999998E-2</v>
      </c>
      <c r="BD106" s="89"/>
      <c r="BE106" s="83"/>
    </row>
    <row r="107" spans="1:57" x14ac:dyDescent="0.25">
      <c r="A107" s="84">
        <f t="shared" si="1"/>
        <v>105</v>
      </c>
      <c r="B107" s="87">
        <v>95</v>
      </c>
      <c r="C107" s="88">
        <v>3.4180000000000002E-2</v>
      </c>
      <c r="D107" s="88">
        <v>3.4180000000000002E-2</v>
      </c>
      <c r="E107" s="88">
        <v>3.4180000000000002E-2</v>
      </c>
      <c r="F107" s="88">
        <v>3.4040000000000001E-2</v>
      </c>
      <c r="G107" s="88">
        <v>3.9899999999999998E-2</v>
      </c>
      <c r="H107" s="88">
        <v>3.4180000000000002E-2</v>
      </c>
      <c r="I107" s="88">
        <v>3.5680000000000003E-2</v>
      </c>
      <c r="J107" s="88">
        <v>3.415E-2</v>
      </c>
      <c r="K107" s="88">
        <v>3.4180000000000002E-2</v>
      </c>
      <c r="L107" s="88">
        <v>3.4180000000000002E-2</v>
      </c>
      <c r="M107" s="88">
        <v>3.4180000000000002E-2</v>
      </c>
      <c r="N107" s="88">
        <v>3.4180000000000002E-2</v>
      </c>
      <c r="O107" s="88">
        <v>3.4180000000000002E-2</v>
      </c>
      <c r="P107" s="88">
        <v>4.2689999999999999E-2</v>
      </c>
      <c r="Q107" s="88">
        <v>4.3229999999999998E-2</v>
      </c>
      <c r="R107" s="88">
        <v>3.4180000000000002E-2</v>
      </c>
      <c r="S107" s="88">
        <v>3.4180000000000002E-2</v>
      </c>
      <c r="T107" s="88">
        <v>3.4180000000000002E-2</v>
      </c>
      <c r="U107" s="88">
        <v>2.3259999999999999E-2</v>
      </c>
      <c r="V107" s="88">
        <v>3.4180000000000002E-2</v>
      </c>
      <c r="W107" s="88">
        <v>3.4180000000000002E-2</v>
      </c>
      <c r="X107" s="88">
        <v>3.4180000000000002E-2</v>
      </c>
      <c r="Y107" s="88">
        <v>3.4180000000000002E-2</v>
      </c>
      <c r="Z107" s="88">
        <v>3.7810000000000003E-2</v>
      </c>
      <c r="AA107" s="88">
        <v>4.1549999999999997E-2</v>
      </c>
      <c r="AB107" s="88">
        <v>3.4180000000000002E-2</v>
      </c>
      <c r="AC107" s="88">
        <v>4.2799999999999998E-2</v>
      </c>
      <c r="AD107" s="88">
        <v>4.8230000000000002E-2</v>
      </c>
      <c r="AE107" s="88">
        <v>3.4180000000000002E-2</v>
      </c>
      <c r="AF107" s="88">
        <v>3.4180000000000002E-2</v>
      </c>
      <c r="AG107" s="88">
        <v>3.4180000000000002E-2</v>
      </c>
      <c r="AH107" s="88">
        <v>3.8249999999999999E-2</v>
      </c>
      <c r="AI107" s="88">
        <v>2.3259999999999999E-2</v>
      </c>
      <c r="AJ107" s="88">
        <v>2.3460000000000002E-2</v>
      </c>
      <c r="AK107" s="88">
        <v>3.8420000000000003E-2</v>
      </c>
      <c r="AL107" s="88">
        <v>6.0380000000000003E-2</v>
      </c>
      <c r="AM107" s="88">
        <v>3.4479999999999997E-2</v>
      </c>
      <c r="AN107" s="88">
        <v>4.2299999999999997E-2</v>
      </c>
      <c r="AO107" s="88">
        <v>4.2840000000000003E-2</v>
      </c>
      <c r="AP107" s="88">
        <v>4.6820000000000001E-2</v>
      </c>
      <c r="AQ107" s="88">
        <v>3.798E-2</v>
      </c>
      <c r="AR107" s="88">
        <v>5.5980000000000002E-2</v>
      </c>
      <c r="AS107" s="88">
        <v>2.281E-2</v>
      </c>
      <c r="AT107" s="88">
        <v>4.2659999999999997E-2</v>
      </c>
      <c r="AU107" s="88">
        <v>0.06</v>
      </c>
      <c r="AV107" s="88">
        <v>4.2049999999999997E-2</v>
      </c>
      <c r="AW107" s="88">
        <v>3.7859999999999998E-2</v>
      </c>
      <c r="AX107" s="88">
        <v>5.9819999999999998E-2</v>
      </c>
      <c r="AY107" s="88">
        <v>3.5490000000000001E-2</v>
      </c>
      <c r="AZ107" s="88">
        <v>3.6459999999999999E-2</v>
      </c>
      <c r="BA107" s="88">
        <v>3.8960000000000002E-2</v>
      </c>
      <c r="BB107" s="88">
        <v>6.1269999999999998E-2</v>
      </c>
      <c r="BC107" s="88">
        <v>3.1669999999999997E-2</v>
      </c>
      <c r="BD107" s="89"/>
      <c r="BE107" s="83"/>
    </row>
    <row r="108" spans="1:57" x14ac:dyDescent="0.25">
      <c r="A108" s="84">
        <f t="shared" si="1"/>
        <v>106</v>
      </c>
      <c r="B108" s="83">
        <v>96</v>
      </c>
      <c r="C108" s="86">
        <v>3.4259999999999999E-2</v>
      </c>
      <c r="D108" s="86">
        <v>3.4259999999999999E-2</v>
      </c>
      <c r="E108" s="86">
        <v>3.4259999999999999E-2</v>
      </c>
      <c r="F108" s="86">
        <v>3.4119999999999998E-2</v>
      </c>
      <c r="G108" s="86">
        <v>3.993E-2</v>
      </c>
      <c r="H108" s="86">
        <v>3.4259999999999999E-2</v>
      </c>
      <c r="I108" s="86">
        <v>3.5749999999999997E-2</v>
      </c>
      <c r="J108" s="86">
        <v>3.4229999999999997E-2</v>
      </c>
      <c r="K108" s="86">
        <v>3.4259999999999999E-2</v>
      </c>
      <c r="L108" s="86">
        <v>3.4259999999999999E-2</v>
      </c>
      <c r="M108" s="86">
        <v>3.4259999999999999E-2</v>
      </c>
      <c r="N108" s="86">
        <v>3.4259999999999999E-2</v>
      </c>
      <c r="O108" s="86">
        <v>3.4259999999999999E-2</v>
      </c>
      <c r="P108" s="86">
        <v>4.2680000000000003E-2</v>
      </c>
      <c r="Q108" s="86">
        <v>4.3220000000000001E-2</v>
      </c>
      <c r="R108" s="86">
        <v>3.4259999999999999E-2</v>
      </c>
      <c r="S108" s="86">
        <v>3.4259999999999999E-2</v>
      </c>
      <c r="T108" s="86">
        <v>3.4259999999999999E-2</v>
      </c>
      <c r="U108" s="86">
        <v>2.3349999999999999E-2</v>
      </c>
      <c r="V108" s="86">
        <v>3.4259999999999999E-2</v>
      </c>
      <c r="W108" s="86">
        <v>3.4259999999999999E-2</v>
      </c>
      <c r="X108" s="86">
        <v>3.4259999999999999E-2</v>
      </c>
      <c r="Y108" s="86">
        <v>3.4259999999999999E-2</v>
      </c>
      <c r="Z108" s="86">
        <v>3.7850000000000002E-2</v>
      </c>
      <c r="AA108" s="86">
        <v>4.1549999999999997E-2</v>
      </c>
      <c r="AB108" s="86">
        <v>3.4259999999999999E-2</v>
      </c>
      <c r="AC108" s="86">
        <v>4.2790000000000002E-2</v>
      </c>
      <c r="AD108" s="86">
        <v>4.8169999999999998E-2</v>
      </c>
      <c r="AE108" s="86">
        <v>3.4259999999999999E-2</v>
      </c>
      <c r="AF108" s="86">
        <v>3.4259999999999999E-2</v>
      </c>
      <c r="AG108" s="86">
        <v>3.4259999999999999E-2</v>
      </c>
      <c r="AH108" s="86">
        <v>3.8289999999999998E-2</v>
      </c>
      <c r="AI108" s="86">
        <v>2.3349999999999999E-2</v>
      </c>
      <c r="AJ108" s="86">
        <v>2.3650000000000001E-2</v>
      </c>
      <c r="AK108" s="86">
        <v>3.8460000000000001E-2</v>
      </c>
      <c r="AL108" s="86">
        <v>6.0290000000000003E-2</v>
      </c>
      <c r="AM108" s="86">
        <v>3.456E-2</v>
      </c>
      <c r="AN108" s="86">
        <v>4.2299999999999997E-2</v>
      </c>
      <c r="AO108" s="86">
        <v>4.283E-2</v>
      </c>
      <c r="AP108" s="86">
        <v>4.6769999999999999E-2</v>
      </c>
      <c r="AQ108" s="86">
        <v>3.8019999999999998E-2</v>
      </c>
      <c r="AR108" s="86">
        <v>5.5939999999999997E-2</v>
      </c>
      <c r="AS108" s="86">
        <v>2.291E-2</v>
      </c>
      <c r="AT108" s="86">
        <v>4.265E-2</v>
      </c>
      <c r="AU108" s="86">
        <v>5.9909999999999998E-2</v>
      </c>
      <c r="AV108" s="86">
        <v>4.2049999999999997E-2</v>
      </c>
      <c r="AW108" s="86">
        <v>3.7900000000000003E-2</v>
      </c>
      <c r="AX108" s="86">
        <v>5.9740000000000001E-2</v>
      </c>
      <c r="AY108" s="86">
        <v>3.5560000000000001E-2</v>
      </c>
      <c r="AZ108" s="86">
        <v>3.6519999999999997E-2</v>
      </c>
      <c r="BA108" s="86">
        <v>3.8989999999999997E-2</v>
      </c>
      <c r="BB108" s="86">
        <v>6.1170000000000002E-2</v>
      </c>
      <c r="BC108" s="86">
        <v>3.1780000000000003E-2</v>
      </c>
      <c r="BD108" s="89"/>
      <c r="BE108" s="83"/>
    </row>
    <row r="109" spans="1:57" x14ac:dyDescent="0.25">
      <c r="A109" s="84">
        <f t="shared" si="1"/>
        <v>107</v>
      </c>
      <c r="B109" s="83">
        <v>97</v>
      </c>
      <c r="C109" s="86">
        <v>3.4340000000000002E-2</v>
      </c>
      <c r="D109" s="86">
        <v>3.4340000000000002E-2</v>
      </c>
      <c r="E109" s="86">
        <v>3.4340000000000002E-2</v>
      </c>
      <c r="F109" s="86">
        <v>3.4200000000000001E-2</v>
      </c>
      <c r="G109" s="86">
        <v>3.9949999999999999E-2</v>
      </c>
      <c r="H109" s="86">
        <v>3.4340000000000002E-2</v>
      </c>
      <c r="I109" s="86">
        <v>3.5810000000000002E-2</v>
      </c>
      <c r="J109" s="86">
        <v>3.431E-2</v>
      </c>
      <c r="K109" s="86">
        <v>3.4340000000000002E-2</v>
      </c>
      <c r="L109" s="86">
        <v>3.4340000000000002E-2</v>
      </c>
      <c r="M109" s="86">
        <v>3.4340000000000002E-2</v>
      </c>
      <c r="N109" s="86">
        <v>3.4340000000000002E-2</v>
      </c>
      <c r="O109" s="86">
        <v>3.4340000000000002E-2</v>
      </c>
      <c r="P109" s="86">
        <v>4.267E-2</v>
      </c>
      <c r="Q109" s="86">
        <v>4.3209999999999998E-2</v>
      </c>
      <c r="R109" s="86">
        <v>3.4340000000000002E-2</v>
      </c>
      <c r="S109" s="86">
        <v>3.4340000000000002E-2</v>
      </c>
      <c r="T109" s="86">
        <v>3.4340000000000002E-2</v>
      </c>
      <c r="U109" s="86">
        <v>2.3439999999999999E-2</v>
      </c>
      <c r="V109" s="86">
        <v>3.4340000000000002E-2</v>
      </c>
      <c r="W109" s="86">
        <v>3.4340000000000002E-2</v>
      </c>
      <c r="X109" s="86">
        <v>3.4340000000000002E-2</v>
      </c>
      <c r="Y109" s="86">
        <v>3.4340000000000002E-2</v>
      </c>
      <c r="Z109" s="86">
        <v>3.7900000000000003E-2</v>
      </c>
      <c r="AA109" s="86">
        <v>4.156E-2</v>
      </c>
      <c r="AB109" s="86">
        <v>3.4340000000000002E-2</v>
      </c>
      <c r="AC109" s="86">
        <v>4.2779999999999999E-2</v>
      </c>
      <c r="AD109" s="86">
        <v>4.8099999999999997E-2</v>
      </c>
      <c r="AE109" s="86">
        <v>3.4340000000000002E-2</v>
      </c>
      <c r="AF109" s="86">
        <v>3.4340000000000002E-2</v>
      </c>
      <c r="AG109" s="86">
        <v>3.4340000000000002E-2</v>
      </c>
      <c r="AH109" s="86">
        <v>3.8330000000000003E-2</v>
      </c>
      <c r="AI109" s="86">
        <v>2.3439999999999999E-2</v>
      </c>
      <c r="AJ109" s="86">
        <v>2.384E-2</v>
      </c>
      <c r="AK109" s="86">
        <v>3.8490000000000003E-2</v>
      </c>
      <c r="AL109" s="86">
        <v>6.021E-2</v>
      </c>
      <c r="AM109" s="86">
        <v>3.4630000000000001E-2</v>
      </c>
      <c r="AN109" s="86">
        <v>4.2290000000000001E-2</v>
      </c>
      <c r="AO109" s="86">
        <v>4.2819999999999997E-2</v>
      </c>
      <c r="AP109" s="86">
        <v>4.6719999999999998E-2</v>
      </c>
      <c r="AQ109" s="86">
        <v>3.8059999999999997E-2</v>
      </c>
      <c r="AR109" s="86">
        <v>5.5899999999999998E-2</v>
      </c>
      <c r="AS109" s="86">
        <v>2.3E-2</v>
      </c>
      <c r="AT109" s="86">
        <v>4.265E-2</v>
      </c>
      <c r="AU109" s="86">
        <v>5.9830000000000001E-2</v>
      </c>
      <c r="AV109" s="86">
        <v>4.2049999999999997E-2</v>
      </c>
      <c r="AW109" s="86">
        <v>3.7949999999999998E-2</v>
      </c>
      <c r="AX109" s="86">
        <v>5.9659999999999998E-2</v>
      </c>
      <c r="AY109" s="86">
        <v>3.5630000000000002E-2</v>
      </c>
      <c r="AZ109" s="86">
        <v>3.6580000000000001E-2</v>
      </c>
      <c r="BA109" s="86">
        <v>3.9019999999999999E-2</v>
      </c>
      <c r="BB109" s="86">
        <v>6.1069999999999999E-2</v>
      </c>
      <c r="BC109" s="86">
        <v>3.1879999999999999E-2</v>
      </c>
      <c r="BD109" s="89"/>
      <c r="BE109" s="83"/>
    </row>
    <row r="110" spans="1:57" x14ac:dyDescent="0.25">
      <c r="A110" s="84">
        <f t="shared" si="1"/>
        <v>108</v>
      </c>
      <c r="B110" s="83">
        <v>98</v>
      </c>
      <c r="C110" s="86">
        <v>3.4410000000000003E-2</v>
      </c>
      <c r="D110" s="86">
        <v>3.4410000000000003E-2</v>
      </c>
      <c r="E110" s="86">
        <v>3.4410000000000003E-2</v>
      </c>
      <c r="F110" s="86">
        <v>3.4279999999999998E-2</v>
      </c>
      <c r="G110" s="86">
        <v>3.9969999999999999E-2</v>
      </c>
      <c r="H110" s="86">
        <v>3.4410000000000003E-2</v>
      </c>
      <c r="I110" s="86">
        <v>3.5869999999999999E-2</v>
      </c>
      <c r="J110" s="86">
        <v>3.4389999999999997E-2</v>
      </c>
      <c r="K110" s="86">
        <v>3.4410000000000003E-2</v>
      </c>
      <c r="L110" s="86">
        <v>3.4410000000000003E-2</v>
      </c>
      <c r="M110" s="86">
        <v>3.4410000000000003E-2</v>
      </c>
      <c r="N110" s="86">
        <v>3.4410000000000003E-2</v>
      </c>
      <c r="O110" s="86">
        <v>3.4410000000000003E-2</v>
      </c>
      <c r="P110" s="86">
        <v>4.267E-2</v>
      </c>
      <c r="Q110" s="86">
        <v>4.3189999999999999E-2</v>
      </c>
      <c r="R110" s="86">
        <v>3.4410000000000003E-2</v>
      </c>
      <c r="S110" s="86">
        <v>3.4410000000000003E-2</v>
      </c>
      <c r="T110" s="86">
        <v>3.4410000000000003E-2</v>
      </c>
      <c r="U110" s="86">
        <v>2.3529999999999999E-2</v>
      </c>
      <c r="V110" s="86">
        <v>3.4410000000000003E-2</v>
      </c>
      <c r="W110" s="86">
        <v>3.4410000000000003E-2</v>
      </c>
      <c r="X110" s="86">
        <v>3.4410000000000003E-2</v>
      </c>
      <c r="Y110" s="86">
        <v>3.4410000000000003E-2</v>
      </c>
      <c r="Z110" s="86">
        <v>3.7940000000000002E-2</v>
      </c>
      <c r="AA110" s="86">
        <v>4.156E-2</v>
      </c>
      <c r="AB110" s="86">
        <v>3.4410000000000003E-2</v>
      </c>
      <c r="AC110" s="86">
        <v>4.2779999999999999E-2</v>
      </c>
      <c r="AD110" s="86">
        <v>4.8039999999999999E-2</v>
      </c>
      <c r="AE110" s="86">
        <v>3.4410000000000003E-2</v>
      </c>
      <c r="AF110" s="86">
        <v>3.4410000000000003E-2</v>
      </c>
      <c r="AG110" s="86">
        <v>3.4410000000000003E-2</v>
      </c>
      <c r="AH110" s="86">
        <v>3.8370000000000001E-2</v>
      </c>
      <c r="AI110" s="86">
        <v>2.3529999999999999E-2</v>
      </c>
      <c r="AJ110" s="86">
        <v>2.402E-2</v>
      </c>
      <c r="AK110" s="86">
        <v>3.8530000000000002E-2</v>
      </c>
      <c r="AL110" s="86">
        <v>6.012E-2</v>
      </c>
      <c r="AM110" s="86">
        <v>3.4709999999999998E-2</v>
      </c>
      <c r="AN110" s="86">
        <v>4.2290000000000001E-2</v>
      </c>
      <c r="AO110" s="86">
        <v>4.2810000000000001E-2</v>
      </c>
      <c r="AP110" s="86">
        <v>4.6670000000000003E-2</v>
      </c>
      <c r="AQ110" s="86">
        <v>3.8100000000000002E-2</v>
      </c>
      <c r="AR110" s="86">
        <v>5.586E-2</v>
      </c>
      <c r="AS110" s="86">
        <v>2.3089999999999999E-2</v>
      </c>
      <c r="AT110" s="86">
        <v>4.2639999999999997E-2</v>
      </c>
      <c r="AU110" s="86">
        <v>5.9749999999999998E-2</v>
      </c>
      <c r="AV110" s="86">
        <v>4.2049999999999997E-2</v>
      </c>
      <c r="AW110" s="86">
        <v>3.7990000000000003E-2</v>
      </c>
      <c r="AX110" s="86">
        <v>5.9580000000000001E-2</v>
      </c>
      <c r="AY110" s="86">
        <v>3.569E-2</v>
      </c>
      <c r="AZ110" s="86">
        <v>3.6630000000000003E-2</v>
      </c>
      <c r="BA110" s="86">
        <v>3.9050000000000001E-2</v>
      </c>
      <c r="BB110" s="86">
        <v>6.0979999999999999E-2</v>
      </c>
      <c r="BC110" s="86">
        <v>3.1980000000000001E-2</v>
      </c>
      <c r="BD110" s="89"/>
      <c r="BE110" s="83"/>
    </row>
    <row r="111" spans="1:57" x14ac:dyDescent="0.25">
      <c r="A111" s="84">
        <f t="shared" si="1"/>
        <v>109</v>
      </c>
      <c r="B111" s="83">
        <v>99</v>
      </c>
      <c r="C111" s="86">
        <v>3.449E-2</v>
      </c>
      <c r="D111" s="86">
        <v>3.449E-2</v>
      </c>
      <c r="E111" s="86">
        <v>3.449E-2</v>
      </c>
      <c r="F111" s="86">
        <v>3.4360000000000002E-2</v>
      </c>
      <c r="G111" s="86">
        <v>3.9989999999999998E-2</v>
      </c>
      <c r="H111" s="86">
        <v>3.449E-2</v>
      </c>
      <c r="I111" s="86">
        <v>3.594E-2</v>
      </c>
      <c r="J111" s="86">
        <v>3.4459999999999998E-2</v>
      </c>
      <c r="K111" s="86">
        <v>3.449E-2</v>
      </c>
      <c r="L111" s="86">
        <v>3.449E-2</v>
      </c>
      <c r="M111" s="86">
        <v>3.449E-2</v>
      </c>
      <c r="N111" s="86">
        <v>3.449E-2</v>
      </c>
      <c r="O111" s="86">
        <v>3.449E-2</v>
      </c>
      <c r="P111" s="86">
        <v>4.2659999999999997E-2</v>
      </c>
      <c r="Q111" s="86">
        <v>4.3180000000000003E-2</v>
      </c>
      <c r="R111" s="86">
        <v>3.449E-2</v>
      </c>
      <c r="S111" s="86">
        <v>3.449E-2</v>
      </c>
      <c r="T111" s="86">
        <v>3.449E-2</v>
      </c>
      <c r="U111" s="86">
        <v>2.3609999999999999E-2</v>
      </c>
      <c r="V111" s="86">
        <v>3.449E-2</v>
      </c>
      <c r="W111" s="86">
        <v>3.449E-2</v>
      </c>
      <c r="X111" s="86">
        <v>3.449E-2</v>
      </c>
      <c r="Y111" s="86">
        <v>3.449E-2</v>
      </c>
      <c r="Z111" s="86">
        <v>3.798E-2</v>
      </c>
      <c r="AA111" s="86">
        <v>4.1570000000000003E-2</v>
      </c>
      <c r="AB111" s="86">
        <v>3.449E-2</v>
      </c>
      <c r="AC111" s="86">
        <v>4.2770000000000002E-2</v>
      </c>
      <c r="AD111" s="86">
        <v>4.7980000000000002E-2</v>
      </c>
      <c r="AE111" s="86">
        <v>3.449E-2</v>
      </c>
      <c r="AF111" s="86">
        <v>3.449E-2</v>
      </c>
      <c r="AG111" s="86">
        <v>3.449E-2</v>
      </c>
      <c r="AH111" s="86">
        <v>3.8399999999999997E-2</v>
      </c>
      <c r="AI111" s="86">
        <v>2.3609999999999999E-2</v>
      </c>
      <c r="AJ111" s="86">
        <v>2.4199999999999999E-2</v>
      </c>
      <c r="AK111" s="86">
        <v>3.857E-2</v>
      </c>
      <c r="AL111" s="86">
        <v>6.0040000000000003E-2</v>
      </c>
      <c r="AM111" s="86">
        <v>3.4779999999999998E-2</v>
      </c>
      <c r="AN111" s="86">
        <v>4.2290000000000001E-2</v>
      </c>
      <c r="AO111" s="86">
        <v>4.2799999999999998E-2</v>
      </c>
      <c r="AP111" s="86">
        <v>4.6620000000000002E-2</v>
      </c>
      <c r="AQ111" s="86">
        <v>3.814E-2</v>
      </c>
      <c r="AR111" s="86">
        <v>5.5820000000000002E-2</v>
      </c>
      <c r="AS111" s="86">
        <v>2.3179999999999999E-2</v>
      </c>
      <c r="AT111" s="86">
        <v>4.2630000000000001E-2</v>
      </c>
      <c r="AU111" s="86">
        <v>5.9670000000000001E-2</v>
      </c>
      <c r="AV111" s="86">
        <v>4.2049999999999997E-2</v>
      </c>
      <c r="AW111" s="86">
        <v>3.8030000000000001E-2</v>
      </c>
      <c r="AX111" s="86">
        <v>5.951E-2</v>
      </c>
      <c r="AY111" s="86">
        <v>3.576E-2</v>
      </c>
      <c r="AZ111" s="86">
        <v>3.6679999999999997E-2</v>
      </c>
      <c r="BA111" s="86">
        <v>3.9079999999999997E-2</v>
      </c>
      <c r="BB111" s="86">
        <v>6.089E-2</v>
      </c>
      <c r="BC111" s="86">
        <v>3.2079999999999997E-2</v>
      </c>
      <c r="BD111" s="89"/>
      <c r="BE111" s="83"/>
    </row>
    <row r="112" spans="1:57" x14ac:dyDescent="0.25">
      <c r="A112" s="84">
        <f t="shared" si="1"/>
        <v>110</v>
      </c>
      <c r="B112" s="87">
        <v>100</v>
      </c>
      <c r="C112" s="88">
        <v>3.4569999999999997E-2</v>
      </c>
      <c r="D112" s="88">
        <v>3.4569999999999997E-2</v>
      </c>
      <c r="E112" s="88">
        <v>3.4569999999999997E-2</v>
      </c>
      <c r="F112" s="88">
        <v>3.4439999999999998E-2</v>
      </c>
      <c r="G112" s="88">
        <v>4.0009999999999997E-2</v>
      </c>
      <c r="H112" s="88">
        <v>3.4569999999999997E-2</v>
      </c>
      <c r="I112" s="88">
        <v>3.5999999999999997E-2</v>
      </c>
      <c r="J112" s="88">
        <v>3.4540000000000001E-2</v>
      </c>
      <c r="K112" s="88">
        <v>3.4569999999999997E-2</v>
      </c>
      <c r="L112" s="88">
        <v>3.4569999999999997E-2</v>
      </c>
      <c r="M112" s="88">
        <v>3.4569999999999997E-2</v>
      </c>
      <c r="N112" s="88">
        <v>3.4569999999999997E-2</v>
      </c>
      <c r="O112" s="88">
        <v>3.4569999999999997E-2</v>
      </c>
      <c r="P112" s="88">
        <v>4.265E-2</v>
      </c>
      <c r="Q112" s="88">
        <v>4.317E-2</v>
      </c>
      <c r="R112" s="88">
        <v>3.4569999999999997E-2</v>
      </c>
      <c r="S112" s="88">
        <v>3.4569999999999997E-2</v>
      </c>
      <c r="T112" s="88">
        <v>3.4569999999999997E-2</v>
      </c>
      <c r="U112" s="88">
        <v>2.3699999999999999E-2</v>
      </c>
      <c r="V112" s="88">
        <v>3.4569999999999997E-2</v>
      </c>
      <c r="W112" s="88">
        <v>3.4569999999999997E-2</v>
      </c>
      <c r="X112" s="88">
        <v>3.4569999999999997E-2</v>
      </c>
      <c r="Y112" s="88">
        <v>3.4569999999999997E-2</v>
      </c>
      <c r="Z112" s="88">
        <v>3.8019999999999998E-2</v>
      </c>
      <c r="AA112" s="88">
        <v>4.1570000000000003E-2</v>
      </c>
      <c r="AB112" s="88">
        <v>3.4569999999999997E-2</v>
      </c>
      <c r="AC112" s="88">
        <v>4.2759999999999999E-2</v>
      </c>
      <c r="AD112" s="88">
        <v>4.7919999999999997E-2</v>
      </c>
      <c r="AE112" s="88">
        <v>3.4569999999999997E-2</v>
      </c>
      <c r="AF112" s="88">
        <v>3.4569999999999997E-2</v>
      </c>
      <c r="AG112" s="88">
        <v>3.4569999999999997E-2</v>
      </c>
      <c r="AH112" s="88">
        <v>3.8440000000000002E-2</v>
      </c>
      <c r="AI112" s="88">
        <v>2.3699999999999999E-2</v>
      </c>
      <c r="AJ112" s="88">
        <v>2.4379999999999999E-2</v>
      </c>
      <c r="AK112" s="88">
        <v>3.8600000000000002E-2</v>
      </c>
      <c r="AL112" s="88">
        <v>5.9959999999999999E-2</v>
      </c>
      <c r="AM112" s="88">
        <v>3.4849999999999999E-2</v>
      </c>
      <c r="AN112" s="88">
        <v>4.2290000000000001E-2</v>
      </c>
      <c r="AO112" s="88">
        <v>4.2799999999999998E-2</v>
      </c>
      <c r="AP112" s="88">
        <v>4.6580000000000003E-2</v>
      </c>
      <c r="AQ112" s="88">
        <v>3.8179999999999999E-2</v>
      </c>
      <c r="AR112" s="88">
        <v>5.5780000000000003E-2</v>
      </c>
      <c r="AS112" s="88">
        <v>2.3269999999999999E-2</v>
      </c>
      <c r="AT112" s="88">
        <v>4.2630000000000001E-2</v>
      </c>
      <c r="AU112" s="88">
        <v>5.9589999999999997E-2</v>
      </c>
      <c r="AV112" s="88">
        <v>4.2049999999999997E-2</v>
      </c>
      <c r="AW112" s="88">
        <v>3.807E-2</v>
      </c>
      <c r="AX112" s="88">
        <v>5.9429999999999997E-2</v>
      </c>
      <c r="AY112" s="88">
        <v>3.5819999999999998E-2</v>
      </c>
      <c r="AZ112" s="88">
        <v>3.6740000000000002E-2</v>
      </c>
      <c r="BA112" s="88">
        <v>3.9109999999999999E-2</v>
      </c>
      <c r="BB112" s="88">
        <v>6.08E-2</v>
      </c>
      <c r="BC112" s="88">
        <v>3.218E-2</v>
      </c>
      <c r="BD112" s="89"/>
      <c r="BE112" s="83"/>
    </row>
    <row r="113" spans="1:57" x14ac:dyDescent="0.25">
      <c r="A113" s="84">
        <f t="shared" si="1"/>
        <v>111</v>
      </c>
      <c r="B113" s="83">
        <v>101</v>
      </c>
      <c r="C113" s="86">
        <v>3.4639999999999997E-2</v>
      </c>
      <c r="D113" s="86">
        <v>3.4639999999999997E-2</v>
      </c>
      <c r="E113" s="86">
        <v>3.4639999999999997E-2</v>
      </c>
      <c r="F113" s="86">
        <v>3.4509999999999999E-2</v>
      </c>
      <c r="G113" s="86">
        <v>4.0030000000000003E-2</v>
      </c>
      <c r="H113" s="86">
        <v>3.4639999999999997E-2</v>
      </c>
      <c r="I113" s="86">
        <v>3.6060000000000002E-2</v>
      </c>
      <c r="J113" s="86">
        <v>3.4610000000000002E-2</v>
      </c>
      <c r="K113" s="86">
        <v>3.4639999999999997E-2</v>
      </c>
      <c r="L113" s="86">
        <v>3.4639999999999997E-2</v>
      </c>
      <c r="M113" s="86">
        <v>3.4639999999999997E-2</v>
      </c>
      <c r="N113" s="86">
        <v>3.4639999999999997E-2</v>
      </c>
      <c r="O113" s="86">
        <v>3.4639999999999997E-2</v>
      </c>
      <c r="P113" s="86">
        <v>4.265E-2</v>
      </c>
      <c r="Q113" s="86">
        <v>4.3159999999999997E-2</v>
      </c>
      <c r="R113" s="86">
        <v>3.4639999999999997E-2</v>
      </c>
      <c r="S113" s="86">
        <v>3.4639999999999997E-2</v>
      </c>
      <c r="T113" s="86">
        <v>3.4639999999999997E-2</v>
      </c>
      <c r="U113" s="86">
        <v>2.3779999999999999E-2</v>
      </c>
      <c r="V113" s="86">
        <v>3.4639999999999997E-2</v>
      </c>
      <c r="W113" s="86">
        <v>3.4639999999999997E-2</v>
      </c>
      <c r="X113" s="86">
        <v>3.4639999999999997E-2</v>
      </c>
      <c r="Y113" s="86">
        <v>3.4639999999999997E-2</v>
      </c>
      <c r="Z113" s="86">
        <v>3.8059999999999997E-2</v>
      </c>
      <c r="AA113" s="86">
        <v>4.1579999999999999E-2</v>
      </c>
      <c r="AB113" s="86">
        <v>3.4639999999999997E-2</v>
      </c>
      <c r="AC113" s="86">
        <v>4.2750000000000003E-2</v>
      </c>
      <c r="AD113" s="86">
        <v>4.786E-2</v>
      </c>
      <c r="AE113" s="86">
        <v>3.4639999999999997E-2</v>
      </c>
      <c r="AF113" s="86">
        <v>3.4639999999999997E-2</v>
      </c>
      <c r="AG113" s="86">
        <v>3.4639999999999997E-2</v>
      </c>
      <c r="AH113" s="86">
        <v>3.8469999999999997E-2</v>
      </c>
      <c r="AI113" s="86">
        <v>2.3779999999999999E-2</v>
      </c>
      <c r="AJ113" s="86">
        <v>2.4549999999999999E-2</v>
      </c>
      <c r="AK113" s="86">
        <v>3.8629999999999998E-2</v>
      </c>
      <c r="AL113" s="86">
        <v>5.9880000000000003E-2</v>
      </c>
      <c r="AM113" s="86">
        <v>3.492E-2</v>
      </c>
      <c r="AN113" s="86">
        <v>4.2279999999999998E-2</v>
      </c>
      <c r="AO113" s="86">
        <v>4.2790000000000002E-2</v>
      </c>
      <c r="AP113" s="86">
        <v>4.6530000000000002E-2</v>
      </c>
      <c r="AQ113" s="86">
        <v>3.8219999999999997E-2</v>
      </c>
      <c r="AR113" s="86">
        <v>5.5750000000000001E-2</v>
      </c>
      <c r="AS113" s="86">
        <v>2.3349999999999999E-2</v>
      </c>
      <c r="AT113" s="86">
        <v>4.2619999999999998E-2</v>
      </c>
      <c r="AU113" s="86">
        <v>5.9520000000000003E-2</v>
      </c>
      <c r="AV113" s="86">
        <v>4.2049999999999997E-2</v>
      </c>
      <c r="AW113" s="86">
        <v>3.8109999999999998E-2</v>
      </c>
      <c r="AX113" s="86">
        <v>5.9360000000000003E-2</v>
      </c>
      <c r="AY113" s="86">
        <v>3.5880000000000002E-2</v>
      </c>
      <c r="AZ113" s="86">
        <v>3.6790000000000003E-2</v>
      </c>
      <c r="BA113" s="86">
        <v>3.9140000000000001E-2</v>
      </c>
      <c r="BB113" s="86">
        <v>6.071E-2</v>
      </c>
      <c r="BC113" s="86">
        <v>3.2280000000000003E-2</v>
      </c>
      <c r="BD113" s="89"/>
      <c r="BE113" s="83"/>
    </row>
    <row r="114" spans="1:57" x14ac:dyDescent="0.25">
      <c r="A114" s="84">
        <f t="shared" si="1"/>
        <v>112</v>
      </c>
      <c r="B114" s="83">
        <v>102</v>
      </c>
      <c r="C114" s="86">
        <v>3.4709999999999998E-2</v>
      </c>
      <c r="D114" s="86">
        <v>3.4709999999999998E-2</v>
      </c>
      <c r="E114" s="86">
        <v>3.4709999999999998E-2</v>
      </c>
      <c r="F114" s="86">
        <v>3.458E-2</v>
      </c>
      <c r="G114" s="86">
        <v>4.0050000000000002E-2</v>
      </c>
      <c r="H114" s="86">
        <v>3.4709999999999998E-2</v>
      </c>
      <c r="I114" s="86">
        <v>3.6110000000000003E-2</v>
      </c>
      <c r="J114" s="86">
        <v>3.4689999999999999E-2</v>
      </c>
      <c r="K114" s="86">
        <v>3.4709999999999998E-2</v>
      </c>
      <c r="L114" s="86">
        <v>3.4709999999999998E-2</v>
      </c>
      <c r="M114" s="86">
        <v>3.4709999999999998E-2</v>
      </c>
      <c r="N114" s="86">
        <v>3.4709999999999998E-2</v>
      </c>
      <c r="O114" s="86">
        <v>3.4709999999999998E-2</v>
      </c>
      <c r="P114" s="86">
        <v>4.2639999999999997E-2</v>
      </c>
      <c r="Q114" s="86">
        <v>4.3150000000000001E-2</v>
      </c>
      <c r="R114" s="86">
        <v>3.4709999999999998E-2</v>
      </c>
      <c r="S114" s="86">
        <v>3.4709999999999998E-2</v>
      </c>
      <c r="T114" s="86">
        <v>3.4709999999999998E-2</v>
      </c>
      <c r="U114" s="86">
        <v>2.3859999999999999E-2</v>
      </c>
      <c r="V114" s="86">
        <v>3.4709999999999998E-2</v>
      </c>
      <c r="W114" s="86">
        <v>3.4709999999999998E-2</v>
      </c>
      <c r="X114" s="86">
        <v>3.4709999999999998E-2</v>
      </c>
      <c r="Y114" s="86">
        <v>3.4709999999999998E-2</v>
      </c>
      <c r="Z114" s="86">
        <v>3.8100000000000002E-2</v>
      </c>
      <c r="AA114" s="86">
        <v>4.1579999999999999E-2</v>
      </c>
      <c r="AB114" s="86">
        <v>3.4709999999999998E-2</v>
      </c>
      <c r="AC114" s="86">
        <v>4.2750000000000003E-2</v>
      </c>
      <c r="AD114" s="86">
        <v>4.7800000000000002E-2</v>
      </c>
      <c r="AE114" s="86">
        <v>3.4709999999999998E-2</v>
      </c>
      <c r="AF114" s="86">
        <v>3.4709999999999998E-2</v>
      </c>
      <c r="AG114" s="86">
        <v>3.4709999999999998E-2</v>
      </c>
      <c r="AH114" s="86">
        <v>3.8510000000000003E-2</v>
      </c>
      <c r="AI114" s="86">
        <v>2.3859999999999999E-2</v>
      </c>
      <c r="AJ114" s="86">
        <v>2.4719999999999999E-2</v>
      </c>
      <c r="AK114" s="86">
        <v>3.8670000000000003E-2</v>
      </c>
      <c r="AL114" s="86">
        <v>5.9799999999999999E-2</v>
      </c>
      <c r="AM114" s="86">
        <v>3.499E-2</v>
      </c>
      <c r="AN114" s="86">
        <v>4.2279999999999998E-2</v>
      </c>
      <c r="AO114" s="86">
        <v>4.2779999999999999E-2</v>
      </c>
      <c r="AP114" s="86">
        <v>4.6489999999999997E-2</v>
      </c>
      <c r="AQ114" s="86">
        <v>3.8260000000000002E-2</v>
      </c>
      <c r="AR114" s="86">
        <v>5.5710000000000003E-2</v>
      </c>
      <c r="AS114" s="86">
        <v>2.3439999999999999E-2</v>
      </c>
      <c r="AT114" s="86">
        <v>4.2610000000000002E-2</v>
      </c>
      <c r="AU114" s="86">
        <v>5.9450000000000003E-2</v>
      </c>
      <c r="AV114" s="86">
        <v>4.2049999999999997E-2</v>
      </c>
      <c r="AW114" s="86">
        <v>3.814E-2</v>
      </c>
      <c r="AX114" s="86">
        <v>5.9279999999999999E-2</v>
      </c>
      <c r="AY114" s="86">
        <v>3.594E-2</v>
      </c>
      <c r="AZ114" s="86">
        <v>3.6839999999999998E-2</v>
      </c>
      <c r="BA114" s="86">
        <v>3.9170000000000003E-2</v>
      </c>
      <c r="BB114" s="86">
        <v>6.0630000000000003E-2</v>
      </c>
      <c r="BC114" s="86">
        <v>3.2370000000000003E-2</v>
      </c>
      <c r="BD114" s="89"/>
      <c r="BE114" s="83"/>
    </row>
    <row r="115" spans="1:57" x14ac:dyDescent="0.25">
      <c r="A115" s="84">
        <f t="shared" si="1"/>
        <v>113</v>
      </c>
      <c r="B115" s="83">
        <v>103</v>
      </c>
      <c r="C115" s="86">
        <v>3.4779999999999998E-2</v>
      </c>
      <c r="D115" s="86">
        <v>3.4779999999999998E-2</v>
      </c>
      <c r="E115" s="86">
        <v>3.4779999999999998E-2</v>
      </c>
      <c r="F115" s="86">
        <v>3.4660000000000003E-2</v>
      </c>
      <c r="G115" s="86">
        <v>4.0070000000000001E-2</v>
      </c>
      <c r="H115" s="86">
        <v>3.4779999999999998E-2</v>
      </c>
      <c r="I115" s="86">
        <v>3.6170000000000001E-2</v>
      </c>
      <c r="J115" s="86">
        <v>3.4759999999999999E-2</v>
      </c>
      <c r="K115" s="86">
        <v>3.4779999999999998E-2</v>
      </c>
      <c r="L115" s="86">
        <v>3.4779999999999998E-2</v>
      </c>
      <c r="M115" s="86">
        <v>3.4779999999999998E-2</v>
      </c>
      <c r="N115" s="86">
        <v>3.4779999999999998E-2</v>
      </c>
      <c r="O115" s="86">
        <v>3.4779999999999998E-2</v>
      </c>
      <c r="P115" s="86">
        <v>4.2630000000000001E-2</v>
      </c>
      <c r="Q115" s="86">
        <v>4.3139999999999998E-2</v>
      </c>
      <c r="R115" s="86">
        <v>3.4779999999999998E-2</v>
      </c>
      <c r="S115" s="86">
        <v>3.4779999999999998E-2</v>
      </c>
      <c r="T115" s="86">
        <v>3.4779999999999998E-2</v>
      </c>
      <c r="U115" s="86">
        <v>2.3939999999999999E-2</v>
      </c>
      <c r="V115" s="86">
        <v>3.4779999999999998E-2</v>
      </c>
      <c r="W115" s="86">
        <v>3.4779999999999998E-2</v>
      </c>
      <c r="X115" s="86">
        <v>3.4779999999999998E-2</v>
      </c>
      <c r="Y115" s="86">
        <v>3.4779999999999998E-2</v>
      </c>
      <c r="Z115" s="86">
        <v>3.8129999999999997E-2</v>
      </c>
      <c r="AA115" s="86">
        <v>4.1579999999999999E-2</v>
      </c>
      <c r="AB115" s="86">
        <v>3.4779999999999998E-2</v>
      </c>
      <c r="AC115" s="86">
        <v>4.274E-2</v>
      </c>
      <c r="AD115" s="86">
        <v>4.7750000000000001E-2</v>
      </c>
      <c r="AE115" s="86">
        <v>3.4779999999999998E-2</v>
      </c>
      <c r="AF115" s="86">
        <v>3.4779999999999998E-2</v>
      </c>
      <c r="AG115" s="86">
        <v>3.4779999999999998E-2</v>
      </c>
      <c r="AH115" s="86">
        <v>3.8539999999999998E-2</v>
      </c>
      <c r="AI115" s="86">
        <v>2.3939999999999999E-2</v>
      </c>
      <c r="AJ115" s="86">
        <v>2.4889999999999999E-2</v>
      </c>
      <c r="AK115" s="86">
        <v>3.8699999999999998E-2</v>
      </c>
      <c r="AL115" s="86">
        <v>5.9729999999999998E-2</v>
      </c>
      <c r="AM115" s="86">
        <v>3.5060000000000001E-2</v>
      </c>
      <c r="AN115" s="86">
        <v>4.2279999999999998E-2</v>
      </c>
      <c r="AO115" s="86">
        <v>4.2770000000000002E-2</v>
      </c>
      <c r="AP115" s="86">
        <v>4.6440000000000002E-2</v>
      </c>
      <c r="AQ115" s="86">
        <v>3.8289999999999998E-2</v>
      </c>
      <c r="AR115" s="86">
        <v>5.5669999999999997E-2</v>
      </c>
      <c r="AS115" s="86">
        <v>2.3519999999999999E-2</v>
      </c>
      <c r="AT115" s="86">
        <v>4.2610000000000002E-2</v>
      </c>
      <c r="AU115" s="86">
        <v>5.9369999999999999E-2</v>
      </c>
      <c r="AV115" s="86">
        <v>4.2049999999999997E-2</v>
      </c>
      <c r="AW115" s="86">
        <v>3.8179999999999999E-2</v>
      </c>
      <c r="AX115" s="86">
        <v>5.9209999999999999E-2</v>
      </c>
      <c r="AY115" s="86">
        <v>3.5999999999999997E-2</v>
      </c>
      <c r="AZ115" s="86">
        <v>3.6889999999999999E-2</v>
      </c>
      <c r="BA115" s="86">
        <v>3.9199999999999999E-2</v>
      </c>
      <c r="BB115" s="86">
        <v>6.0539999999999997E-2</v>
      </c>
      <c r="BC115" s="86">
        <v>3.2469999999999999E-2</v>
      </c>
      <c r="BD115" s="89"/>
      <c r="BE115" s="83"/>
    </row>
    <row r="116" spans="1:57" x14ac:dyDescent="0.25">
      <c r="A116" s="84">
        <f t="shared" si="1"/>
        <v>114</v>
      </c>
      <c r="B116" s="83">
        <v>104</v>
      </c>
      <c r="C116" s="86">
        <v>3.4849999999999999E-2</v>
      </c>
      <c r="D116" s="86">
        <v>3.4849999999999999E-2</v>
      </c>
      <c r="E116" s="86">
        <v>3.4849999999999999E-2</v>
      </c>
      <c r="F116" s="86">
        <v>3.4729999999999997E-2</v>
      </c>
      <c r="G116" s="86">
        <v>4.0079999999999998E-2</v>
      </c>
      <c r="H116" s="86">
        <v>3.4849999999999999E-2</v>
      </c>
      <c r="I116" s="86">
        <v>3.6229999999999998E-2</v>
      </c>
      <c r="J116" s="86">
        <v>3.483E-2</v>
      </c>
      <c r="K116" s="86">
        <v>3.4849999999999999E-2</v>
      </c>
      <c r="L116" s="86">
        <v>3.4849999999999999E-2</v>
      </c>
      <c r="M116" s="86">
        <v>3.4849999999999999E-2</v>
      </c>
      <c r="N116" s="86">
        <v>3.4849999999999999E-2</v>
      </c>
      <c r="O116" s="86">
        <v>3.4849999999999999E-2</v>
      </c>
      <c r="P116" s="86">
        <v>4.2630000000000001E-2</v>
      </c>
      <c r="Q116" s="86">
        <v>4.3119999999999999E-2</v>
      </c>
      <c r="R116" s="86">
        <v>3.4849999999999999E-2</v>
      </c>
      <c r="S116" s="86">
        <v>3.4849999999999999E-2</v>
      </c>
      <c r="T116" s="86">
        <v>3.4849999999999999E-2</v>
      </c>
      <c r="U116" s="86">
        <v>2.402E-2</v>
      </c>
      <c r="V116" s="86">
        <v>3.4849999999999999E-2</v>
      </c>
      <c r="W116" s="86">
        <v>3.4849999999999999E-2</v>
      </c>
      <c r="X116" s="86">
        <v>3.4849999999999999E-2</v>
      </c>
      <c r="Y116" s="86">
        <v>3.4849999999999999E-2</v>
      </c>
      <c r="Z116" s="86">
        <v>3.8170000000000003E-2</v>
      </c>
      <c r="AA116" s="86">
        <v>4.1590000000000002E-2</v>
      </c>
      <c r="AB116" s="86">
        <v>3.4849999999999999E-2</v>
      </c>
      <c r="AC116" s="86">
        <v>4.2729999999999997E-2</v>
      </c>
      <c r="AD116" s="86">
        <v>4.7690000000000003E-2</v>
      </c>
      <c r="AE116" s="86">
        <v>3.4849999999999999E-2</v>
      </c>
      <c r="AF116" s="86">
        <v>3.4849999999999999E-2</v>
      </c>
      <c r="AG116" s="86">
        <v>3.4849999999999999E-2</v>
      </c>
      <c r="AH116" s="86">
        <v>3.8580000000000003E-2</v>
      </c>
      <c r="AI116" s="86">
        <v>2.402E-2</v>
      </c>
      <c r="AJ116" s="86">
        <v>2.5049999999999999E-2</v>
      </c>
      <c r="AK116" s="86">
        <v>3.8730000000000001E-2</v>
      </c>
      <c r="AL116" s="86">
        <v>5.9650000000000002E-2</v>
      </c>
      <c r="AM116" s="86">
        <v>3.5130000000000002E-2</v>
      </c>
      <c r="AN116" s="86">
        <v>4.2279999999999998E-2</v>
      </c>
      <c r="AO116" s="86">
        <v>4.2770000000000002E-2</v>
      </c>
      <c r="AP116" s="86">
        <v>4.6399999999999997E-2</v>
      </c>
      <c r="AQ116" s="86">
        <v>3.8330000000000003E-2</v>
      </c>
      <c r="AR116" s="86">
        <v>5.5640000000000002E-2</v>
      </c>
      <c r="AS116" s="86">
        <v>2.3599999999999999E-2</v>
      </c>
      <c r="AT116" s="86">
        <v>4.2599999999999999E-2</v>
      </c>
      <c r="AU116" s="86">
        <v>5.9299999999999999E-2</v>
      </c>
      <c r="AV116" s="86">
        <v>4.2040000000000001E-2</v>
      </c>
      <c r="AW116" s="86">
        <v>3.8219999999999997E-2</v>
      </c>
      <c r="AX116" s="86">
        <v>5.9139999999999998E-2</v>
      </c>
      <c r="AY116" s="86">
        <v>3.6049999999999999E-2</v>
      </c>
      <c r="AZ116" s="86">
        <v>3.6940000000000001E-2</v>
      </c>
      <c r="BA116" s="86">
        <v>3.9219999999999998E-2</v>
      </c>
      <c r="BB116" s="86">
        <v>6.046E-2</v>
      </c>
      <c r="BC116" s="86">
        <v>3.2559999999999999E-2</v>
      </c>
      <c r="BD116" s="89"/>
      <c r="BE116" s="83"/>
    </row>
    <row r="117" spans="1:57" x14ac:dyDescent="0.25">
      <c r="A117" s="84">
        <f t="shared" si="1"/>
        <v>115</v>
      </c>
      <c r="B117" s="87">
        <v>105</v>
      </c>
      <c r="C117" s="88">
        <v>3.492E-2</v>
      </c>
      <c r="D117" s="88">
        <v>3.492E-2</v>
      </c>
      <c r="E117" s="88">
        <v>3.492E-2</v>
      </c>
      <c r="F117" s="88">
        <v>3.4799999999999998E-2</v>
      </c>
      <c r="G117" s="88">
        <v>4.0099999999999997E-2</v>
      </c>
      <c r="H117" s="88">
        <v>3.492E-2</v>
      </c>
      <c r="I117" s="88">
        <v>3.628E-2</v>
      </c>
      <c r="J117" s="88">
        <v>3.4889999999999997E-2</v>
      </c>
      <c r="K117" s="88">
        <v>3.492E-2</v>
      </c>
      <c r="L117" s="88">
        <v>3.492E-2</v>
      </c>
      <c r="M117" s="88">
        <v>3.492E-2</v>
      </c>
      <c r="N117" s="88">
        <v>3.492E-2</v>
      </c>
      <c r="O117" s="88">
        <v>3.492E-2</v>
      </c>
      <c r="P117" s="88">
        <v>4.2619999999999998E-2</v>
      </c>
      <c r="Q117" s="88">
        <v>4.3110000000000002E-2</v>
      </c>
      <c r="R117" s="88">
        <v>3.492E-2</v>
      </c>
      <c r="S117" s="88">
        <v>3.492E-2</v>
      </c>
      <c r="T117" s="88">
        <v>3.492E-2</v>
      </c>
      <c r="U117" s="88">
        <v>2.409E-2</v>
      </c>
      <c r="V117" s="88">
        <v>3.492E-2</v>
      </c>
      <c r="W117" s="88">
        <v>3.492E-2</v>
      </c>
      <c r="X117" s="88">
        <v>3.492E-2</v>
      </c>
      <c r="Y117" s="88">
        <v>3.492E-2</v>
      </c>
      <c r="Z117" s="88">
        <v>3.8210000000000001E-2</v>
      </c>
      <c r="AA117" s="88">
        <v>4.1590000000000002E-2</v>
      </c>
      <c r="AB117" s="88">
        <v>3.492E-2</v>
      </c>
      <c r="AC117" s="88">
        <v>4.2720000000000001E-2</v>
      </c>
      <c r="AD117" s="88">
        <v>4.7640000000000002E-2</v>
      </c>
      <c r="AE117" s="88">
        <v>3.492E-2</v>
      </c>
      <c r="AF117" s="88">
        <v>3.492E-2</v>
      </c>
      <c r="AG117" s="88">
        <v>3.492E-2</v>
      </c>
      <c r="AH117" s="88">
        <v>3.8609999999999998E-2</v>
      </c>
      <c r="AI117" s="88">
        <v>2.409E-2</v>
      </c>
      <c r="AJ117" s="88">
        <v>2.521E-2</v>
      </c>
      <c r="AK117" s="88">
        <v>3.8760000000000003E-2</v>
      </c>
      <c r="AL117" s="88">
        <v>5.9580000000000001E-2</v>
      </c>
      <c r="AM117" s="88">
        <v>3.5189999999999999E-2</v>
      </c>
      <c r="AN117" s="88">
        <v>4.2270000000000002E-2</v>
      </c>
      <c r="AO117" s="88">
        <v>4.2759999999999999E-2</v>
      </c>
      <c r="AP117" s="88">
        <v>4.6359999999999998E-2</v>
      </c>
      <c r="AQ117" s="88">
        <v>3.8359999999999998E-2</v>
      </c>
      <c r="AR117" s="88">
        <v>5.5599999999999997E-2</v>
      </c>
      <c r="AS117" s="88">
        <v>2.368E-2</v>
      </c>
      <c r="AT117" s="88">
        <v>4.2599999999999999E-2</v>
      </c>
      <c r="AU117" s="88">
        <v>5.9229999999999998E-2</v>
      </c>
      <c r="AV117" s="88">
        <v>4.2040000000000001E-2</v>
      </c>
      <c r="AW117" s="88">
        <v>3.8249999999999999E-2</v>
      </c>
      <c r="AX117" s="88">
        <v>5.9080000000000001E-2</v>
      </c>
      <c r="AY117" s="88">
        <v>3.6110000000000003E-2</v>
      </c>
      <c r="AZ117" s="88">
        <v>3.6990000000000002E-2</v>
      </c>
      <c r="BA117" s="88">
        <v>3.925E-2</v>
      </c>
      <c r="BB117" s="88">
        <v>6.0380000000000003E-2</v>
      </c>
      <c r="BC117" s="88">
        <v>3.2649999999999998E-2</v>
      </c>
      <c r="BD117" s="89"/>
      <c r="BE117" s="83"/>
    </row>
    <row r="118" spans="1:57" x14ac:dyDescent="0.25">
      <c r="A118" s="84">
        <f t="shared" si="1"/>
        <v>116</v>
      </c>
      <c r="B118" s="83">
        <v>106</v>
      </c>
      <c r="C118" s="86">
        <v>3.499E-2</v>
      </c>
      <c r="D118" s="86">
        <v>3.499E-2</v>
      </c>
      <c r="E118" s="86">
        <v>3.499E-2</v>
      </c>
      <c r="F118" s="86">
        <v>3.4860000000000002E-2</v>
      </c>
      <c r="G118" s="86">
        <v>4.0120000000000003E-2</v>
      </c>
      <c r="H118" s="86">
        <v>3.499E-2</v>
      </c>
      <c r="I118" s="86">
        <v>3.6330000000000001E-2</v>
      </c>
      <c r="J118" s="86">
        <v>3.4959999999999998E-2</v>
      </c>
      <c r="K118" s="86">
        <v>3.499E-2</v>
      </c>
      <c r="L118" s="86">
        <v>3.499E-2</v>
      </c>
      <c r="M118" s="86">
        <v>3.499E-2</v>
      </c>
      <c r="N118" s="86">
        <v>3.499E-2</v>
      </c>
      <c r="O118" s="86">
        <v>3.499E-2</v>
      </c>
      <c r="P118" s="86">
        <v>4.2619999999999998E-2</v>
      </c>
      <c r="Q118" s="86">
        <v>4.3099999999999999E-2</v>
      </c>
      <c r="R118" s="86">
        <v>3.499E-2</v>
      </c>
      <c r="S118" s="86">
        <v>3.499E-2</v>
      </c>
      <c r="T118" s="86">
        <v>3.499E-2</v>
      </c>
      <c r="U118" s="86">
        <v>2.4170000000000001E-2</v>
      </c>
      <c r="V118" s="86">
        <v>3.499E-2</v>
      </c>
      <c r="W118" s="86">
        <v>3.499E-2</v>
      </c>
      <c r="X118" s="86">
        <v>3.499E-2</v>
      </c>
      <c r="Y118" s="86">
        <v>3.499E-2</v>
      </c>
      <c r="Z118" s="86">
        <v>3.8240000000000003E-2</v>
      </c>
      <c r="AA118" s="86">
        <v>4.1599999999999998E-2</v>
      </c>
      <c r="AB118" s="86">
        <v>3.499E-2</v>
      </c>
      <c r="AC118" s="86">
        <v>4.2720000000000001E-2</v>
      </c>
      <c r="AD118" s="86">
        <v>4.7579999999999997E-2</v>
      </c>
      <c r="AE118" s="86">
        <v>3.499E-2</v>
      </c>
      <c r="AF118" s="86">
        <v>3.499E-2</v>
      </c>
      <c r="AG118" s="86">
        <v>3.499E-2</v>
      </c>
      <c r="AH118" s="86">
        <v>3.8640000000000001E-2</v>
      </c>
      <c r="AI118" s="86">
        <v>2.4170000000000001E-2</v>
      </c>
      <c r="AJ118" s="86">
        <v>2.537E-2</v>
      </c>
      <c r="AK118" s="86">
        <v>3.8789999999999998E-2</v>
      </c>
      <c r="AL118" s="86">
        <v>5.951E-2</v>
      </c>
      <c r="AM118" s="86">
        <v>3.526E-2</v>
      </c>
      <c r="AN118" s="86">
        <v>4.2270000000000002E-2</v>
      </c>
      <c r="AO118" s="86">
        <v>4.2750000000000003E-2</v>
      </c>
      <c r="AP118" s="86">
        <v>4.632E-2</v>
      </c>
      <c r="AQ118" s="86">
        <v>3.8399999999999997E-2</v>
      </c>
      <c r="AR118" s="86">
        <v>5.5570000000000001E-2</v>
      </c>
      <c r="AS118" s="86">
        <v>2.376E-2</v>
      </c>
      <c r="AT118" s="86">
        <v>4.2590000000000003E-2</v>
      </c>
      <c r="AU118" s="86">
        <v>5.9159999999999997E-2</v>
      </c>
      <c r="AV118" s="86">
        <v>4.2040000000000001E-2</v>
      </c>
      <c r="AW118" s="86">
        <v>3.8289999999999998E-2</v>
      </c>
      <c r="AX118" s="86">
        <v>5.901E-2</v>
      </c>
      <c r="AY118" s="86">
        <v>3.6170000000000001E-2</v>
      </c>
      <c r="AZ118" s="86">
        <v>3.703E-2</v>
      </c>
      <c r="BA118" s="86">
        <v>3.9280000000000002E-2</v>
      </c>
      <c r="BB118" s="86">
        <v>6.0299999999999999E-2</v>
      </c>
      <c r="BC118" s="86">
        <v>3.2730000000000002E-2</v>
      </c>
      <c r="BD118" s="89"/>
      <c r="BE118" s="83"/>
    </row>
    <row r="119" spans="1:57" x14ac:dyDescent="0.25">
      <c r="A119" s="84">
        <f t="shared" si="1"/>
        <v>117</v>
      </c>
      <c r="B119" s="83">
        <v>107</v>
      </c>
      <c r="C119" s="86">
        <v>3.5049999999999998E-2</v>
      </c>
      <c r="D119" s="86">
        <v>3.5049999999999998E-2</v>
      </c>
      <c r="E119" s="86">
        <v>3.5049999999999998E-2</v>
      </c>
      <c r="F119" s="86">
        <v>3.4930000000000003E-2</v>
      </c>
      <c r="G119" s="86">
        <v>4.0140000000000002E-2</v>
      </c>
      <c r="H119" s="86">
        <v>3.5049999999999998E-2</v>
      </c>
      <c r="I119" s="86">
        <v>3.6389999999999999E-2</v>
      </c>
      <c r="J119" s="86">
        <v>3.5029999999999999E-2</v>
      </c>
      <c r="K119" s="86">
        <v>3.5049999999999998E-2</v>
      </c>
      <c r="L119" s="86">
        <v>3.5049999999999998E-2</v>
      </c>
      <c r="M119" s="86">
        <v>3.5049999999999998E-2</v>
      </c>
      <c r="N119" s="86">
        <v>3.5049999999999998E-2</v>
      </c>
      <c r="O119" s="86">
        <v>3.5049999999999998E-2</v>
      </c>
      <c r="P119" s="86">
        <v>4.2610000000000002E-2</v>
      </c>
      <c r="Q119" s="86">
        <v>4.3090000000000003E-2</v>
      </c>
      <c r="R119" s="86">
        <v>3.5049999999999998E-2</v>
      </c>
      <c r="S119" s="86">
        <v>3.5049999999999998E-2</v>
      </c>
      <c r="T119" s="86">
        <v>3.5049999999999998E-2</v>
      </c>
      <c r="U119" s="86">
        <v>2.4240000000000001E-2</v>
      </c>
      <c r="V119" s="86">
        <v>3.5049999999999998E-2</v>
      </c>
      <c r="W119" s="86">
        <v>3.5049999999999998E-2</v>
      </c>
      <c r="X119" s="86">
        <v>3.5049999999999998E-2</v>
      </c>
      <c r="Y119" s="86">
        <v>3.5049999999999998E-2</v>
      </c>
      <c r="Z119" s="86">
        <v>3.8280000000000002E-2</v>
      </c>
      <c r="AA119" s="86">
        <v>4.1599999999999998E-2</v>
      </c>
      <c r="AB119" s="86">
        <v>3.5049999999999998E-2</v>
      </c>
      <c r="AC119" s="86">
        <v>4.2709999999999998E-2</v>
      </c>
      <c r="AD119" s="86">
        <v>4.7530000000000003E-2</v>
      </c>
      <c r="AE119" s="86">
        <v>3.5049999999999998E-2</v>
      </c>
      <c r="AF119" s="86">
        <v>3.5049999999999998E-2</v>
      </c>
      <c r="AG119" s="86">
        <v>3.5049999999999998E-2</v>
      </c>
      <c r="AH119" s="86">
        <v>3.8670000000000003E-2</v>
      </c>
      <c r="AI119" s="86">
        <v>2.4240000000000001E-2</v>
      </c>
      <c r="AJ119" s="86">
        <v>2.5520000000000001E-2</v>
      </c>
      <c r="AK119" s="86">
        <v>3.882E-2</v>
      </c>
      <c r="AL119" s="86">
        <v>5.944E-2</v>
      </c>
      <c r="AM119" s="86">
        <v>3.5319999999999997E-2</v>
      </c>
      <c r="AN119" s="86">
        <v>4.2270000000000002E-2</v>
      </c>
      <c r="AO119" s="86">
        <v>4.2750000000000003E-2</v>
      </c>
      <c r="AP119" s="86">
        <v>4.6280000000000002E-2</v>
      </c>
      <c r="AQ119" s="86">
        <v>3.8429999999999999E-2</v>
      </c>
      <c r="AR119" s="86">
        <v>5.5539999999999999E-2</v>
      </c>
      <c r="AS119" s="86">
        <v>2.384E-2</v>
      </c>
      <c r="AT119" s="86">
        <v>4.2590000000000003E-2</v>
      </c>
      <c r="AU119" s="86">
        <v>5.91E-2</v>
      </c>
      <c r="AV119" s="86">
        <v>4.2040000000000001E-2</v>
      </c>
      <c r="AW119" s="86">
        <v>3.832E-2</v>
      </c>
      <c r="AX119" s="86">
        <v>5.8939999999999999E-2</v>
      </c>
      <c r="AY119" s="86">
        <v>3.6220000000000002E-2</v>
      </c>
      <c r="AZ119" s="86">
        <v>3.7080000000000002E-2</v>
      </c>
      <c r="BA119" s="86">
        <v>3.9300000000000002E-2</v>
      </c>
      <c r="BB119" s="86">
        <v>6.0220000000000003E-2</v>
      </c>
      <c r="BC119" s="86">
        <v>3.2820000000000002E-2</v>
      </c>
      <c r="BD119" s="89"/>
      <c r="BE119" s="83"/>
    </row>
    <row r="120" spans="1:57" x14ac:dyDescent="0.25">
      <c r="A120" s="84">
        <f t="shared" si="1"/>
        <v>118</v>
      </c>
      <c r="B120" s="83">
        <v>108</v>
      </c>
      <c r="C120" s="86">
        <v>3.5110000000000002E-2</v>
      </c>
      <c r="D120" s="86">
        <v>3.5110000000000002E-2</v>
      </c>
      <c r="E120" s="86">
        <v>3.5110000000000002E-2</v>
      </c>
      <c r="F120" s="86">
        <v>3.499E-2</v>
      </c>
      <c r="G120" s="86">
        <v>4.0160000000000001E-2</v>
      </c>
      <c r="H120" s="86">
        <v>3.5110000000000002E-2</v>
      </c>
      <c r="I120" s="86">
        <v>3.644E-2</v>
      </c>
      <c r="J120" s="86">
        <v>3.5090000000000003E-2</v>
      </c>
      <c r="K120" s="86">
        <v>3.5110000000000002E-2</v>
      </c>
      <c r="L120" s="86">
        <v>3.5110000000000002E-2</v>
      </c>
      <c r="M120" s="86">
        <v>3.5110000000000002E-2</v>
      </c>
      <c r="N120" s="86">
        <v>3.5110000000000002E-2</v>
      </c>
      <c r="O120" s="86">
        <v>3.5110000000000002E-2</v>
      </c>
      <c r="P120" s="86">
        <v>4.2599999999999999E-2</v>
      </c>
      <c r="Q120" s="86">
        <v>4.308E-2</v>
      </c>
      <c r="R120" s="86">
        <v>3.5110000000000002E-2</v>
      </c>
      <c r="S120" s="86">
        <v>3.5110000000000002E-2</v>
      </c>
      <c r="T120" s="86">
        <v>3.5110000000000002E-2</v>
      </c>
      <c r="U120" s="86">
        <v>2.4309999999999998E-2</v>
      </c>
      <c r="V120" s="86">
        <v>3.5110000000000002E-2</v>
      </c>
      <c r="W120" s="86">
        <v>3.5110000000000002E-2</v>
      </c>
      <c r="X120" s="86">
        <v>3.5110000000000002E-2</v>
      </c>
      <c r="Y120" s="86">
        <v>3.5110000000000002E-2</v>
      </c>
      <c r="Z120" s="86">
        <v>3.8309999999999997E-2</v>
      </c>
      <c r="AA120" s="86">
        <v>4.1599999999999998E-2</v>
      </c>
      <c r="AB120" s="86">
        <v>3.5110000000000002E-2</v>
      </c>
      <c r="AC120" s="86">
        <v>4.2700000000000002E-2</v>
      </c>
      <c r="AD120" s="86">
        <v>4.7480000000000001E-2</v>
      </c>
      <c r="AE120" s="86">
        <v>3.5110000000000002E-2</v>
      </c>
      <c r="AF120" s="86">
        <v>3.5110000000000002E-2</v>
      </c>
      <c r="AG120" s="86">
        <v>3.5110000000000002E-2</v>
      </c>
      <c r="AH120" s="86">
        <v>3.8699999999999998E-2</v>
      </c>
      <c r="AI120" s="86">
        <v>2.4309999999999998E-2</v>
      </c>
      <c r="AJ120" s="86">
        <v>2.5669999999999998E-2</v>
      </c>
      <c r="AK120" s="86">
        <v>3.8850000000000003E-2</v>
      </c>
      <c r="AL120" s="86">
        <v>5.9369999999999999E-2</v>
      </c>
      <c r="AM120" s="86">
        <v>3.5380000000000002E-2</v>
      </c>
      <c r="AN120" s="86">
        <v>4.2270000000000002E-2</v>
      </c>
      <c r="AO120" s="86">
        <v>4.274E-2</v>
      </c>
      <c r="AP120" s="86">
        <v>4.6240000000000003E-2</v>
      </c>
      <c r="AQ120" s="86">
        <v>3.8460000000000001E-2</v>
      </c>
      <c r="AR120" s="86">
        <v>5.5500000000000001E-2</v>
      </c>
      <c r="AS120" s="86">
        <v>2.3910000000000001E-2</v>
      </c>
      <c r="AT120" s="86">
        <v>4.258E-2</v>
      </c>
      <c r="AU120" s="86">
        <v>5.9029999999999999E-2</v>
      </c>
      <c r="AV120" s="86">
        <v>4.2040000000000001E-2</v>
      </c>
      <c r="AW120" s="86">
        <v>3.8359999999999998E-2</v>
      </c>
      <c r="AX120" s="86">
        <v>5.8880000000000002E-2</v>
      </c>
      <c r="AY120" s="86">
        <v>3.6269999999999997E-2</v>
      </c>
      <c r="AZ120" s="86">
        <v>3.7130000000000003E-2</v>
      </c>
      <c r="BA120" s="86">
        <v>3.9329999999999997E-2</v>
      </c>
      <c r="BB120" s="86">
        <v>6.0150000000000002E-2</v>
      </c>
      <c r="BC120" s="86">
        <v>3.2910000000000002E-2</v>
      </c>
      <c r="BD120" s="89"/>
      <c r="BE120" s="83"/>
    </row>
    <row r="121" spans="1:57" x14ac:dyDescent="0.25">
      <c r="A121" s="84">
        <f t="shared" si="1"/>
        <v>119</v>
      </c>
      <c r="B121" s="83">
        <v>109</v>
      </c>
      <c r="C121" s="86">
        <v>3.5180000000000003E-2</v>
      </c>
      <c r="D121" s="86">
        <v>3.5180000000000003E-2</v>
      </c>
      <c r="E121" s="86">
        <v>3.5180000000000003E-2</v>
      </c>
      <c r="F121" s="86">
        <v>3.5060000000000001E-2</v>
      </c>
      <c r="G121" s="86">
        <v>4.0169999999999997E-2</v>
      </c>
      <c r="H121" s="86">
        <v>3.5180000000000003E-2</v>
      </c>
      <c r="I121" s="86">
        <v>3.6490000000000002E-2</v>
      </c>
      <c r="J121" s="86">
        <v>3.5150000000000001E-2</v>
      </c>
      <c r="K121" s="86">
        <v>3.5180000000000003E-2</v>
      </c>
      <c r="L121" s="86">
        <v>3.5180000000000003E-2</v>
      </c>
      <c r="M121" s="86">
        <v>3.5180000000000003E-2</v>
      </c>
      <c r="N121" s="86">
        <v>3.5180000000000003E-2</v>
      </c>
      <c r="O121" s="86">
        <v>3.5180000000000003E-2</v>
      </c>
      <c r="P121" s="86">
        <v>4.2599999999999999E-2</v>
      </c>
      <c r="Q121" s="86">
        <v>4.3069999999999997E-2</v>
      </c>
      <c r="R121" s="86">
        <v>3.5180000000000003E-2</v>
      </c>
      <c r="S121" s="86">
        <v>3.5180000000000003E-2</v>
      </c>
      <c r="T121" s="86">
        <v>3.5180000000000003E-2</v>
      </c>
      <c r="U121" s="86">
        <v>2.4379999999999999E-2</v>
      </c>
      <c r="V121" s="86">
        <v>3.5180000000000003E-2</v>
      </c>
      <c r="W121" s="86">
        <v>3.5180000000000003E-2</v>
      </c>
      <c r="X121" s="86">
        <v>3.5180000000000003E-2</v>
      </c>
      <c r="Y121" s="86">
        <v>3.5180000000000003E-2</v>
      </c>
      <c r="Z121" s="86">
        <v>3.8350000000000002E-2</v>
      </c>
      <c r="AA121" s="86">
        <v>4.1610000000000001E-2</v>
      </c>
      <c r="AB121" s="86">
        <v>3.5180000000000003E-2</v>
      </c>
      <c r="AC121" s="86">
        <v>4.2700000000000002E-2</v>
      </c>
      <c r="AD121" s="86">
        <v>4.743E-2</v>
      </c>
      <c r="AE121" s="86">
        <v>3.5180000000000003E-2</v>
      </c>
      <c r="AF121" s="86">
        <v>3.5180000000000003E-2</v>
      </c>
      <c r="AG121" s="86">
        <v>3.5180000000000003E-2</v>
      </c>
      <c r="AH121" s="86">
        <v>3.8730000000000001E-2</v>
      </c>
      <c r="AI121" s="86">
        <v>2.4379999999999999E-2</v>
      </c>
      <c r="AJ121" s="86">
        <v>2.5819999999999999E-2</v>
      </c>
      <c r="AK121" s="86">
        <v>3.8879999999999998E-2</v>
      </c>
      <c r="AL121" s="86">
        <v>5.9299999999999999E-2</v>
      </c>
      <c r="AM121" s="86">
        <v>3.5439999999999999E-2</v>
      </c>
      <c r="AN121" s="86">
        <v>4.2259999999999999E-2</v>
      </c>
      <c r="AO121" s="86">
        <v>4.2729999999999997E-2</v>
      </c>
      <c r="AP121" s="86">
        <v>4.6199999999999998E-2</v>
      </c>
      <c r="AQ121" s="86">
        <v>3.85E-2</v>
      </c>
      <c r="AR121" s="86">
        <v>5.5469999999999998E-2</v>
      </c>
      <c r="AS121" s="86">
        <v>2.3990000000000001E-2</v>
      </c>
      <c r="AT121" s="86">
        <v>4.2569999999999997E-2</v>
      </c>
      <c r="AU121" s="86">
        <v>5.8970000000000002E-2</v>
      </c>
      <c r="AV121" s="86">
        <v>4.2040000000000001E-2</v>
      </c>
      <c r="AW121" s="86">
        <v>3.8390000000000001E-2</v>
      </c>
      <c r="AX121" s="86">
        <v>5.8819999999999997E-2</v>
      </c>
      <c r="AY121" s="86">
        <v>3.6330000000000001E-2</v>
      </c>
      <c r="AZ121" s="86">
        <v>3.7170000000000002E-2</v>
      </c>
      <c r="BA121" s="86">
        <v>3.9350000000000003E-2</v>
      </c>
      <c r="BB121" s="86">
        <v>6.0069999999999998E-2</v>
      </c>
      <c r="BC121" s="86">
        <v>3.2989999999999998E-2</v>
      </c>
      <c r="BD121" s="89"/>
      <c r="BE121" s="83"/>
    </row>
    <row r="122" spans="1:57" x14ac:dyDescent="0.25">
      <c r="A122" s="84">
        <f t="shared" si="1"/>
        <v>120</v>
      </c>
      <c r="B122" s="87">
        <v>110</v>
      </c>
      <c r="C122" s="88">
        <v>3.524E-2</v>
      </c>
      <c r="D122" s="88">
        <v>3.524E-2</v>
      </c>
      <c r="E122" s="88">
        <v>3.524E-2</v>
      </c>
      <c r="F122" s="88">
        <v>3.5119999999999998E-2</v>
      </c>
      <c r="G122" s="88">
        <v>4.0189999999999997E-2</v>
      </c>
      <c r="H122" s="88">
        <v>3.524E-2</v>
      </c>
      <c r="I122" s="88">
        <v>3.6540000000000003E-2</v>
      </c>
      <c r="J122" s="88">
        <v>3.5220000000000001E-2</v>
      </c>
      <c r="K122" s="88">
        <v>3.524E-2</v>
      </c>
      <c r="L122" s="88">
        <v>3.524E-2</v>
      </c>
      <c r="M122" s="88">
        <v>3.524E-2</v>
      </c>
      <c r="N122" s="88">
        <v>3.524E-2</v>
      </c>
      <c r="O122" s="88">
        <v>3.524E-2</v>
      </c>
      <c r="P122" s="88">
        <v>4.2590000000000003E-2</v>
      </c>
      <c r="Q122" s="88">
        <v>4.3060000000000001E-2</v>
      </c>
      <c r="R122" s="88">
        <v>3.524E-2</v>
      </c>
      <c r="S122" s="88">
        <v>3.524E-2</v>
      </c>
      <c r="T122" s="88">
        <v>3.524E-2</v>
      </c>
      <c r="U122" s="88">
        <v>2.445E-2</v>
      </c>
      <c r="V122" s="88">
        <v>3.524E-2</v>
      </c>
      <c r="W122" s="88">
        <v>3.524E-2</v>
      </c>
      <c r="X122" s="88">
        <v>3.524E-2</v>
      </c>
      <c r="Y122" s="88">
        <v>3.524E-2</v>
      </c>
      <c r="Z122" s="88">
        <v>3.8379999999999997E-2</v>
      </c>
      <c r="AA122" s="88">
        <v>4.1610000000000001E-2</v>
      </c>
      <c r="AB122" s="88">
        <v>3.524E-2</v>
      </c>
      <c r="AC122" s="88">
        <v>4.2689999999999999E-2</v>
      </c>
      <c r="AD122" s="88">
        <v>4.7379999999999999E-2</v>
      </c>
      <c r="AE122" s="88">
        <v>3.524E-2</v>
      </c>
      <c r="AF122" s="88">
        <v>3.524E-2</v>
      </c>
      <c r="AG122" s="88">
        <v>3.524E-2</v>
      </c>
      <c r="AH122" s="88">
        <v>3.8760000000000003E-2</v>
      </c>
      <c r="AI122" s="88">
        <v>2.445E-2</v>
      </c>
      <c r="AJ122" s="88">
        <v>2.597E-2</v>
      </c>
      <c r="AK122" s="88">
        <v>3.891E-2</v>
      </c>
      <c r="AL122" s="88">
        <v>5.9229999999999998E-2</v>
      </c>
      <c r="AM122" s="88">
        <v>3.5499999999999997E-2</v>
      </c>
      <c r="AN122" s="88">
        <v>4.2259999999999999E-2</v>
      </c>
      <c r="AO122" s="88">
        <v>4.2720000000000001E-2</v>
      </c>
      <c r="AP122" s="88">
        <v>4.616E-2</v>
      </c>
      <c r="AQ122" s="88">
        <v>3.8530000000000002E-2</v>
      </c>
      <c r="AR122" s="88">
        <v>5.5440000000000003E-2</v>
      </c>
      <c r="AS122" s="88">
        <v>2.4060000000000002E-2</v>
      </c>
      <c r="AT122" s="88">
        <v>4.2569999999999997E-2</v>
      </c>
      <c r="AU122" s="88">
        <v>5.8900000000000001E-2</v>
      </c>
      <c r="AV122" s="88">
        <v>4.2040000000000001E-2</v>
      </c>
      <c r="AW122" s="88">
        <v>3.8420000000000003E-2</v>
      </c>
      <c r="AX122" s="88">
        <v>5.8749999999999997E-2</v>
      </c>
      <c r="AY122" s="88">
        <v>3.6380000000000003E-2</v>
      </c>
      <c r="AZ122" s="88">
        <v>3.721E-2</v>
      </c>
      <c r="BA122" s="88">
        <v>3.9379999999999998E-2</v>
      </c>
      <c r="BB122" s="88">
        <v>0.06</v>
      </c>
      <c r="BC122" s="88">
        <v>3.3070000000000002E-2</v>
      </c>
      <c r="BD122" s="89"/>
      <c r="BE122" s="83"/>
    </row>
    <row r="123" spans="1:57" x14ac:dyDescent="0.25">
      <c r="A123" s="84">
        <f t="shared" si="1"/>
        <v>121</v>
      </c>
      <c r="B123" s="83">
        <v>111</v>
      </c>
      <c r="C123" s="86">
        <v>3.5299999999999998E-2</v>
      </c>
      <c r="D123" s="86">
        <v>3.5299999999999998E-2</v>
      </c>
      <c r="E123" s="86">
        <v>3.5299999999999998E-2</v>
      </c>
      <c r="F123" s="86">
        <v>3.5180000000000003E-2</v>
      </c>
      <c r="G123" s="86">
        <v>4.0210000000000003E-2</v>
      </c>
      <c r="H123" s="86">
        <v>3.5299999999999998E-2</v>
      </c>
      <c r="I123" s="86">
        <v>3.6589999999999998E-2</v>
      </c>
      <c r="J123" s="86">
        <v>3.5279999999999999E-2</v>
      </c>
      <c r="K123" s="86">
        <v>3.5299999999999998E-2</v>
      </c>
      <c r="L123" s="86">
        <v>3.5299999999999998E-2</v>
      </c>
      <c r="M123" s="86">
        <v>3.5299999999999998E-2</v>
      </c>
      <c r="N123" s="86">
        <v>3.5299999999999998E-2</v>
      </c>
      <c r="O123" s="86">
        <v>3.5299999999999998E-2</v>
      </c>
      <c r="P123" s="86">
        <v>4.2590000000000003E-2</v>
      </c>
      <c r="Q123" s="86">
        <v>4.3049999999999998E-2</v>
      </c>
      <c r="R123" s="86">
        <v>3.5299999999999998E-2</v>
      </c>
      <c r="S123" s="86">
        <v>3.5299999999999998E-2</v>
      </c>
      <c r="T123" s="86">
        <v>3.5299999999999998E-2</v>
      </c>
      <c r="U123" s="86">
        <v>2.452E-2</v>
      </c>
      <c r="V123" s="86">
        <v>3.5299999999999998E-2</v>
      </c>
      <c r="W123" s="86">
        <v>3.5299999999999998E-2</v>
      </c>
      <c r="X123" s="86">
        <v>3.5299999999999998E-2</v>
      </c>
      <c r="Y123" s="86">
        <v>3.5299999999999998E-2</v>
      </c>
      <c r="Z123" s="86">
        <v>3.841E-2</v>
      </c>
      <c r="AA123" s="86">
        <v>4.1610000000000001E-2</v>
      </c>
      <c r="AB123" s="86">
        <v>3.5299999999999998E-2</v>
      </c>
      <c r="AC123" s="86">
        <v>4.2689999999999999E-2</v>
      </c>
      <c r="AD123" s="86">
        <v>4.7329999999999997E-2</v>
      </c>
      <c r="AE123" s="86">
        <v>3.5299999999999998E-2</v>
      </c>
      <c r="AF123" s="86">
        <v>3.5299999999999998E-2</v>
      </c>
      <c r="AG123" s="86">
        <v>3.5299999999999998E-2</v>
      </c>
      <c r="AH123" s="86">
        <v>3.8789999999999998E-2</v>
      </c>
      <c r="AI123" s="86">
        <v>2.452E-2</v>
      </c>
      <c r="AJ123" s="86">
        <v>2.6110000000000001E-2</v>
      </c>
      <c r="AK123" s="86">
        <v>3.8940000000000002E-2</v>
      </c>
      <c r="AL123" s="86">
        <v>5.917E-2</v>
      </c>
      <c r="AM123" s="86">
        <v>3.5560000000000001E-2</v>
      </c>
      <c r="AN123" s="86">
        <v>4.2259999999999999E-2</v>
      </c>
      <c r="AO123" s="86">
        <v>4.2720000000000001E-2</v>
      </c>
      <c r="AP123" s="86">
        <v>4.6120000000000001E-2</v>
      </c>
      <c r="AQ123" s="86">
        <v>3.8559999999999997E-2</v>
      </c>
      <c r="AR123" s="86">
        <v>5.5410000000000001E-2</v>
      </c>
      <c r="AS123" s="86">
        <v>2.4129999999999999E-2</v>
      </c>
      <c r="AT123" s="86">
        <v>4.2560000000000001E-2</v>
      </c>
      <c r="AU123" s="86">
        <v>5.8840000000000003E-2</v>
      </c>
      <c r="AV123" s="86">
        <v>4.2040000000000001E-2</v>
      </c>
      <c r="AW123" s="86">
        <v>3.8460000000000001E-2</v>
      </c>
      <c r="AX123" s="86">
        <v>5.8689999999999999E-2</v>
      </c>
      <c r="AY123" s="86">
        <v>3.6429999999999997E-2</v>
      </c>
      <c r="AZ123" s="86">
        <v>3.7260000000000001E-2</v>
      </c>
      <c r="BA123" s="86">
        <v>3.9399999999999998E-2</v>
      </c>
      <c r="BB123" s="86">
        <v>5.9929999999999997E-2</v>
      </c>
      <c r="BC123" s="86">
        <v>3.3149999999999999E-2</v>
      </c>
      <c r="BD123" s="89"/>
      <c r="BE123" s="83"/>
    </row>
    <row r="124" spans="1:57" x14ac:dyDescent="0.25">
      <c r="A124" s="84">
        <f t="shared" si="1"/>
        <v>122</v>
      </c>
      <c r="B124" s="83">
        <v>112</v>
      </c>
      <c r="C124" s="86">
        <v>3.5360000000000003E-2</v>
      </c>
      <c r="D124" s="86">
        <v>3.5360000000000003E-2</v>
      </c>
      <c r="E124" s="86">
        <v>3.5360000000000003E-2</v>
      </c>
      <c r="F124" s="86">
        <v>3.524E-2</v>
      </c>
      <c r="G124" s="86">
        <v>4.0219999999999999E-2</v>
      </c>
      <c r="H124" s="86">
        <v>3.5360000000000003E-2</v>
      </c>
      <c r="I124" s="86">
        <v>3.6639999999999999E-2</v>
      </c>
      <c r="J124" s="86">
        <v>3.5340000000000003E-2</v>
      </c>
      <c r="K124" s="86">
        <v>3.5360000000000003E-2</v>
      </c>
      <c r="L124" s="86">
        <v>3.5360000000000003E-2</v>
      </c>
      <c r="M124" s="86">
        <v>3.5360000000000003E-2</v>
      </c>
      <c r="N124" s="86">
        <v>3.5360000000000003E-2</v>
      </c>
      <c r="O124" s="86">
        <v>3.5360000000000003E-2</v>
      </c>
      <c r="P124" s="86">
        <v>4.258E-2</v>
      </c>
      <c r="Q124" s="86">
        <v>4.3040000000000002E-2</v>
      </c>
      <c r="R124" s="86">
        <v>3.5360000000000003E-2</v>
      </c>
      <c r="S124" s="86">
        <v>3.5360000000000003E-2</v>
      </c>
      <c r="T124" s="86">
        <v>3.5360000000000003E-2</v>
      </c>
      <c r="U124" s="86">
        <v>2.4580000000000001E-2</v>
      </c>
      <c r="V124" s="86">
        <v>3.5360000000000003E-2</v>
      </c>
      <c r="W124" s="86">
        <v>3.5360000000000003E-2</v>
      </c>
      <c r="X124" s="86">
        <v>3.5360000000000003E-2</v>
      </c>
      <c r="Y124" s="86">
        <v>3.5360000000000003E-2</v>
      </c>
      <c r="Z124" s="86">
        <v>3.8440000000000002E-2</v>
      </c>
      <c r="AA124" s="86">
        <v>4.1619999999999997E-2</v>
      </c>
      <c r="AB124" s="86">
        <v>3.5360000000000003E-2</v>
      </c>
      <c r="AC124" s="86">
        <v>4.2680000000000003E-2</v>
      </c>
      <c r="AD124" s="86">
        <v>4.7280000000000003E-2</v>
      </c>
      <c r="AE124" s="86">
        <v>3.5360000000000003E-2</v>
      </c>
      <c r="AF124" s="86">
        <v>3.5360000000000003E-2</v>
      </c>
      <c r="AG124" s="86">
        <v>3.5360000000000003E-2</v>
      </c>
      <c r="AH124" s="86">
        <v>3.882E-2</v>
      </c>
      <c r="AI124" s="86">
        <v>2.4580000000000001E-2</v>
      </c>
      <c r="AJ124" s="86">
        <v>2.6249999999999999E-2</v>
      </c>
      <c r="AK124" s="86">
        <v>3.8960000000000002E-2</v>
      </c>
      <c r="AL124" s="86">
        <v>5.91E-2</v>
      </c>
      <c r="AM124" s="86">
        <v>3.5619999999999999E-2</v>
      </c>
      <c r="AN124" s="86">
        <v>4.2259999999999999E-2</v>
      </c>
      <c r="AO124" s="86">
        <v>4.2709999999999998E-2</v>
      </c>
      <c r="AP124" s="86">
        <v>4.6080000000000003E-2</v>
      </c>
      <c r="AQ124" s="86">
        <v>3.8589999999999999E-2</v>
      </c>
      <c r="AR124" s="86">
        <v>5.5379999999999999E-2</v>
      </c>
      <c r="AS124" s="86">
        <v>2.4199999999999999E-2</v>
      </c>
      <c r="AT124" s="86">
        <v>4.2560000000000001E-2</v>
      </c>
      <c r="AU124" s="86">
        <v>5.8779999999999999E-2</v>
      </c>
      <c r="AV124" s="86">
        <v>4.2040000000000001E-2</v>
      </c>
      <c r="AW124" s="86">
        <v>3.8490000000000003E-2</v>
      </c>
      <c r="AX124" s="86">
        <v>5.8630000000000002E-2</v>
      </c>
      <c r="AY124" s="86">
        <v>3.6479999999999999E-2</v>
      </c>
      <c r="AZ124" s="86">
        <v>3.73E-2</v>
      </c>
      <c r="BA124" s="86">
        <v>3.9419999999999997E-2</v>
      </c>
      <c r="BB124" s="86">
        <v>5.985E-2</v>
      </c>
      <c r="BC124" s="86">
        <v>3.3230000000000003E-2</v>
      </c>
      <c r="BD124" s="89"/>
      <c r="BE124" s="83"/>
    </row>
    <row r="125" spans="1:57" x14ac:dyDescent="0.25">
      <c r="A125" s="84">
        <f t="shared" si="1"/>
        <v>123</v>
      </c>
      <c r="B125" s="83">
        <v>113</v>
      </c>
      <c r="C125" s="86">
        <v>3.542E-2</v>
      </c>
      <c r="D125" s="86">
        <v>3.542E-2</v>
      </c>
      <c r="E125" s="86">
        <v>3.542E-2</v>
      </c>
      <c r="F125" s="86">
        <v>3.5299999999999998E-2</v>
      </c>
      <c r="G125" s="86">
        <v>4.0239999999999998E-2</v>
      </c>
      <c r="H125" s="86">
        <v>3.542E-2</v>
      </c>
      <c r="I125" s="86">
        <v>3.6679999999999997E-2</v>
      </c>
      <c r="J125" s="86">
        <v>3.5400000000000001E-2</v>
      </c>
      <c r="K125" s="86">
        <v>3.542E-2</v>
      </c>
      <c r="L125" s="86">
        <v>3.542E-2</v>
      </c>
      <c r="M125" s="86">
        <v>3.542E-2</v>
      </c>
      <c r="N125" s="86">
        <v>3.542E-2</v>
      </c>
      <c r="O125" s="86">
        <v>3.542E-2</v>
      </c>
      <c r="P125" s="86">
        <v>4.258E-2</v>
      </c>
      <c r="Q125" s="86">
        <v>4.3040000000000002E-2</v>
      </c>
      <c r="R125" s="86">
        <v>3.542E-2</v>
      </c>
      <c r="S125" s="86">
        <v>3.542E-2</v>
      </c>
      <c r="T125" s="86">
        <v>3.542E-2</v>
      </c>
      <c r="U125" s="86">
        <v>2.4649999999999998E-2</v>
      </c>
      <c r="V125" s="86">
        <v>3.542E-2</v>
      </c>
      <c r="W125" s="86">
        <v>3.542E-2</v>
      </c>
      <c r="X125" s="86">
        <v>3.542E-2</v>
      </c>
      <c r="Y125" s="86">
        <v>3.542E-2</v>
      </c>
      <c r="Z125" s="86">
        <v>3.848E-2</v>
      </c>
      <c r="AA125" s="86">
        <v>4.1619999999999997E-2</v>
      </c>
      <c r="AB125" s="86">
        <v>3.542E-2</v>
      </c>
      <c r="AC125" s="86">
        <v>4.267E-2</v>
      </c>
      <c r="AD125" s="86">
        <v>4.7239999999999997E-2</v>
      </c>
      <c r="AE125" s="86">
        <v>3.542E-2</v>
      </c>
      <c r="AF125" s="86">
        <v>3.542E-2</v>
      </c>
      <c r="AG125" s="86">
        <v>3.542E-2</v>
      </c>
      <c r="AH125" s="86">
        <v>3.8850000000000003E-2</v>
      </c>
      <c r="AI125" s="86">
        <v>2.4649999999999998E-2</v>
      </c>
      <c r="AJ125" s="86">
        <v>2.639E-2</v>
      </c>
      <c r="AK125" s="86">
        <v>3.8989999999999997E-2</v>
      </c>
      <c r="AL125" s="86">
        <v>5.9040000000000002E-2</v>
      </c>
      <c r="AM125" s="86">
        <v>3.567E-2</v>
      </c>
      <c r="AN125" s="86">
        <v>4.2250000000000003E-2</v>
      </c>
      <c r="AO125" s="86">
        <v>4.2709999999999998E-2</v>
      </c>
      <c r="AP125" s="86">
        <v>4.6050000000000001E-2</v>
      </c>
      <c r="AQ125" s="86">
        <v>3.8620000000000002E-2</v>
      </c>
      <c r="AR125" s="86">
        <v>5.5350000000000003E-2</v>
      </c>
      <c r="AS125" s="86">
        <v>2.427E-2</v>
      </c>
      <c r="AT125" s="86">
        <v>4.2549999999999998E-2</v>
      </c>
      <c r="AU125" s="86">
        <v>5.8720000000000001E-2</v>
      </c>
      <c r="AV125" s="86">
        <v>4.2040000000000001E-2</v>
      </c>
      <c r="AW125" s="86">
        <v>3.8519999999999999E-2</v>
      </c>
      <c r="AX125" s="86">
        <v>5.8569999999999997E-2</v>
      </c>
      <c r="AY125" s="86">
        <v>3.653E-2</v>
      </c>
      <c r="AZ125" s="86">
        <v>3.7339999999999998E-2</v>
      </c>
      <c r="BA125" s="86">
        <v>3.9449999999999999E-2</v>
      </c>
      <c r="BB125" s="86">
        <v>5.978E-2</v>
      </c>
      <c r="BC125" s="86">
        <v>3.3309999999999999E-2</v>
      </c>
      <c r="BD125" s="89"/>
      <c r="BE125" s="83"/>
    </row>
    <row r="126" spans="1:57" x14ac:dyDescent="0.25">
      <c r="A126" s="84">
        <f t="shared" si="1"/>
        <v>124</v>
      </c>
      <c r="B126" s="83">
        <v>114</v>
      </c>
      <c r="C126" s="86">
        <v>3.5479999999999998E-2</v>
      </c>
      <c r="D126" s="86">
        <v>3.5479999999999998E-2</v>
      </c>
      <c r="E126" s="86">
        <v>3.5479999999999998E-2</v>
      </c>
      <c r="F126" s="86">
        <v>3.5360000000000003E-2</v>
      </c>
      <c r="G126" s="86">
        <v>4.0250000000000001E-2</v>
      </c>
      <c r="H126" s="86">
        <v>3.5479999999999998E-2</v>
      </c>
      <c r="I126" s="86">
        <v>3.6729999999999999E-2</v>
      </c>
      <c r="J126" s="86">
        <v>3.5450000000000002E-2</v>
      </c>
      <c r="K126" s="86">
        <v>3.5479999999999998E-2</v>
      </c>
      <c r="L126" s="86">
        <v>3.5479999999999998E-2</v>
      </c>
      <c r="M126" s="86">
        <v>3.5479999999999998E-2</v>
      </c>
      <c r="N126" s="86">
        <v>3.5479999999999998E-2</v>
      </c>
      <c r="O126" s="86">
        <v>3.5479999999999998E-2</v>
      </c>
      <c r="P126" s="86">
        <v>4.2569999999999997E-2</v>
      </c>
      <c r="Q126" s="86">
        <v>4.3029999999999999E-2</v>
      </c>
      <c r="R126" s="86">
        <v>3.5479999999999998E-2</v>
      </c>
      <c r="S126" s="86">
        <v>3.5479999999999998E-2</v>
      </c>
      <c r="T126" s="86">
        <v>3.5479999999999998E-2</v>
      </c>
      <c r="U126" s="86">
        <v>2.4709999999999999E-2</v>
      </c>
      <c r="V126" s="86">
        <v>3.5479999999999998E-2</v>
      </c>
      <c r="W126" s="86">
        <v>3.5479999999999998E-2</v>
      </c>
      <c r="X126" s="86">
        <v>3.5479999999999998E-2</v>
      </c>
      <c r="Y126" s="86">
        <v>3.5479999999999998E-2</v>
      </c>
      <c r="Z126" s="86">
        <v>3.8510000000000003E-2</v>
      </c>
      <c r="AA126" s="86">
        <v>4.163E-2</v>
      </c>
      <c r="AB126" s="86">
        <v>3.5479999999999998E-2</v>
      </c>
      <c r="AC126" s="86">
        <v>4.267E-2</v>
      </c>
      <c r="AD126" s="86">
        <v>4.7190000000000003E-2</v>
      </c>
      <c r="AE126" s="86">
        <v>3.5479999999999998E-2</v>
      </c>
      <c r="AF126" s="86">
        <v>3.5479999999999998E-2</v>
      </c>
      <c r="AG126" s="86">
        <v>3.5479999999999998E-2</v>
      </c>
      <c r="AH126" s="86">
        <v>3.8879999999999998E-2</v>
      </c>
      <c r="AI126" s="86">
        <v>2.4709999999999999E-2</v>
      </c>
      <c r="AJ126" s="86">
        <v>2.6530000000000001E-2</v>
      </c>
      <c r="AK126" s="86">
        <v>3.9019999999999999E-2</v>
      </c>
      <c r="AL126" s="86">
        <v>5.8979999999999998E-2</v>
      </c>
      <c r="AM126" s="86">
        <v>3.5729999999999998E-2</v>
      </c>
      <c r="AN126" s="86">
        <v>4.2250000000000003E-2</v>
      </c>
      <c r="AO126" s="86">
        <v>4.2700000000000002E-2</v>
      </c>
      <c r="AP126" s="86">
        <v>4.6010000000000002E-2</v>
      </c>
      <c r="AQ126" s="86">
        <v>3.8649999999999997E-2</v>
      </c>
      <c r="AR126" s="86">
        <v>5.5320000000000001E-2</v>
      </c>
      <c r="AS126" s="86">
        <v>2.4340000000000001E-2</v>
      </c>
      <c r="AT126" s="86">
        <v>4.2549999999999998E-2</v>
      </c>
      <c r="AU126" s="86">
        <v>5.8659999999999997E-2</v>
      </c>
      <c r="AV126" s="86">
        <v>4.2040000000000001E-2</v>
      </c>
      <c r="AW126" s="86">
        <v>3.8550000000000001E-2</v>
      </c>
      <c r="AX126" s="86">
        <v>5.8520000000000003E-2</v>
      </c>
      <c r="AY126" s="86">
        <v>3.6569999999999998E-2</v>
      </c>
      <c r="AZ126" s="86">
        <v>3.7379999999999997E-2</v>
      </c>
      <c r="BA126" s="86">
        <v>3.9469999999999998E-2</v>
      </c>
      <c r="BB126" s="86">
        <v>5.9720000000000002E-2</v>
      </c>
      <c r="BC126" s="86">
        <v>3.338E-2</v>
      </c>
      <c r="BD126" s="89"/>
      <c r="BE126" s="83"/>
    </row>
    <row r="127" spans="1:57" x14ac:dyDescent="0.25">
      <c r="A127" s="84">
        <f t="shared" si="1"/>
        <v>125</v>
      </c>
      <c r="B127" s="87">
        <v>115</v>
      </c>
      <c r="C127" s="88">
        <v>3.5529999999999999E-2</v>
      </c>
      <c r="D127" s="88">
        <v>3.5529999999999999E-2</v>
      </c>
      <c r="E127" s="88">
        <v>3.5529999999999999E-2</v>
      </c>
      <c r="F127" s="88">
        <v>3.542E-2</v>
      </c>
      <c r="G127" s="88">
        <v>4.027E-2</v>
      </c>
      <c r="H127" s="88">
        <v>3.5529999999999999E-2</v>
      </c>
      <c r="I127" s="88">
        <v>3.678E-2</v>
      </c>
      <c r="J127" s="88">
        <v>3.551E-2</v>
      </c>
      <c r="K127" s="88">
        <v>3.5529999999999999E-2</v>
      </c>
      <c r="L127" s="88">
        <v>3.5529999999999999E-2</v>
      </c>
      <c r="M127" s="88">
        <v>3.5529999999999999E-2</v>
      </c>
      <c r="N127" s="88">
        <v>3.5529999999999999E-2</v>
      </c>
      <c r="O127" s="88">
        <v>3.5529999999999999E-2</v>
      </c>
      <c r="P127" s="88">
        <v>4.2569999999999997E-2</v>
      </c>
      <c r="Q127" s="88">
        <v>4.3020000000000003E-2</v>
      </c>
      <c r="R127" s="88">
        <v>3.5529999999999999E-2</v>
      </c>
      <c r="S127" s="88">
        <v>3.5529999999999999E-2</v>
      </c>
      <c r="T127" s="88">
        <v>3.5529999999999999E-2</v>
      </c>
      <c r="U127" s="88">
        <v>2.478E-2</v>
      </c>
      <c r="V127" s="88">
        <v>3.5529999999999999E-2</v>
      </c>
      <c r="W127" s="88">
        <v>3.5529999999999999E-2</v>
      </c>
      <c r="X127" s="88">
        <v>3.5529999999999999E-2</v>
      </c>
      <c r="Y127" s="88">
        <v>3.5529999999999999E-2</v>
      </c>
      <c r="Z127" s="88">
        <v>3.8539999999999998E-2</v>
      </c>
      <c r="AA127" s="88">
        <v>4.163E-2</v>
      </c>
      <c r="AB127" s="88">
        <v>3.5529999999999999E-2</v>
      </c>
      <c r="AC127" s="88">
        <v>4.2659999999999997E-2</v>
      </c>
      <c r="AD127" s="88">
        <v>4.7149999999999997E-2</v>
      </c>
      <c r="AE127" s="88">
        <v>3.5529999999999999E-2</v>
      </c>
      <c r="AF127" s="88">
        <v>3.5529999999999999E-2</v>
      </c>
      <c r="AG127" s="88">
        <v>3.5529999999999999E-2</v>
      </c>
      <c r="AH127" s="88">
        <v>3.8899999999999997E-2</v>
      </c>
      <c r="AI127" s="88">
        <v>2.478E-2</v>
      </c>
      <c r="AJ127" s="88">
        <v>2.666E-2</v>
      </c>
      <c r="AK127" s="88">
        <v>3.9039999999999998E-2</v>
      </c>
      <c r="AL127" s="88">
        <v>5.892E-2</v>
      </c>
      <c r="AM127" s="88">
        <v>3.5779999999999999E-2</v>
      </c>
      <c r="AN127" s="88">
        <v>4.2250000000000003E-2</v>
      </c>
      <c r="AO127" s="88">
        <v>4.2689999999999999E-2</v>
      </c>
      <c r="AP127" s="88">
        <v>4.598E-2</v>
      </c>
      <c r="AQ127" s="88">
        <v>3.8679999999999999E-2</v>
      </c>
      <c r="AR127" s="88">
        <v>5.5289999999999999E-2</v>
      </c>
      <c r="AS127" s="88">
        <v>2.4400000000000002E-2</v>
      </c>
      <c r="AT127" s="88">
        <v>4.2540000000000001E-2</v>
      </c>
      <c r="AU127" s="88">
        <v>5.8599999999999999E-2</v>
      </c>
      <c r="AV127" s="88">
        <v>4.2040000000000001E-2</v>
      </c>
      <c r="AW127" s="88">
        <v>3.8580000000000003E-2</v>
      </c>
      <c r="AX127" s="88">
        <v>5.8459999999999998E-2</v>
      </c>
      <c r="AY127" s="88">
        <v>3.662E-2</v>
      </c>
      <c r="AZ127" s="88">
        <v>3.7420000000000002E-2</v>
      </c>
      <c r="BA127" s="88">
        <v>3.9489999999999997E-2</v>
      </c>
      <c r="BB127" s="88">
        <v>5.9650000000000002E-2</v>
      </c>
      <c r="BC127" s="88">
        <v>3.3459999999999997E-2</v>
      </c>
      <c r="BD127" s="89"/>
      <c r="BE127" s="83"/>
    </row>
    <row r="128" spans="1:57" x14ac:dyDescent="0.25">
      <c r="A128" s="84">
        <f t="shared" si="1"/>
        <v>126</v>
      </c>
      <c r="B128" s="83">
        <v>116</v>
      </c>
      <c r="C128" s="86">
        <v>3.5589999999999997E-2</v>
      </c>
      <c r="D128" s="86">
        <v>3.5589999999999997E-2</v>
      </c>
      <c r="E128" s="86">
        <v>3.5589999999999997E-2</v>
      </c>
      <c r="F128" s="86">
        <v>3.5479999999999998E-2</v>
      </c>
      <c r="G128" s="86">
        <v>4.0280000000000003E-2</v>
      </c>
      <c r="H128" s="86">
        <v>3.5589999999999997E-2</v>
      </c>
      <c r="I128" s="86">
        <v>3.6819999999999999E-2</v>
      </c>
      <c r="J128" s="86">
        <v>3.5569999999999997E-2</v>
      </c>
      <c r="K128" s="86">
        <v>3.5589999999999997E-2</v>
      </c>
      <c r="L128" s="86">
        <v>3.5589999999999997E-2</v>
      </c>
      <c r="M128" s="86">
        <v>3.5589999999999997E-2</v>
      </c>
      <c r="N128" s="86">
        <v>3.5589999999999997E-2</v>
      </c>
      <c r="O128" s="86">
        <v>3.5589999999999997E-2</v>
      </c>
      <c r="P128" s="86">
        <v>4.2560000000000001E-2</v>
      </c>
      <c r="Q128" s="86">
        <v>4.301E-2</v>
      </c>
      <c r="R128" s="86">
        <v>3.5589999999999997E-2</v>
      </c>
      <c r="S128" s="86">
        <v>3.5589999999999997E-2</v>
      </c>
      <c r="T128" s="86">
        <v>3.5589999999999997E-2</v>
      </c>
      <c r="U128" s="86">
        <v>2.4840000000000001E-2</v>
      </c>
      <c r="V128" s="86">
        <v>3.5589999999999997E-2</v>
      </c>
      <c r="W128" s="86">
        <v>3.5589999999999997E-2</v>
      </c>
      <c r="X128" s="86">
        <v>3.5589999999999997E-2</v>
      </c>
      <c r="Y128" s="86">
        <v>3.5589999999999997E-2</v>
      </c>
      <c r="Z128" s="86">
        <v>3.857E-2</v>
      </c>
      <c r="AA128" s="86">
        <v>4.163E-2</v>
      </c>
      <c r="AB128" s="86">
        <v>3.5589999999999997E-2</v>
      </c>
      <c r="AC128" s="86">
        <v>4.2659999999999997E-2</v>
      </c>
      <c r="AD128" s="86">
        <v>4.7100000000000003E-2</v>
      </c>
      <c r="AE128" s="86">
        <v>3.5589999999999997E-2</v>
      </c>
      <c r="AF128" s="86">
        <v>3.5589999999999997E-2</v>
      </c>
      <c r="AG128" s="86">
        <v>3.5589999999999997E-2</v>
      </c>
      <c r="AH128" s="86">
        <v>3.8929999999999999E-2</v>
      </c>
      <c r="AI128" s="86">
        <v>2.4840000000000001E-2</v>
      </c>
      <c r="AJ128" s="86">
        <v>2.6790000000000001E-2</v>
      </c>
      <c r="AK128" s="86">
        <v>3.9070000000000001E-2</v>
      </c>
      <c r="AL128" s="86">
        <v>5.8860000000000003E-2</v>
      </c>
      <c r="AM128" s="86">
        <v>3.5839999999999997E-2</v>
      </c>
      <c r="AN128" s="86">
        <v>4.2250000000000003E-2</v>
      </c>
      <c r="AO128" s="86">
        <v>4.2689999999999999E-2</v>
      </c>
      <c r="AP128" s="86">
        <v>4.5940000000000002E-2</v>
      </c>
      <c r="AQ128" s="86">
        <v>3.8710000000000001E-2</v>
      </c>
      <c r="AR128" s="86">
        <v>5.5259999999999997E-2</v>
      </c>
      <c r="AS128" s="86">
        <v>2.4469999999999999E-2</v>
      </c>
      <c r="AT128" s="86">
        <v>4.2540000000000001E-2</v>
      </c>
      <c r="AU128" s="86">
        <v>5.8540000000000002E-2</v>
      </c>
      <c r="AV128" s="86">
        <v>4.2040000000000001E-2</v>
      </c>
      <c r="AW128" s="86">
        <v>3.8609999999999998E-2</v>
      </c>
      <c r="AX128" s="86">
        <v>5.8400000000000001E-2</v>
      </c>
      <c r="AY128" s="86">
        <v>3.6670000000000001E-2</v>
      </c>
      <c r="AZ128" s="86">
        <v>3.746E-2</v>
      </c>
      <c r="BA128" s="86">
        <v>3.9510000000000003E-2</v>
      </c>
      <c r="BB128" s="86">
        <v>5.9580000000000001E-2</v>
      </c>
      <c r="BC128" s="86">
        <v>3.3529999999999997E-2</v>
      </c>
      <c r="BD128" s="89"/>
      <c r="BE128" s="83"/>
    </row>
    <row r="129" spans="1:57" x14ac:dyDescent="0.25">
      <c r="A129" s="84">
        <f t="shared" si="1"/>
        <v>127</v>
      </c>
      <c r="B129" s="83">
        <v>117</v>
      </c>
      <c r="C129" s="86">
        <v>3.5639999999999998E-2</v>
      </c>
      <c r="D129" s="86">
        <v>3.5639999999999998E-2</v>
      </c>
      <c r="E129" s="86">
        <v>3.5639999999999998E-2</v>
      </c>
      <c r="F129" s="86">
        <v>3.5529999999999999E-2</v>
      </c>
      <c r="G129" s="86">
        <v>4.0300000000000002E-2</v>
      </c>
      <c r="H129" s="86">
        <v>3.5639999999999998E-2</v>
      </c>
      <c r="I129" s="86">
        <v>3.687E-2</v>
      </c>
      <c r="J129" s="86">
        <v>3.5619999999999999E-2</v>
      </c>
      <c r="K129" s="86">
        <v>3.5639999999999998E-2</v>
      </c>
      <c r="L129" s="86">
        <v>3.5639999999999998E-2</v>
      </c>
      <c r="M129" s="86">
        <v>3.5639999999999998E-2</v>
      </c>
      <c r="N129" s="86">
        <v>3.5639999999999998E-2</v>
      </c>
      <c r="O129" s="86">
        <v>3.5639999999999998E-2</v>
      </c>
      <c r="P129" s="86">
        <v>4.2560000000000001E-2</v>
      </c>
      <c r="Q129" s="86">
        <v>4.2999999999999997E-2</v>
      </c>
      <c r="R129" s="86">
        <v>3.5639999999999998E-2</v>
      </c>
      <c r="S129" s="86">
        <v>3.5639999999999998E-2</v>
      </c>
      <c r="T129" s="86">
        <v>3.5639999999999998E-2</v>
      </c>
      <c r="U129" s="86">
        <v>2.4899999999999999E-2</v>
      </c>
      <c r="V129" s="86">
        <v>3.5639999999999998E-2</v>
      </c>
      <c r="W129" s="86">
        <v>3.5639999999999998E-2</v>
      </c>
      <c r="X129" s="86">
        <v>3.5639999999999998E-2</v>
      </c>
      <c r="Y129" s="86">
        <v>3.5639999999999998E-2</v>
      </c>
      <c r="Z129" s="86">
        <v>3.8600000000000002E-2</v>
      </c>
      <c r="AA129" s="86">
        <v>4.163E-2</v>
      </c>
      <c r="AB129" s="86">
        <v>3.5639999999999998E-2</v>
      </c>
      <c r="AC129" s="86">
        <v>4.265E-2</v>
      </c>
      <c r="AD129" s="86">
        <v>4.7059999999999998E-2</v>
      </c>
      <c r="AE129" s="86">
        <v>3.5639999999999998E-2</v>
      </c>
      <c r="AF129" s="86">
        <v>3.5639999999999998E-2</v>
      </c>
      <c r="AG129" s="86">
        <v>3.5639999999999998E-2</v>
      </c>
      <c r="AH129" s="86">
        <v>3.8960000000000002E-2</v>
      </c>
      <c r="AI129" s="86">
        <v>2.4899999999999999E-2</v>
      </c>
      <c r="AJ129" s="86">
        <v>2.6919999999999999E-2</v>
      </c>
      <c r="AK129" s="86">
        <v>3.909E-2</v>
      </c>
      <c r="AL129" s="86">
        <v>5.8799999999999998E-2</v>
      </c>
      <c r="AM129" s="86">
        <v>3.5889999999999998E-2</v>
      </c>
      <c r="AN129" s="86">
        <v>4.2250000000000003E-2</v>
      </c>
      <c r="AO129" s="86">
        <v>4.2680000000000003E-2</v>
      </c>
      <c r="AP129" s="86">
        <v>4.5909999999999999E-2</v>
      </c>
      <c r="AQ129" s="86">
        <v>3.8739999999999997E-2</v>
      </c>
      <c r="AR129" s="86">
        <v>5.5230000000000001E-2</v>
      </c>
      <c r="AS129" s="86">
        <v>2.453E-2</v>
      </c>
      <c r="AT129" s="86">
        <v>4.2540000000000001E-2</v>
      </c>
      <c r="AU129" s="86">
        <v>5.849E-2</v>
      </c>
      <c r="AV129" s="86">
        <v>4.2040000000000001E-2</v>
      </c>
      <c r="AW129" s="86">
        <v>3.8640000000000001E-2</v>
      </c>
      <c r="AX129" s="86">
        <v>5.8349999999999999E-2</v>
      </c>
      <c r="AY129" s="86">
        <v>3.671E-2</v>
      </c>
      <c r="AZ129" s="86">
        <v>3.7499999999999999E-2</v>
      </c>
      <c r="BA129" s="86">
        <v>3.9530000000000003E-2</v>
      </c>
      <c r="BB129" s="86">
        <v>5.9520000000000003E-2</v>
      </c>
      <c r="BC129" s="86">
        <v>3.3599999999999998E-2</v>
      </c>
      <c r="BD129" s="89"/>
      <c r="BE129" s="83"/>
    </row>
    <row r="130" spans="1:57" x14ac:dyDescent="0.25">
      <c r="A130" s="84">
        <f t="shared" si="1"/>
        <v>128</v>
      </c>
      <c r="B130" s="83">
        <v>118</v>
      </c>
      <c r="C130" s="86">
        <v>3.5700000000000003E-2</v>
      </c>
      <c r="D130" s="86">
        <v>3.5700000000000003E-2</v>
      </c>
      <c r="E130" s="86">
        <v>3.5700000000000003E-2</v>
      </c>
      <c r="F130" s="86">
        <v>3.5589999999999997E-2</v>
      </c>
      <c r="G130" s="86">
        <v>4.0309999999999999E-2</v>
      </c>
      <c r="H130" s="86">
        <v>3.5700000000000003E-2</v>
      </c>
      <c r="I130" s="86">
        <v>3.6909999999999998E-2</v>
      </c>
      <c r="J130" s="86">
        <v>3.567E-2</v>
      </c>
      <c r="K130" s="86">
        <v>3.5700000000000003E-2</v>
      </c>
      <c r="L130" s="86">
        <v>3.5700000000000003E-2</v>
      </c>
      <c r="M130" s="86">
        <v>3.5700000000000003E-2</v>
      </c>
      <c r="N130" s="86">
        <v>3.5700000000000003E-2</v>
      </c>
      <c r="O130" s="86">
        <v>3.5700000000000003E-2</v>
      </c>
      <c r="P130" s="86">
        <v>4.2549999999999998E-2</v>
      </c>
      <c r="Q130" s="86">
        <v>4.299E-2</v>
      </c>
      <c r="R130" s="86">
        <v>3.5700000000000003E-2</v>
      </c>
      <c r="S130" s="86">
        <v>3.5700000000000003E-2</v>
      </c>
      <c r="T130" s="86">
        <v>3.5700000000000003E-2</v>
      </c>
      <c r="U130" s="86">
        <v>2.496E-2</v>
      </c>
      <c r="V130" s="86">
        <v>3.5700000000000003E-2</v>
      </c>
      <c r="W130" s="86">
        <v>3.5700000000000003E-2</v>
      </c>
      <c r="X130" s="86">
        <v>3.5700000000000003E-2</v>
      </c>
      <c r="Y130" s="86">
        <v>3.5700000000000003E-2</v>
      </c>
      <c r="Z130" s="86">
        <v>3.8620000000000002E-2</v>
      </c>
      <c r="AA130" s="86">
        <v>4.1640000000000003E-2</v>
      </c>
      <c r="AB130" s="86">
        <v>3.5700000000000003E-2</v>
      </c>
      <c r="AC130" s="86">
        <v>4.2639999999999997E-2</v>
      </c>
      <c r="AD130" s="86">
        <v>4.7010000000000003E-2</v>
      </c>
      <c r="AE130" s="86">
        <v>3.5700000000000003E-2</v>
      </c>
      <c r="AF130" s="86">
        <v>3.5700000000000003E-2</v>
      </c>
      <c r="AG130" s="86">
        <v>3.5700000000000003E-2</v>
      </c>
      <c r="AH130" s="86">
        <v>3.8980000000000001E-2</v>
      </c>
      <c r="AI130" s="86">
        <v>2.496E-2</v>
      </c>
      <c r="AJ130" s="86">
        <v>2.7050000000000001E-2</v>
      </c>
      <c r="AK130" s="86">
        <v>3.9120000000000002E-2</v>
      </c>
      <c r="AL130" s="86">
        <v>5.8740000000000001E-2</v>
      </c>
      <c r="AM130" s="86">
        <v>3.594E-2</v>
      </c>
      <c r="AN130" s="86">
        <v>4.224E-2</v>
      </c>
      <c r="AO130" s="86">
        <v>4.2680000000000003E-2</v>
      </c>
      <c r="AP130" s="86">
        <v>4.5879999999999997E-2</v>
      </c>
      <c r="AQ130" s="86">
        <v>3.8760000000000003E-2</v>
      </c>
      <c r="AR130" s="86">
        <v>5.5210000000000002E-2</v>
      </c>
      <c r="AS130" s="86">
        <v>2.4590000000000001E-2</v>
      </c>
      <c r="AT130" s="86">
        <v>4.2529999999999998E-2</v>
      </c>
      <c r="AU130" s="86">
        <v>5.8430000000000003E-2</v>
      </c>
      <c r="AV130" s="86">
        <v>4.2040000000000001E-2</v>
      </c>
      <c r="AW130" s="86">
        <v>3.8670000000000003E-2</v>
      </c>
      <c r="AX130" s="86">
        <v>5.8290000000000002E-2</v>
      </c>
      <c r="AY130" s="86">
        <v>3.6760000000000001E-2</v>
      </c>
      <c r="AZ130" s="86">
        <v>3.7539999999999997E-2</v>
      </c>
      <c r="BA130" s="86">
        <v>3.9550000000000002E-2</v>
      </c>
      <c r="BB130" s="86">
        <v>5.9450000000000003E-2</v>
      </c>
      <c r="BC130" s="86">
        <v>3.3669999999999999E-2</v>
      </c>
      <c r="BD130" s="89"/>
      <c r="BE130" s="83"/>
    </row>
    <row r="131" spans="1:57" x14ac:dyDescent="0.25">
      <c r="A131" s="84">
        <f t="shared" si="1"/>
        <v>129</v>
      </c>
      <c r="B131" s="83">
        <v>119</v>
      </c>
      <c r="C131" s="86">
        <v>3.5749999999999997E-2</v>
      </c>
      <c r="D131" s="86">
        <v>3.5749999999999997E-2</v>
      </c>
      <c r="E131" s="86">
        <v>3.5749999999999997E-2</v>
      </c>
      <c r="F131" s="86">
        <v>3.5639999999999998E-2</v>
      </c>
      <c r="G131" s="86">
        <v>4.0329999999999998E-2</v>
      </c>
      <c r="H131" s="86">
        <v>3.5749999999999997E-2</v>
      </c>
      <c r="I131" s="86">
        <v>3.6949999999999997E-2</v>
      </c>
      <c r="J131" s="86">
        <v>3.5729999999999998E-2</v>
      </c>
      <c r="K131" s="86">
        <v>3.5749999999999997E-2</v>
      </c>
      <c r="L131" s="86">
        <v>3.5749999999999997E-2</v>
      </c>
      <c r="M131" s="86">
        <v>3.5749999999999997E-2</v>
      </c>
      <c r="N131" s="86">
        <v>3.5749999999999997E-2</v>
      </c>
      <c r="O131" s="86">
        <v>3.5749999999999997E-2</v>
      </c>
      <c r="P131" s="86">
        <v>4.2549999999999998E-2</v>
      </c>
      <c r="Q131" s="86">
        <v>4.2979999999999997E-2</v>
      </c>
      <c r="R131" s="86">
        <v>3.5749999999999997E-2</v>
      </c>
      <c r="S131" s="86">
        <v>3.5749999999999997E-2</v>
      </c>
      <c r="T131" s="86">
        <v>3.5749999999999997E-2</v>
      </c>
      <c r="U131" s="86">
        <v>2.5020000000000001E-2</v>
      </c>
      <c r="V131" s="86">
        <v>3.5749999999999997E-2</v>
      </c>
      <c r="W131" s="86">
        <v>3.5749999999999997E-2</v>
      </c>
      <c r="X131" s="86">
        <v>3.5749999999999997E-2</v>
      </c>
      <c r="Y131" s="86">
        <v>3.5749999999999997E-2</v>
      </c>
      <c r="Z131" s="86">
        <v>3.8649999999999997E-2</v>
      </c>
      <c r="AA131" s="86">
        <v>4.1640000000000003E-2</v>
      </c>
      <c r="AB131" s="86">
        <v>3.5749999999999997E-2</v>
      </c>
      <c r="AC131" s="86">
        <v>4.2639999999999997E-2</v>
      </c>
      <c r="AD131" s="86">
        <v>4.6969999999999998E-2</v>
      </c>
      <c r="AE131" s="86">
        <v>3.5749999999999997E-2</v>
      </c>
      <c r="AF131" s="86">
        <v>3.5749999999999997E-2</v>
      </c>
      <c r="AG131" s="86">
        <v>3.5749999999999997E-2</v>
      </c>
      <c r="AH131" s="86">
        <v>3.9010000000000003E-2</v>
      </c>
      <c r="AI131" s="86">
        <v>2.5020000000000001E-2</v>
      </c>
      <c r="AJ131" s="86">
        <v>2.717E-2</v>
      </c>
      <c r="AK131" s="86">
        <v>3.9140000000000001E-2</v>
      </c>
      <c r="AL131" s="86">
        <v>5.8680000000000003E-2</v>
      </c>
      <c r="AM131" s="86">
        <v>3.5990000000000001E-2</v>
      </c>
      <c r="AN131" s="86">
        <v>4.224E-2</v>
      </c>
      <c r="AO131" s="86">
        <v>4.267E-2</v>
      </c>
      <c r="AP131" s="86">
        <v>4.5839999999999999E-2</v>
      </c>
      <c r="AQ131" s="86">
        <v>3.8789999999999998E-2</v>
      </c>
      <c r="AR131" s="86">
        <v>5.518E-2</v>
      </c>
      <c r="AS131" s="86">
        <v>2.4660000000000001E-2</v>
      </c>
      <c r="AT131" s="86">
        <v>4.2529999999999998E-2</v>
      </c>
      <c r="AU131" s="86">
        <v>5.8380000000000001E-2</v>
      </c>
      <c r="AV131" s="86">
        <v>4.2040000000000001E-2</v>
      </c>
      <c r="AW131" s="86">
        <v>3.8690000000000002E-2</v>
      </c>
      <c r="AX131" s="86">
        <v>5.824E-2</v>
      </c>
      <c r="AY131" s="86">
        <v>3.6799999999999999E-2</v>
      </c>
      <c r="AZ131" s="86">
        <v>3.7580000000000002E-2</v>
      </c>
      <c r="BA131" s="86">
        <v>3.9570000000000001E-2</v>
      </c>
      <c r="BB131" s="86">
        <v>5.9389999999999998E-2</v>
      </c>
      <c r="BC131" s="86">
        <v>3.3739999999999999E-2</v>
      </c>
      <c r="BD131" s="89"/>
      <c r="BE131" s="83"/>
    </row>
    <row r="132" spans="1:57" x14ac:dyDescent="0.25">
      <c r="A132" s="84">
        <f t="shared" si="1"/>
        <v>130</v>
      </c>
      <c r="B132" s="87">
        <v>120</v>
      </c>
      <c r="C132" s="88">
        <v>3.5799999999999998E-2</v>
      </c>
      <c r="D132" s="88">
        <v>3.5799999999999998E-2</v>
      </c>
      <c r="E132" s="88">
        <v>3.5799999999999998E-2</v>
      </c>
      <c r="F132" s="88">
        <v>3.569E-2</v>
      </c>
      <c r="G132" s="88">
        <v>4.0340000000000001E-2</v>
      </c>
      <c r="H132" s="88">
        <v>3.5799999999999998E-2</v>
      </c>
      <c r="I132" s="88">
        <v>3.6990000000000002E-2</v>
      </c>
      <c r="J132" s="88">
        <v>3.5779999999999999E-2</v>
      </c>
      <c r="K132" s="88">
        <v>3.5799999999999998E-2</v>
      </c>
      <c r="L132" s="88">
        <v>3.5799999999999998E-2</v>
      </c>
      <c r="M132" s="88">
        <v>3.5799999999999998E-2</v>
      </c>
      <c r="N132" s="88">
        <v>3.5799999999999998E-2</v>
      </c>
      <c r="O132" s="88">
        <v>3.5799999999999998E-2</v>
      </c>
      <c r="P132" s="88">
        <v>4.2540000000000001E-2</v>
      </c>
      <c r="Q132" s="88">
        <v>4.2970000000000001E-2</v>
      </c>
      <c r="R132" s="88">
        <v>3.5799999999999998E-2</v>
      </c>
      <c r="S132" s="88">
        <v>3.5799999999999998E-2</v>
      </c>
      <c r="T132" s="88">
        <v>3.5799999999999998E-2</v>
      </c>
      <c r="U132" s="88">
        <v>2.5080000000000002E-2</v>
      </c>
      <c r="V132" s="88">
        <v>3.5799999999999998E-2</v>
      </c>
      <c r="W132" s="88">
        <v>3.5799999999999998E-2</v>
      </c>
      <c r="X132" s="88">
        <v>3.5799999999999998E-2</v>
      </c>
      <c r="Y132" s="88">
        <v>3.5799999999999998E-2</v>
      </c>
      <c r="Z132" s="88">
        <v>3.8679999999999999E-2</v>
      </c>
      <c r="AA132" s="88">
        <v>4.1640000000000003E-2</v>
      </c>
      <c r="AB132" s="88">
        <v>3.5799999999999998E-2</v>
      </c>
      <c r="AC132" s="88">
        <v>4.2630000000000001E-2</v>
      </c>
      <c r="AD132" s="88">
        <v>4.6929999999999999E-2</v>
      </c>
      <c r="AE132" s="88">
        <v>3.5799999999999998E-2</v>
      </c>
      <c r="AF132" s="88">
        <v>3.5799999999999998E-2</v>
      </c>
      <c r="AG132" s="88">
        <v>3.5799999999999998E-2</v>
      </c>
      <c r="AH132" s="88">
        <v>3.9030000000000002E-2</v>
      </c>
      <c r="AI132" s="88">
        <v>2.5080000000000002E-2</v>
      </c>
      <c r="AJ132" s="88">
        <v>2.7289999999999998E-2</v>
      </c>
      <c r="AK132" s="88">
        <v>3.9170000000000003E-2</v>
      </c>
      <c r="AL132" s="88">
        <v>5.8630000000000002E-2</v>
      </c>
      <c r="AM132" s="88">
        <v>3.6040000000000003E-2</v>
      </c>
      <c r="AN132" s="88">
        <v>4.224E-2</v>
      </c>
      <c r="AO132" s="88">
        <v>4.2659999999999997E-2</v>
      </c>
      <c r="AP132" s="88">
        <v>4.5809999999999997E-2</v>
      </c>
      <c r="AQ132" s="88">
        <v>3.882E-2</v>
      </c>
      <c r="AR132" s="88">
        <v>5.5149999999999998E-2</v>
      </c>
      <c r="AS132" s="88">
        <v>2.4719999999999999E-2</v>
      </c>
      <c r="AT132" s="88">
        <v>4.2520000000000002E-2</v>
      </c>
      <c r="AU132" s="88">
        <v>5.8319999999999997E-2</v>
      </c>
      <c r="AV132" s="88">
        <v>4.2040000000000001E-2</v>
      </c>
      <c r="AW132" s="88">
        <v>3.8719999999999997E-2</v>
      </c>
      <c r="AX132" s="88">
        <v>5.8189999999999999E-2</v>
      </c>
      <c r="AY132" s="88">
        <v>3.6850000000000001E-2</v>
      </c>
      <c r="AZ132" s="88">
        <v>3.7609999999999998E-2</v>
      </c>
      <c r="BA132" s="88">
        <v>3.959E-2</v>
      </c>
      <c r="BB132" s="88">
        <v>5.9330000000000001E-2</v>
      </c>
      <c r="BC132" s="88">
        <v>3.381E-2</v>
      </c>
      <c r="BD132" s="89"/>
      <c r="BE132" s="83"/>
    </row>
    <row r="133" spans="1:57" x14ac:dyDescent="0.25">
      <c r="A133" s="84">
        <f t="shared" ref="A133:A162" si="2">A132+1</f>
        <v>131</v>
      </c>
      <c r="B133" s="83">
        <v>121</v>
      </c>
      <c r="C133" s="86">
        <v>3.585E-2</v>
      </c>
      <c r="D133" s="86">
        <v>3.585E-2</v>
      </c>
      <c r="E133" s="86">
        <v>3.585E-2</v>
      </c>
      <c r="F133" s="86">
        <v>3.5740000000000001E-2</v>
      </c>
      <c r="G133" s="86">
        <v>4.0349999999999997E-2</v>
      </c>
      <c r="H133" s="86">
        <v>3.585E-2</v>
      </c>
      <c r="I133" s="86">
        <v>3.7039999999999997E-2</v>
      </c>
      <c r="J133" s="86">
        <v>3.5830000000000001E-2</v>
      </c>
      <c r="K133" s="86">
        <v>3.585E-2</v>
      </c>
      <c r="L133" s="86">
        <v>3.585E-2</v>
      </c>
      <c r="M133" s="86">
        <v>3.585E-2</v>
      </c>
      <c r="N133" s="86">
        <v>3.585E-2</v>
      </c>
      <c r="O133" s="86">
        <v>3.585E-2</v>
      </c>
      <c r="P133" s="86">
        <v>4.2540000000000001E-2</v>
      </c>
      <c r="Q133" s="86">
        <v>4.2970000000000001E-2</v>
      </c>
      <c r="R133" s="86">
        <v>3.585E-2</v>
      </c>
      <c r="S133" s="86">
        <v>3.585E-2</v>
      </c>
      <c r="T133" s="86">
        <v>3.585E-2</v>
      </c>
      <c r="U133" s="86">
        <v>2.513E-2</v>
      </c>
      <c r="V133" s="86">
        <v>3.585E-2</v>
      </c>
      <c r="W133" s="86">
        <v>3.585E-2</v>
      </c>
      <c r="X133" s="86">
        <v>3.585E-2</v>
      </c>
      <c r="Y133" s="86">
        <v>3.585E-2</v>
      </c>
      <c r="Z133" s="86">
        <v>3.8710000000000001E-2</v>
      </c>
      <c r="AA133" s="86">
        <v>4.165E-2</v>
      </c>
      <c r="AB133" s="86">
        <v>3.585E-2</v>
      </c>
      <c r="AC133" s="86">
        <v>4.2630000000000001E-2</v>
      </c>
      <c r="AD133" s="86">
        <v>4.6890000000000001E-2</v>
      </c>
      <c r="AE133" s="86">
        <v>3.585E-2</v>
      </c>
      <c r="AF133" s="86">
        <v>3.585E-2</v>
      </c>
      <c r="AG133" s="86">
        <v>3.585E-2</v>
      </c>
      <c r="AH133" s="86">
        <v>3.9059999999999997E-2</v>
      </c>
      <c r="AI133" s="86">
        <v>2.513E-2</v>
      </c>
      <c r="AJ133" s="86">
        <v>2.741E-2</v>
      </c>
      <c r="AK133" s="86">
        <v>3.9190000000000003E-2</v>
      </c>
      <c r="AL133" s="86">
        <v>5.8569999999999997E-2</v>
      </c>
      <c r="AM133" s="86">
        <v>3.6089999999999997E-2</v>
      </c>
      <c r="AN133" s="86">
        <v>4.224E-2</v>
      </c>
      <c r="AO133" s="86">
        <v>4.2659999999999997E-2</v>
      </c>
      <c r="AP133" s="86">
        <v>4.5780000000000001E-2</v>
      </c>
      <c r="AQ133" s="86">
        <v>3.884E-2</v>
      </c>
      <c r="AR133" s="86">
        <v>5.5129999999999998E-2</v>
      </c>
      <c r="AS133" s="86">
        <v>2.478E-2</v>
      </c>
      <c r="AT133" s="86">
        <v>4.2520000000000002E-2</v>
      </c>
      <c r="AU133" s="86">
        <v>5.8270000000000002E-2</v>
      </c>
      <c r="AV133" s="86">
        <v>4.2040000000000001E-2</v>
      </c>
      <c r="AW133" s="86">
        <v>3.875E-2</v>
      </c>
      <c r="AX133" s="86">
        <v>5.8139999999999997E-2</v>
      </c>
      <c r="AY133" s="86">
        <v>3.6889999999999999E-2</v>
      </c>
      <c r="AZ133" s="86">
        <v>3.7650000000000003E-2</v>
      </c>
      <c r="BA133" s="86">
        <v>3.9609999999999999E-2</v>
      </c>
      <c r="BB133" s="86">
        <v>5.9270000000000003E-2</v>
      </c>
      <c r="BC133" s="86">
        <v>3.388E-2</v>
      </c>
      <c r="BD133" s="89"/>
      <c r="BE133" s="83"/>
    </row>
    <row r="134" spans="1:57" x14ac:dyDescent="0.25">
      <c r="A134" s="84">
        <f t="shared" si="2"/>
        <v>132</v>
      </c>
      <c r="B134" s="83">
        <v>122</v>
      </c>
      <c r="C134" s="86">
        <v>3.5900000000000001E-2</v>
      </c>
      <c r="D134" s="86">
        <v>3.5900000000000001E-2</v>
      </c>
      <c r="E134" s="86">
        <v>3.5900000000000001E-2</v>
      </c>
      <c r="F134" s="86">
        <v>3.5799999999999998E-2</v>
      </c>
      <c r="G134" s="86">
        <v>4.0370000000000003E-2</v>
      </c>
      <c r="H134" s="86">
        <v>3.5900000000000001E-2</v>
      </c>
      <c r="I134" s="86">
        <v>3.7080000000000002E-2</v>
      </c>
      <c r="J134" s="86">
        <v>3.5880000000000002E-2</v>
      </c>
      <c r="K134" s="86">
        <v>3.5900000000000001E-2</v>
      </c>
      <c r="L134" s="86">
        <v>3.5900000000000001E-2</v>
      </c>
      <c r="M134" s="86">
        <v>3.5900000000000001E-2</v>
      </c>
      <c r="N134" s="86">
        <v>3.5900000000000001E-2</v>
      </c>
      <c r="O134" s="86">
        <v>3.5900000000000001E-2</v>
      </c>
      <c r="P134" s="86">
        <v>4.2540000000000001E-2</v>
      </c>
      <c r="Q134" s="86">
        <v>4.2959999999999998E-2</v>
      </c>
      <c r="R134" s="86">
        <v>3.5900000000000001E-2</v>
      </c>
      <c r="S134" s="86">
        <v>3.5900000000000001E-2</v>
      </c>
      <c r="T134" s="86">
        <v>3.5900000000000001E-2</v>
      </c>
      <c r="U134" s="86">
        <v>2.5190000000000001E-2</v>
      </c>
      <c r="V134" s="86">
        <v>3.5900000000000001E-2</v>
      </c>
      <c r="W134" s="86">
        <v>3.5900000000000001E-2</v>
      </c>
      <c r="X134" s="86">
        <v>3.5900000000000001E-2</v>
      </c>
      <c r="Y134" s="86">
        <v>3.5900000000000001E-2</v>
      </c>
      <c r="Z134" s="86">
        <v>3.8739999999999997E-2</v>
      </c>
      <c r="AA134" s="86">
        <v>4.165E-2</v>
      </c>
      <c r="AB134" s="86">
        <v>3.5900000000000001E-2</v>
      </c>
      <c r="AC134" s="86">
        <v>4.2619999999999998E-2</v>
      </c>
      <c r="AD134" s="86">
        <v>4.6850000000000003E-2</v>
      </c>
      <c r="AE134" s="86">
        <v>3.5900000000000001E-2</v>
      </c>
      <c r="AF134" s="86">
        <v>3.5900000000000001E-2</v>
      </c>
      <c r="AG134" s="86">
        <v>3.5900000000000001E-2</v>
      </c>
      <c r="AH134" s="86">
        <v>3.9079999999999997E-2</v>
      </c>
      <c r="AI134" s="86">
        <v>2.5190000000000001E-2</v>
      </c>
      <c r="AJ134" s="86">
        <v>2.7529999999999999E-2</v>
      </c>
      <c r="AK134" s="86">
        <v>3.9210000000000002E-2</v>
      </c>
      <c r="AL134" s="86">
        <v>5.8520000000000003E-2</v>
      </c>
      <c r="AM134" s="86">
        <v>3.6139999999999999E-2</v>
      </c>
      <c r="AN134" s="86">
        <v>4.224E-2</v>
      </c>
      <c r="AO134" s="86">
        <v>4.265E-2</v>
      </c>
      <c r="AP134" s="86">
        <v>4.5749999999999999E-2</v>
      </c>
      <c r="AQ134" s="86">
        <v>3.8870000000000002E-2</v>
      </c>
      <c r="AR134" s="86">
        <v>5.5100000000000003E-2</v>
      </c>
      <c r="AS134" s="86">
        <v>2.4840000000000001E-2</v>
      </c>
      <c r="AT134" s="86">
        <v>4.2509999999999999E-2</v>
      </c>
      <c r="AU134" s="86">
        <v>5.8220000000000001E-2</v>
      </c>
      <c r="AV134" s="86">
        <v>4.2040000000000001E-2</v>
      </c>
      <c r="AW134" s="86">
        <v>3.8780000000000002E-2</v>
      </c>
      <c r="AX134" s="86">
        <v>5.8090000000000003E-2</v>
      </c>
      <c r="AY134" s="86">
        <v>3.6929999999999998E-2</v>
      </c>
      <c r="AZ134" s="86">
        <v>3.7679999999999998E-2</v>
      </c>
      <c r="BA134" s="86">
        <v>3.9629999999999999E-2</v>
      </c>
      <c r="BB134" s="86">
        <v>5.9209999999999999E-2</v>
      </c>
      <c r="BC134" s="86">
        <v>3.3939999999999998E-2</v>
      </c>
      <c r="BD134" s="89"/>
      <c r="BE134" s="83"/>
    </row>
    <row r="135" spans="1:57" x14ac:dyDescent="0.25">
      <c r="A135" s="84">
        <f t="shared" si="2"/>
        <v>133</v>
      </c>
      <c r="B135" s="83">
        <v>123</v>
      </c>
      <c r="C135" s="86">
        <v>3.5950000000000003E-2</v>
      </c>
      <c r="D135" s="86">
        <v>3.5950000000000003E-2</v>
      </c>
      <c r="E135" s="86">
        <v>3.5950000000000003E-2</v>
      </c>
      <c r="F135" s="86">
        <v>3.585E-2</v>
      </c>
      <c r="G135" s="86">
        <v>4.0379999999999999E-2</v>
      </c>
      <c r="H135" s="86">
        <v>3.5950000000000003E-2</v>
      </c>
      <c r="I135" s="86">
        <v>3.712E-2</v>
      </c>
      <c r="J135" s="86">
        <v>3.5929999999999997E-2</v>
      </c>
      <c r="K135" s="86">
        <v>3.5950000000000003E-2</v>
      </c>
      <c r="L135" s="86">
        <v>3.5950000000000003E-2</v>
      </c>
      <c r="M135" s="86">
        <v>3.5950000000000003E-2</v>
      </c>
      <c r="N135" s="86">
        <v>3.5950000000000003E-2</v>
      </c>
      <c r="O135" s="86">
        <v>3.5950000000000003E-2</v>
      </c>
      <c r="P135" s="86">
        <v>4.2529999999999998E-2</v>
      </c>
      <c r="Q135" s="86">
        <v>4.2950000000000002E-2</v>
      </c>
      <c r="R135" s="86">
        <v>3.5950000000000003E-2</v>
      </c>
      <c r="S135" s="86">
        <v>3.5950000000000003E-2</v>
      </c>
      <c r="T135" s="86">
        <v>3.5950000000000003E-2</v>
      </c>
      <c r="U135" s="86">
        <v>2.5239999999999999E-2</v>
      </c>
      <c r="V135" s="86">
        <v>3.5950000000000003E-2</v>
      </c>
      <c r="W135" s="86">
        <v>3.5950000000000003E-2</v>
      </c>
      <c r="X135" s="86">
        <v>3.5950000000000003E-2</v>
      </c>
      <c r="Y135" s="86">
        <v>3.5950000000000003E-2</v>
      </c>
      <c r="Z135" s="86">
        <v>3.8760000000000003E-2</v>
      </c>
      <c r="AA135" s="86">
        <v>4.165E-2</v>
      </c>
      <c r="AB135" s="86">
        <v>3.5950000000000003E-2</v>
      </c>
      <c r="AC135" s="86">
        <v>4.2619999999999998E-2</v>
      </c>
      <c r="AD135" s="86">
        <v>4.6809999999999997E-2</v>
      </c>
      <c r="AE135" s="86">
        <v>3.5950000000000003E-2</v>
      </c>
      <c r="AF135" s="86">
        <v>3.5950000000000003E-2</v>
      </c>
      <c r="AG135" s="86">
        <v>3.5950000000000003E-2</v>
      </c>
      <c r="AH135" s="86">
        <v>3.9100000000000003E-2</v>
      </c>
      <c r="AI135" s="86">
        <v>2.5239999999999999E-2</v>
      </c>
      <c r="AJ135" s="86">
        <v>2.7650000000000001E-2</v>
      </c>
      <c r="AK135" s="86">
        <v>3.9230000000000001E-2</v>
      </c>
      <c r="AL135" s="86">
        <v>5.8470000000000001E-2</v>
      </c>
      <c r="AM135" s="86">
        <v>3.619E-2</v>
      </c>
      <c r="AN135" s="86">
        <v>4.2229999999999997E-2</v>
      </c>
      <c r="AO135" s="86">
        <v>4.265E-2</v>
      </c>
      <c r="AP135" s="86">
        <v>4.5719999999999997E-2</v>
      </c>
      <c r="AQ135" s="86">
        <v>3.8890000000000001E-2</v>
      </c>
      <c r="AR135" s="86">
        <v>5.5079999999999997E-2</v>
      </c>
      <c r="AS135" s="86">
        <v>2.4889999999999999E-2</v>
      </c>
      <c r="AT135" s="86">
        <v>4.2509999999999999E-2</v>
      </c>
      <c r="AU135" s="86">
        <v>5.8169999999999999E-2</v>
      </c>
      <c r="AV135" s="86">
        <v>4.2040000000000001E-2</v>
      </c>
      <c r="AW135" s="86">
        <v>3.8800000000000001E-2</v>
      </c>
      <c r="AX135" s="86">
        <v>5.8040000000000001E-2</v>
      </c>
      <c r="AY135" s="86">
        <v>3.6970000000000003E-2</v>
      </c>
      <c r="AZ135" s="86">
        <v>3.7719999999999997E-2</v>
      </c>
      <c r="BA135" s="86">
        <v>3.9649999999999998E-2</v>
      </c>
      <c r="BB135" s="86">
        <v>5.9150000000000001E-2</v>
      </c>
      <c r="BC135" s="86">
        <v>3.4009999999999999E-2</v>
      </c>
      <c r="BD135" s="89"/>
      <c r="BE135" s="83"/>
    </row>
    <row r="136" spans="1:57" x14ac:dyDescent="0.25">
      <c r="A136" s="84">
        <f t="shared" si="2"/>
        <v>134</v>
      </c>
      <c r="B136" s="83">
        <v>124</v>
      </c>
      <c r="C136" s="86">
        <v>3.5999999999999997E-2</v>
      </c>
      <c r="D136" s="86">
        <v>3.5999999999999997E-2</v>
      </c>
      <c r="E136" s="86">
        <v>3.5999999999999997E-2</v>
      </c>
      <c r="F136" s="86">
        <v>3.5900000000000001E-2</v>
      </c>
      <c r="G136" s="86">
        <v>4.0390000000000002E-2</v>
      </c>
      <c r="H136" s="86">
        <v>3.5999999999999997E-2</v>
      </c>
      <c r="I136" s="86">
        <v>3.7159999999999999E-2</v>
      </c>
      <c r="J136" s="86">
        <v>3.5979999999999998E-2</v>
      </c>
      <c r="K136" s="86">
        <v>3.5999999999999997E-2</v>
      </c>
      <c r="L136" s="86">
        <v>3.5999999999999997E-2</v>
      </c>
      <c r="M136" s="86">
        <v>3.5999999999999997E-2</v>
      </c>
      <c r="N136" s="86">
        <v>3.5999999999999997E-2</v>
      </c>
      <c r="O136" s="86">
        <v>3.5999999999999997E-2</v>
      </c>
      <c r="P136" s="86">
        <v>4.2529999999999998E-2</v>
      </c>
      <c r="Q136" s="86">
        <v>4.2939999999999999E-2</v>
      </c>
      <c r="R136" s="86">
        <v>3.5999999999999997E-2</v>
      </c>
      <c r="S136" s="86">
        <v>3.5999999999999997E-2</v>
      </c>
      <c r="T136" s="86">
        <v>3.5999999999999997E-2</v>
      </c>
      <c r="U136" s="86">
        <v>2.53E-2</v>
      </c>
      <c r="V136" s="86">
        <v>3.5999999999999997E-2</v>
      </c>
      <c r="W136" s="86">
        <v>3.5999999999999997E-2</v>
      </c>
      <c r="X136" s="86">
        <v>3.5999999999999997E-2</v>
      </c>
      <c r="Y136" s="86">
        <v>3.5999999999999997E-2</v>
      </c>
      <c r="Z136" s="86">
        <v>3.8789999999999998E-2</v>
      </c>
      <c r="AA136" s="86">
        <v>4.1660000000000003E-2</v>
      </c>
      <c r="AB136" s="86">
        <v>3.5999999999999997E-2</v>
      </c>
      <c r="AC136" s="86">
        <v>4.2610000000000002E-2</v>
      </c>
      <c r="AD136" s="86">
        <v>4.6769999999999999E-2</v>
      </c>
      <c r="AE136" s="86">
        <v>3.5999999999999997E-2</v>
      </c>
      <c r="AF136" s="86">
        <v>3.5999999999999997E-2</v>
      </c>
      <c r="AG136" s="86">
        <v>3.5999999999999997E-2</v>
      </c>
      <c r="AH136" s="86">
        <v>3.9129999999999998E-2</v>
      </c>
      <c r="AI136" s="86">
        <v>2.53E-2</v>
      </c>
      <c r="AJ136" s="86">
        <v>2.776E-2</v>
      </c>
      <c r="AK136" s="86">
        <v>3.9260000000000003E-2</v>
      </c>
      <c r="AL136" s="86">
        <v>5.8409999999999997E-2</v>
      </c>
      <c r="AM136" s="86">
        <v>3.6229999999999998E-2</v>
      </c>
      <c r="AN136" s="86">
        <v>4.2229999999999997E-2</v>
      </c>
      <c r="AO136" s="86">
        <v>4.2639999999999997E-2</v>
      </c>
      <c r="AP136" s="86">
        <v>4.5690000000000001E-2</v>
      </c>
      <c r="AQ136" s="86">
        <v>3.8920000000000003E-2</v>
      </c>
      <c r="AR136" s="86">
        <v>5.5050000000000002E-2</v>
      </c>
      <c r="AS136" s="86">
        <v>2.495E-2</v>
      </c>
      <c r="AT136" s="86">
        <v>4.2509999999999999E-2</v>
      </c>
      <c r="AU136" s="86">
        <v>5.8119999999999998E-2</v>
      </c>
      <c r="AV136" s="86">
        <v>4.2040000000000001E-2</v>
      </c>
      <c r="AW136" s="86">
        <v>3.8830000000000003E-2</v>
      </c>
      <c r="AX136" s="86">
        <v>5.799E-2</v>
      </c>
      <c r="AY136" s="86">
        <v>3.7010000000000001E-2</v>
      </c>
      <c r="AZ136" s="86">
        <v>3.7749999999999999E-2</v>
      </c>
      <c r="BA136" s="86">
        <v>3.9669999999999997E-2</v>
      </c>
      <c r="BB136" s="86">
        <v>5.9089999999999997E-2</v>
      </c>
      <c r="BC136" s="86">
        <v>3.4070000000000003E-2</v>
      </c>
      <c r="BD136" s="89"/>
      <c r="BE136" s="83"/>
    </row>
    <row r="137" spans="1:57" x14ac:dyDescent="0.25">
      <c r="A137" s="84">
        <f t="shared" si="2"/>
        <v>135</v>
      </c>
      <c r="B137" s="87">
        <v>125</v>
      </c>
      <c r="C137" s="88">
        <v>3.6049999999999999E-2</v>
      </c>
      <c r="D137" s="88">
        <v>3.6049999999999999E-2</v>
      </c>
      <c r="E137" s="88">
        <v>3.6049999999999999E-2</v>
      </c>
      <c r="F137" s="88">
        <v>3.594E-2</v>
      </c>
      <c r="G137" s="88">
        <v>4.0410000000000001E-2</v>
      </c>
      <c r="H137" s="88">
        <v>3.6049999999999999E-2</v>
      </c>
      <c r="I137" s="88">
        <v>3.7190000000000001E-2</v>
      </c>
      <c r="J137" s="88">
        <v>3.603E-2</v>
      </c>
      <c r="K137" s="88">
        <v>3.6049999999999999E-2</v>
      </c>
      <c r="L137" s="88">
        <v>3.6049999999999999E-2</v>
      </c>
      <c r="M137" s="88">
        <v>3.6049999999999999E-2</v>
      </c>
      <c r="N137" s="88">
        <v>3.6049999999999999E-2</v>
      </c>
      <c r="O137" s="88">
        <v>3.6049999999999999E-2</v>
      </c>
      <c r="P137" s="88">
        <v>4.2520000000000002E-2</v>
      </c>
      <c r="Q137" s="88">
        <v>4.2939999999999999E-2</v>
      </c>
      <c r="R137" s="88">
        <v>3.6049999999999999E-2</v>
      </c>
      <c r="S137" s="88">
        <v>3.6049999999999999E-2</v>
      </c>
      <c r="T137" s="88">
        <v>3.6049999999999999E-2</v>
      </c>
      <c r="U137" s="88">
        <v>2.5350000000000001E-2</v>
      </c>
      <c r="V137" s="88">
        <v>3.6049999999999999E-2</v>
      </c>
      <c r="W137" s="88">
        <v>3.6049999999999999E-2</v>
      </c>
      <c r="X137" s="88">
        <v>3.6049999999999999E-2</v>
      </c>
      <c r="Y137" s="88">
        <v>3.6049999999999999E-2</v>
      </c>
      <c r="Z137" s="88">
        <v>3.8809999999999997E-2</v>
      </c>
      <c r="AA137" s="88">
        <v>4.1660000000000003E-2</v>
      </c>
      <c r="AB137" s="88">
        <v>3.6049999999999999E-2</v>
      </c>
      <c r="AC137" s="88">
        <v>4.2610000000000002E-2</v>
      </c>
      <c r="AD137" s="88">
        <v>4.6730000000000001E-2</v>
      </c>
      <c r="AE137" s="88">
        <v>3.6049999999999999E-2</v>
      </c>
      <c r="AF137" s="88">
        <v>3.6049999999999999E-2</v>
      </c>
      <c r="AG137" s="88">
        <v>3.6049999999999999E-2</v>
      </c>
      <c r="AH137" s="88">
        <v>3.9149999999999997E-2</v>
      </c>
      <c r="AI137" s="88">
        <v>2.5350000000000001E-2</v>
      </c>
      <c r="AJ137" s="88">
        <v>2.7879999999999999E-2</v>
      </c>
      <c r="AK137" s="88">
        <v>3.9280000000000002E-2</v>
      </c>
      <c r="AL137" s="88">
        <v>5.8360000000000002E-2</v>
      </c>
      <c r="AM137" s="88">
        <v>3.628E-2</v>
      </c>
      <c r="AN137" s="88">
        <v>4.2229999999999997E-2</v>
      </c>
      <c r="AO137" s="88">
        <v>4.2639999999999997E-2</v>
      </c>
      <c r="AP137" s="88">
        <v>4.5659999999999999E-2</v>
      </c>
      <c r="AQ137" s="88">
        <v>3.8940000000000002E-2</v>
      </c>
      <c r="AR137" s="88">
        <v>5.5030000000000003E-2</v>
      </c>
      <c r="AS137" s="88">
        <v>2.5010000000000001E-2</v>
      </c>
      <c r="AT137" s="88">
        <v>4.2500000000000003E-2</v>
      </c>
      <c r="AU137" s="88">
        <v>5.8069999999999997E-2</v>
      </c>
      <c r="AV137" s="88">
        <v>4.2040000000000001E-2</v>
      </c>
      <c r="AW137" s="88">
        <v>3.8850000000000003E-2</v>
      </c>
      <c r="AX137" s="88">
        <v>5.7939999999999998E-2</v>
      </c>
      <c r="AY137" s="88">
        <v>3.705E-2</v>
      </c>
      <c r="AZ137" s="88">
        <v>3.7789999999999997E-2</v>
      </c>
      <c r="BA137" s="88">
        <v>3.9690000000000003E-2</v>
      </c>
      <c r="BB137" s="88">
        <v>5.9040000000000002E-2</v>
      </c>
      <c r="BC137" s="88">
        <v>3.4139999999999997E-2</v>
      </c>
      <c r="BD137" s="89"/>
      <c r="BE137" s="83"/>
    </row>
    <row r="138" spans="1:57" x14ac:dyDescent="0.25">
      <c r="A138" s="84">
        <f t="shared" si="2"/>
        <v>136</v>
      </c>
      <c r="B138" s="83">
        <v>126</v>
      </c>
      <c r="C138" s="86">
        <v>3.61E-2</v>
      </c>
      <c r="D138" s="86">
        <v>3.61E-2</v>
      </c>
      <c r="E138" s="86">
        <v>3.61E-2</v>
      </c>
      <c r="F138" s="86">
        <v>3.5990000000000001E-2</v>
      </c>
      <c r="G138" s="86">
        <v>4.0419999999999998E-2</v>
      </c>
      <c r="H138" s="86">
        <v>3.61E-2</v>
      </c>
      <c r="I138" s="86">
        <v>3.7229999999999999E-2</v>
      </c>
      <c r="J138" s="86">
        <v>3.6069999999999998E-2</v>
      </c>
      <c r="K138" s="86">
        <v>3.61E-2</v>
      </c>
      <c r="L138" s="86">
        <v>3.61E-2</v>
      </c>
      <c r="M138" s="86">
        <v>3.61E-2</v>
      </c>
      <c r="N138" s="86">
        <v>3.61E-2</v>
      </c>
      <c r="O138" s="86">
        <v>3.61E-2</v>
      </c>
      <c r="P138" s="86">
        <v>4.2520000000000002E-2</v>
      </c>
      <c r="Q138" s="86">
        <v>4.2930000000000003E-2</v>
      </c>
      <c r="R138" s="86">
        <v>3.61E-2</v>
      </c>
      <c r="S138" s="86">
        <v>3.61E-2</v>
      </c>
      <c r="T138" s="86">
        <v>3.61E-2</v>
      </c>
      <c r="U138" s="86">
        <v>2.5409999999999999E-2</v>
      </c>
      <c r="V138" s="86">
        <v>3.61E-2</v>
      </c>
      <c r="W138" s="86">
        <v>3.61E-2</v>
      </c>
      <c r="X138" s="86">
        <v>3.61E-2</v>
      </c>
      <c r="Y138" s="86">
        <v>3.61E-2</v>
      </c>
      <c r="Z138" s="86">
        <v>3.884E-2</v>
      </c>
      <c r="AA138" s="86">
        <v>4.1660000000000003E-2</v>
      </c>
      <c r="AB138" s="86">
        <v>3.61E-2</v>
      </c>
      <c r="AC138" s="86">
        <v>4.2599999999999999E-2</v>
      </c>
      <c r="AD138" s="86">
        <v>4.6699999999999998E-2</v>
      </c>
      <c r="AE138" s="86">
        <v>3.61E-2</v>
      </c>
      <c r="AF138" s="86">
        <v>3.61E-2</v>
      </c>
      <c r="AG138" s="86">
        <v>3.61E-2</v>
      </c>
      <c r="AH138" s="86">
        <v>3.9170000000000003E-2</v>
      </c>
      <c r="AI138" s="86">
        <v>2.5409999999999999E-2</v>
      </c>
      <c r="AJ138" s="86">
        <v>2.7990000000000001E-2</v>
      </c>
      <c r="AK138" s="86">
        <v>3.9300000000000002E-2</v>
      </c>
      <c r="AL138" s="86">
        <v>5.8310000000000001E-2</v>
      </c>
      <c r="AM138" s="86">
        <v>3.6319999999999998E-2</v>
      </c>
      <c r="AN138" s="86">
        <v>4.2229999999999997E-2</v>
      </c>
      <c r="AO138" s="86">
        <v>4.2630000000000001E-2</v>
      </c>
      <c r="AP138" s="86">
        <v>4.5629999999999997E-2</v>
      </c>
      <c r="AQ138" s="86">
        <v>3.8969999999999998E-2</v>
      </c>
      <c r="AR138" s="86">
        <v>5.5E-2</v>
      </c>
      <c r="AS138" s="86">
        <v>2.5059999999999999E-2</v>
      </c>
      <c r="AT138" s="86">
        <v>4.2500000000000003E-2</v>
      </c>
      <c r="AU138" s="86">
        <v>5.8020000000000002E-2</v>
      </c>
      <c r="AV138" s="86">
        <v>4.2040000000000001E-2</v>
      </c>
      <c r="AW138" s="86">
        <v>3.8879999999999998E-2</v>
      </c>
      <c r="AX138" s="86">
        <v>5.7889999999999997E-2</v>
      </c>
      <c r="AY138" s="86">
        <v>3.7089999999999998E-2</v>
      </c>
      <c r="AZ138" s="86">
        <v>3.7819999999999999E-2</v>
      </c>
      <c r="BA138" s="86">
        <v>3.9710000000000002E-2</v>
      </c>
      <c r="BB138" s="86">
        <v>5.8979999999999998E-2</v>
      </c>
      <c r="BC138" s="86">
        <v>3.4200000000000001E-2</v>
      </c>
      <c r="BD138" s="89"/>
      <c r="BE138" s="83"/>
    </row>
    <row r="139" spans="1:57" x14ac:dyDescent="0.25">
      <c r="A139" s="84">
        <f t="shared" si="2"/>
        <v>137</v>
      </c>
      <c r="B139" s="83">
        <v>127</v>
      </c>
      <c r="C139" s="86">
        <v>3.6139999999999999E-2</v>
      </c>
      <c r="D139" s="86">
        <v>3.6139999999999999E-2</v>
      </c>
      <c r="E139" s="86">
        <v>3.6139999999999999E-2</v>
      </c>
      <c r="F139" s="86">
        <v>3.6040000000000003E-2</v>
      </c>
      <c r="G139" s="86">
        <v>4.0430000000000001E-2</v>
      </c>
      <c r="H139" s="86">
        <v>3.6139999999999999E-2</v>
      </c>
      <c r="I139" s="86">
        <v>3.7269999999999998E-2</v>
      </c>
      <c r="J139" s="86">
        <v>3.6119999999999999E-2</v>
      </c>
      <c r="K139" s="86">
        <v>3.6139999999999999E-2</v>
      </c>
      <c r="L139" s="86">
        <v>3.6139999999999999E-2</v>
      </c>
      <c r="M139" s="86">
        <v>3.6139999999999999E-2</v>
      </c>
      <c r="N139" s="86">
        <v>3.6139999999999999E-2</v>
      </c>
      <c r="O139" s="86">
        <v>3.6139999999999999E-2</v>
      </c>
      <c r="P139" s="86">
        <v>4.2509999999999999E-2</v>
      </c>
      <c r="Q139" s="86">
        <v>4.292E-2</v>
      </c>
      <c r="R139" s="86">
        <v>3.6139999999999999E-2</v>
      </c>
      <c r="S139" s="86">
        <v>3.6139999999999999E-2</v>
      </c>
      <c r="T139" s="86">
        <v>3.6139999999999999E-2</v>
      </c>
      <c r="U139" s="86">
        <v>2.546E-2</v>
      </c>
      <c r="V139" s="86">
        <v>3.6139999999999999E-2</v>
      </c>
      <c r="W139" s="86">
        <v>3.6139999999999999E-2</v>
      </c>
      <c r="X139" s="86">
        <v>3.6139999999999999E-2</v>
      </c>
      <c r="Y139" s="86">
        <v>3.6139999999999999E-2</v>
      </c>
      <c r="Z139" s="86">
        <v>3.8859999999999999E-2</v>
      </c>
      <c r="AA139" s="86">
        <v>4.1660000000000003E-2</v>
      </c>
      <c r="AB139" s="86">
        <v>3.6139999999999999E-2</v>
      </c>
      <c r="AC139" s="86">
        <v>4.2599999999999999E-2</v>
      </c>
      <c r="AD139" s="86">
        <v>4.666E-2</v>
      </c>
      <c r="AE139" s="86">
        <v>3.6139999999999999E-2</v>
      </c>
      <c r="AF139" s="86">
        <v>3.6139999999999999E-2</v>
      </c>
      <c r="AG139" s="86">
        <v>3.6139999999999999E-2</v>
      </c>
      <c r="AH139" s="86">
        <v>3.9190000000000003E-2</v>
      </c>
      <c r="AI139" s="86">
        <v>2.546E-2</v>
      </c>
      <c r="AJ139" s="86">
        <v>2.81E-2</v>
      </c>
      <c r="AK139" s="86">
        <v>3.9320000000000001E-2</v>
      </c>
      <c r="AL139" s="86">
        <v>5.8259999999999999E-2</v>
      </c>
      <c r="AM139" s="86">
        <v>3.637E-2</v>
      </c>
      <c r="AN139" s="86">
        <v>4.2229999999999997E-2</v>
      </c>
      <c r="AO139" s="86">
        <v>4.2630000000000001E-2</v>
      </c>
      <c r="AP139" s="86">
        <v>4.5600000000000002E-2</v>
      </c>
      <c r="AQ139" s="86">
        <v>3.8989999999999997E-2</v>
      </c>
      <c r="AR139" s="86">
        <v>5.4980000000000001E-2</v>
      </c>
      <c r="AS139" s="86">
        <v>2.512E-2</v>
      </c>
      <c r="AT139" s="86">
        <v>4.249E-2</v>
      </c>
      <c r="AU139" s="86">
        <v>5.7979999999999997E-2</v>
      </c>
      <c r="AV139" s="86">
        <v>4.2040000000000001E-2</v>
      </c>
      <c r="AW139" s="86">
        <v>3.8899999999999997E-2</v>
      </c>
      <c r="AX139" s="86">
        <v>5.7849999999999999E-2</v>
      </c>
      <c r="AY139" s="86">
        <v>3.7130000000000003E-2</v>
      </c>
      <c r="AZ139" s="86">
        <v>3.7850000000000002E-2</v>
      </c>
      <c r="BA139" s="86">
        <v>3.9730000000000001E-2</v>
      </c>
      <c r="BB139" s="86">
        <v>5.892E-2</v>
      </c>
      <c r="BC139" s="86">
        <v>3.4259999999999999E-2</v>
      </c>
      <c r="BD139" s="89"/>
      <c r="BE139" s="83"/>
    </row>
    <row r="140" spans="1:57" x14ac:dyDescent="0.25">
      <c r="A140" s="84">
        <f t="shared" si="2"/>
        <v>138</v>
      </c>
      <c r="B140" s="83">
        <v>128</v>
      </c>
      <c r="C140" s="86">
        <v>3.619E-2</v>
      </c>
      <c r="D140" s="86">
        <v>3.619E-2</v>
      </c>
      <c r="E140" s="86">
        <v>3.619E-2</v>
      </c>
      <c r="F140" s="86">
        <v>3.6089999999999997E-2</v>
      </c>
      <c r="G140" s="86">
        <v>4.0439999999999997E-2</v>
      </c>
      <c r="H140" s="86">
        <v>3.619E-2</v>
      </c>
      <c r="I140" s="86">
        <v>3.7310000000000003E-2</v>
      </c>
      <c r="J140" s="86">
        <v>3.6170000000000001E-2</v>
      </c>
      <c r="K140" s="86">
        <v>3.619E-2</v>
      </c>
      <c r="L140" s="86">
        <v>3.619E-2</v>
      </c>
      <c r="M140" s="86">
        <v>3.619E-2</v>
      </c>
      <c r="N140" s="86">
        <v>3.619E-2</v>
      </c>
      <c r="O140" s="86">
        <v>3.619E-2</v>
      </c>
      <c r="P140" s="86">
        <v>4.2509999999999999E-2</v>
      </c>
      <c r="Q140" s="86">
        <v>4.2909999999999997E-2</v>
      </c>
      <c r="R140" s="86">
        <v>3.619E-2</v>
      </c>
      <c r="S140" s="86">
        <v>3.619E-2</v>
      </c>
      <c r="T140" s="86">
        <v>3.619E-2</v>
      </c>
      <c r="U140" s="86">
        <v>2.5510000000000001E-2</v>
      </c>
      <c r="V140" s="86">
        <v>3.619E-2</v>
      </c>
      <c r="W140" s="86">
        <v>3.619E-2</v>
      </c>
      <c r="X140" s="86">
        <v>3.619E-2</v>
      </c>
      <c r="Y140" s="86">
        <v>3.619E-2</v>
      </c>
      <c r="Z140" s="86">
        <v>3.8890000000000001E-2</v>
      </c>
      <c r="AA140" s="86">
        <v>4.1669999999999999E-2</v>
      </c>
      <c r="AB140" s="86">
        <v>3.619E-2</v>
      </c>
      <c r="AC140" s="86">
        <v>4.2590000000000003E-2</v>
      </c>
      <c r="AD140" s="86">
        <v>4.6620000000000002E-2</v>
      </c>
      <c r="AE140" s="86">
        <v>3.619E-2</v>
      </c>
      <c r="AF140" s="86">
        <v>3.619E-2</v>
      </c>
      <c r="AG140" s="86">
        <v>3.619E-2</v>
      </c>
      <c r="AH140" s="86">
        <v>3.9219999999999998E-2</v>
      </c>
      <c r="AI140" s="86">
        <v>2.5510000000000001E-2</v>
      </c>
      <c r="AJ140" s="86">
        <v>2.8209999999999999E-2</v>
      </c>
      <c r="AK140" s="86">
        <v>3.934E-2</v>
      </c>
      <c r="AL140" s="86">
        <v>5.8209999999999998E-2</v>
      </c>
      <c r="AM140" s="86">
        <v>3.6409999999999998E-2</v>
      </c>
      <c r="AN140" s="86">
        <v>4.2220000000000001E-2</v>
      </c>
      <c r="AO140" s="86">
        <v>4.2619999999999998E-2</v>
      </c>
      <c r="AP140" s="86">
        <v>4.5569999999999999E-2</v>
      </c>
      <c r="AQ140" s="86">
        <v>3.9019999999999999E-2</v>
      </c>
      <c r="AR140" s="86">
        <v>5.4960000000000002E-2</v>
      </c>
      <c r="AS140" s="86">
        <v>2.5170000000000001E-2</v>
      </c>
      <c r="AT140" s="86">
        <v>4.249E-2</v>
      </c>
      <c r="AU140" s="86">
        <v>5.7930000000000002E-2</v>
      </c>
      <c r="AV140" s="86">
        <v>4.2040000000000001E-2</v>
      </c>
      <c r="AW140" s="86">
        <v>3.8929999999999999E-2</v>
      </c>
      <c r="AX140" s="86">
        <v>5.7799999999999997E-2</v>
      </c>
      <c r="AY140" s="86">
        <v>3.7170000000000002E-2</v>
      </c>
      <c r="AZ140" s="86">
        <v>3.789E-2</v>
      </c>
      <c r="BA140" s="86">
        <v>3.9739999999999998E-2</v>
      </c>
      <c r="BB140" s="86">
        <v>5.8869999999999999E-2</v>
      </c>
      <c r="BC140" s="86">
        <v>3.4320000000000003E-2</v>
      </c>
      <c r="BD140" s="89"/>
      <c r="BE140" s="83"/>
    </row>
    <row r="141" spans="1:57" x14ac:dyDescent="0.25">
      <c r="A141" s="84">
        <f t="shared" si="2"/>
        <v>139</v>
      </c>
      <c r="B141" s="83">
        <v>129</v>
      </c>
      <c r="C141" s="86">
        <v>3.6229999999999998E-2</v>
      </c>
      <c r="D141" s="86">
        <v>3.6229999999999998E-2</v>
      </c>
      <c r="E141" s="86">
        <v>3.6229999999999998E-2</v>
      </c>
      <c r="F141" s="86">
        <v>3.6130000000000002E-2</v>
      </c>
      <c r="G141" s="86">
        <v>4.0460000000000003E-2</v>
      </c>
      <c r="H141" s="86">
        <v>3.6229999999999998E-2</v>
      </c>
      <c r="I141" s="86">
        <v>3.7339999999999998E-2</v>
      </c>
      <c r="J141" s="86">
        <v>3.6209999999999999E-2</v>
      </c>
      <c r="K141" s="86">
        <v>3.6229999999999998E-2</v>
      </c>
      <c r="L141" s="86">
        <v>3.6229999999999998E-2</v>
      </c>
      <c r="M141" s="86">
        <v>3.6229999999999998E-2</v>
      </c>
      <c r="N141" s="86">
        <v>3.6229999999999998E-2</v>
      </c>
      <c r="O141" s="86">
        <v>3.6229999999999998E-2</v>
      </c>
      <c r="P141" s="86">
        <v>4.2509999999999999E-2</v>
      </c>
      <c r="Q141" s="86">
        <v>4.2909999999999997E-2</v>
      </c>
      <c r="R141" s="86">
        <v>3.6229999999999998E-2</v>
      </c>
      <c r="S141" s="86">
        <v>3.6229999999999998E-2</v>
      </c>
      <c r="T141" s="86">
        <v>3.6229999999999998E-2</v>
      </c>
      <c r="U141" s="86">
        <v>2.5559999999999999E-2</v>
      </c>
      <c r="V141" s="86">
        <v>3.6229999999999998E-2</v>
      </c>
      <c r="W141" s="86">
        <v>3.6229999999999998E-2</v>
      </c>
      <c r="X141" s="86">
        <v>3.6229999999999998E-2</v>
      </c>
      <c r="Y141" s="86">
        <v>3.6229999999999998E-2</v>
      </c>
      <c r="Z141" s="86">
        <v>3.891E-2</v>
      </c>
      <c r="AA141" s="86">
        <v>4.1669999999999999E-2</v>
      </c>
      <c r="AB141" s="86">
        <v>3.6229999999999998E-2</v>
      </c>
      <c r="AC141" s="86">
        <v>4.2590000000000003E-2</v>
      </c>
      <c r="AD141" s="86">
        <v>4.6589999999999999E-2</v>
      </c>
      <c r="AE141" s="86">
        <v>3.6229999999999998E-2</v>
      </c>
      <c r="AF141" s="86">
        <v>3.6229999999999998E-2</v>
      </c>
      <c r="AG141" s="86">
        <v>3.6229999999999998E-2</v>
      </c>
      <c r="AH141" s="86">
        <v>3.9239999999999997E-2</v>
      </c>
      <c r="AI141" s="86">
        <v>2.5559999999999999E-2</v>
      </c>
      <c r="AJ141" s="86">
        <v>2.8309999999999998E-2</v>
      </c>
      <c r="AK141" s="86">
        <v>3.9359999999999999E-2</v>
      </c>
      <c r="AL141" s="86">
        <v>5.8169999999999999E-2</v>
      </c>
      <c r="AM141" s="86">
        <v>3.6459999999999999E-2</v>
      </c>
      <c r="AN141" s="86">
        <v>4.2220000000000001E-2</v>
      </c>
      <c r="AO141" s="86">
        <v>4.2619999999999998E-2</v>
      </c>
      <c r="AP141" s="86">
        <v>4.555E-2</v>
      </c>
      <c r="AQ141" s="86">
        <v>3.9039999999999998E-2</v>
      </c>
      <c r="AR141" s="86">
        <v>5.493E-2</v>
      </c>
      <c r="AS141" s="86">
        <v>2.5219999999999999E-2</v>
      </c>
      <c r="AT141" s="86">
        <v>4.249E-2</v>
      </c>
      <c r="AU141" s="86">
        <v>5.7880000000000001E-2</v>
      </c>
      <c r="AV141" s="86">
        <v>4.2040000000000001E-2</v>
      </c>
      <c r="AW141" s="86">
        <v>3.8949999999999999E-2</v>
      </c>
      <c r="AX141" s="86">
        <v>5.7759999999999999E-2</v>
      </c>
      <c r="AY141" s="86">
        <v>3.7199999999999997E-2</v>
      </c>
      <c r="AZ141" s="86">
        <v>3.7920000000000002E-2</v>
      </c>
      <c r="BA141" s="86">
        <v>3.9759999999999997E-2</v>
      </c>
      <c r="BB141" s="86">
        <v>5.8819999999999997E-2</v>
      </c>
      <c r="BC141" s="86">
        <v>3.4380000000000001E-2</v>
      </c>
      <c r="BD141" s="89"/>
      <c r="BE141" s="83"/>
    </row>
    <row r="142" spans="1:57" x14ac:dyDescent="0.25">
      <c r="A142" s="84">
        <f t="shared" si="2"/>
        <v>140</v>
      </c>
      <c r="B142" s="87">
        <v>130</v>
      </c>
      <c r="C142" s="88">
        <v>3.628E-2</v>
      </c>
      <c r="D142" s="88">
        <v>3.628E-2</v>
      </c>
      <c r="E142" s="88">
        <v>3.628E-2</v>
      </c>
      <c r="F142" s="88">
        <v>3.6179999999999997E-2</v>
      </c>
      <c r="G142" s="88">
        <v>4.0469999999999999E-2</v>
      </c>
      <c r="H142" s="88">
        <v>3.628E-2</v>
      </c>
      <c r="I142" s="88">
        <v>3.7379999999999997E-2</v>
      </c>
      <c r="J142" s="88">
        <v>3.6260000000000001E-2</v>
      </c>
      <c r="K142" s="88">
        <v>3.628E-2</v>
      </c>
      <c r="L142" s="88">
        <v>3.628E-2</v>
      </c>
      <c r="M142" s="88">
        <v>3.628E-2</v>
      </c>
      <c r="N142" s="88">
        <v>3.628E-2</v>
      </c>
      <c r="O142" s="88">
        <v>3.628E-2</v>
      </c>
      <c r="P142" s="88">
        <v>4.2500000000000003E-2</v>
      </c>
      <c r="Q142" s="88">
        <v>4.2900000000000001E-2</v>
      </c>
      <c r="R142" s="88">
        <v>3.628E-2</v>
      </c>
      <c r="S142" s="88">
        <v>3.628E-2</v>
      </c>
      <c r="T142" s="88">
        <v>3.628E-2</v>
      </c>
      <c r="U142" s="88">
        <v>2.5610000000000001E-2</v>
      </c>
      <c r="V142" s="88">
        <v>3.628E-2</v>
      </c>
      <c r="W142" s="88">
        <v>3.628E-2</v>
      </c>
      <c r="X142" s="88">
        <v>3.628E-2</v>
      </c>
      <c r="Y142" s="88">
        <v>3.628E-2</v>
      </c>
      <c r="Z142" s="88">
        <v>3.8940000000000002E-2</v>
      </c>
      <c r="AA142" s="88">
        <v>4.1669999999999999E-2</v>
      </c>
      <c r="AB142" s="88">
        <v>3.628E-2</v>
      </c>
      <c r="AC142" s="88">
        <v>4.2590000000000003E-2</v>
      </c>
      <c r="AD142" s="88">
        <v>4.6550000000000001E-2</v>
      </c>
      <c r="AE142" s="88">
        <v>3.628E-2</v>
      </c>
      <c r="AF142" s="88">
        <v>3.628E-2</v>
      </c>
      <c r="AG142" s="88">
        <v>3.628E-2</v>
      </c>
      <c r="AH142" s="88">
        <v>3.9260000000000003E-2</v>
      </c>
      <c r="AI142" s="88">
        <v>2.5610000000000001E-2</v>
      </c>
      <c r="AJ142" s="88">
        <v>2.8420000000000001E-2</v>
      </c>
      <c r="AK142" s="88">
        <v>3.9379999999999998E-2</v>
      </c>
      <c r="AL142" s="88">
        <v>5.8119999999999998E-2</v>
      </c>
      <c r="AM142" s="88">
        <v>3.6499999999999998E-2</v>
      </c>
      <c r="AN142" s="88">
        <v>4.2220000000000001E-2</v>
      </c>
      <c r="AO142" s="88">
        <v>4.2610000000000002E-2</v>
      </c>
      <c r="AP142" s="88">
        <v>4.5519999999999998E-2</v>
      </c>
      <c r="AQ142" s="88">
        <v>3.9059999999999997E-2</v>
      </c>
      <c r="AR142" s="88">
        <v>5.491E-2</v>
      </c>
      <c r="AS142" s="88">
        <v>2.528E-2</v>
      </c>
      <c r="AT142" s="88">
        <v>4.2479999999999997E-2</v>
      </c>
      <c r="AU142" s="88">
        <v>5.7840000000000003E-2</v>
      </c>
      <c r="AV142" s="88">
        <v>4.2040000000000001E-2</v>
      </c>
      <c r="AW142" s="88">
        <v>3.8969999999999998E-2</v>
      </c>
      <c r="AX142" s="88">
        <v>5.7709999999999997E-2</v>
      </c>
      <c r="AY142" s="88">
        <v>3.7240000000000002E-2</v>
      </c>
      <c r="AZ142" s="88">
        <v>3.7949999999999998E-2</v>
      </c>
      <c r="BA142" s="88">
        <v>3.9780000000000003E-2</v>
      </c>
      <c r="BB142" s="88">
        <v>5.876E-2</v>
      </c>
      <c r="BC142" s="88">
        <v>3.4439999999999998E-2</v>
      </c>
      <c r="BD142" s="89"/>
      <c r="BE142" s="83"/>
    </row>
    <row r="143" spans="1:57" x14ac:dyDescent="0.25">
      <c r="A143" s="84">
        <f t="shared" si="2"/>
        <v>141</v>
      </c>
      <c r="B143" s="83">
        <v>131</v>
      </c>
      <c r="C143" s="86">
        <v>3.6319999999999998E-2</v>
      </c>
      <c r="D143" s="86">
        <v>3.6319999999999998E-2</v>
      </c>
      <c r="E143" s="86">
        <v>3.6319999999999998E-2</v>
      </c>
      <c r="F143" s="86">
        <v>3.6220000000000002E-2</v>
      </c>
      <c r="G143" s="86">
        <v>4.0480000000000002E-2</v>
      </c>
      <c r="H143" s="86">
        <v>3.6319999999999998E-2</v>
      </c>
      <c r="I143" s="86">
        <v>3.7409999999999999E-2</v>
      </c>
      <c r="J143" s="86">
        <v>3.6299999999999999E-2</v>
      </c>
      <c r="K143" s="86">
        <v>3.6319999999999998E-2</v>
      </c>
      <c r="L143" s="86">
        <v>3.6319999999999998E-2</v>
      </c>
      <c r="M143" s="86">
        <v>3.6319999999999998E-2</v>
      </c>
      <c r="N143" s="86">
        <v>3.6319999999999998E-2</v>
      </c>
      <c r="O143" s="86">
        <v>3.6319999999999998E-2</v>
      </c>
      <c r="P143" s="86">
        <v>4.2500000000000003E-2</v>
      </c>
      <c r="Q143" s="86">
        <v>4.2889999999999998E-2</v>
      </c>
      <c r="R143" s="86">
        <v>3.6319999999999998E-2</v>
      </c>
      <c r="S143" s="86">
        <v>3.6319999999999998E-2</v>
      </c>
      <c r="T143" s="86">
        <v>3.6319999999999998E-2</v>
      </c>
      <c r="U143" s="86">
        <v>2.5659999999999999E-2</v>
      </c>
      <c r="V143" s="86">
        <v>3.6319999999999998E-2</v>
      </c>
      <c r="W143" s="86">
        <v>3.6319999999999998E-2</v>
      </c>
      <c r="X143" s="86">
        <v>3.6319999999999998E-2</v>
      </c>
      <c r="Y143" s="86">
        <v>3.6319999999999998E-2</v>
      </c>
      <c r="Z143" s="86">
        <v>3.8960000000000002E-2</v>
      </c>
      <c r="AA143" s="86">
        <v>4.1669999999999999E-2</v>
      </c>
      <c r="AB143" s="86">
        <v>3.6319999999999998E-2</v>
      </c>
      <c r="AC143" s="86">
        <v>4.258E-2</v>
      </c>
      <c r="AD143" s="86">
        <v>4.6519999999999999E-2</v>
      </c>
      <c r="AE143" s="86">
        <v>3.6319999999999998E-2</v>
      </c>
      <c r="AF143" s="86">
        <v>3.6319999999999998E-2</v>
      </c>
      <c r="AG143" s="86">
        <v>3.6319999999999998E-2</v>
      </c>
      <c r="AH143" s="86">
        <v>3.9280000000000002E-2</v>
      </c>
      <c r="AI143" s="86">
        <v>2.5659999999999999E-2</v>
      </c>
      <c r="AJ143" s="86">
        <v>2.852E-2</v>
      </c>
      <c r="AK143" s="86">
        <v>3.9399999999999998E-2</v>
      </c>
      <c r="AL143" s="86">
        <v>5.8069999999999997E-2</v>
      </c>
      <c r="AM143" s="86">
        <v>3.6540000000000003E-2</v>
      </c>
      <c r="AN143" s="86">
        <v>4.2220000000000001E-2</v>
      </c>
      <c r="AO143" s="86">
        <v>4.2610000000000002E-2</v>
      </c>
      <c r="AP143" s="86">
        <v>4.5490000000000003E-2</v>
      </c>
      <c r="AQ143" s="86">
        <v>3.9079999999999997E-2</v>
      </c>
      <c r="AR143" s="86">
        <v>5.4890000000000001E-2</v>
      </c>
      <c r="AS143" s="86">
        <v>2.5329999999999998E-2</v>
      </c>
      <c r="AT143" s="86">
        <v>4.2479999999999997E-2</v>
      </c>
      <c r="AU143" s="86">
        <v>5.7790000000000001E-2</v>
      </c>
      <c r="AV143" s="86">
        <v>4.2040000000000001E-2</v>
      </c>
      <c r="AW143" s="86">
        <v>3.9E-2</v>
      </c>
      <c r="AX143" s="86">
        <v>5.7669999999999999E-2</v>
      </c>
      <c r="AY143" s="86">
        <v>3.7280000000000001E-2</v>
      </c>
      <c r="AZ143" s="86">
        <v>3.798E-2</v>
      </c>
      <c r="BA143" s="86">
        <v>3.9800000000000002E-2</v>
      </c>
      <c r="BB143" s="86">
        <v>5.8709999999999998E-2</v>
      </c>
      <c r="BC143" s="86">
        <v>3.4500000000000003E-2</v>
      </c>
      <c r="BD143" s="89"/>
      <c r="BE143" s="83"/>
    </row>
    <row r="144" spans="1:57" x14ac:dyDescent="0.25">
      <c r="A144" s="84">
        <f t="shared" si="2"/>
        <v>142</v>
      </c>
      <c r="B144" s="83">
        <v>132</v>
      </c>
      <c r="C144" s="86">
        <v>3.6360000000000003E-2</v>
      </c>
      <c r="D144" s="86">
        <v>3.6360000000000003E-2</v>
      </c>
      <c r="E144" s="86">
        <v>3.6360000000000003E-2</v>
      </c>
      <c r="F144" s="86">
        <v>3.6260000000000001E-2</v>
      </c>
      <c r="G144" s="86">
        <v>4.0489999999999998E-2</v>
      </c>
      <c r="H144" s="86">
        <v>3.6360000000000003E-2</v>
      </c>
      <c r="I144" s="86">
        <v>3.7449999999999997E-2</v>
      </c>
      <c r="J144" s="86">
        <v>3.6339999999999997E-2</v>
      </c>
      <c r="K144" s="86">
        <v>3.6360000000000003E-2</v>
      </c>
      <c r="L144" s="86">
        <v>3.6360000000000003E-2</v>
      </c>
      <c r="M144" s="86">
        <v>3.6360000000000003E-2</v>
      </c>
      <c r="N144" s="86">
        <v>3.6360000000000003E-2</v>
      </c>
      <c r="O144" s="86">
        <v>3.6360000000000003E-2</v>
      </c>
      <c r="P144" s="86">
        <v>4.249E-2</v>
      </c>
      <c r="Q144" s="86">
        <v>4.2889999999999998E-2</v>
      </c>
      <c r="R144" s="86">
        <v>3.6360000000000003E-2</v>
      </c>
      <c r="S144" s="86">
        <v>3.6360000000000003E-2</v>
      </c>
      <c r="T144" s="86">
        <v>3.6360000000000003E-2</v>
      </c>
      <c r="U144" s="86">
        <v>2.5700000000000001E-2</v>
      </c>
      <c r="V144" s="86">
        <v>3.6360000000000003E-2</v>
      </c>
      <c r="W144" s="86">
        <v>3.6360000000000003E-2</v>
      </c>
      <c r="X144" s="86">
        <v>3.6360000000000003E-2</v>
      </c>
      <c r="Y144" s="86">
        <v>3.6360000000000003E-2</v>
      </c>
      <c r="Z144" s="86">
        <v>3.8980000000000001E-2</v>
      </c>
      <c r="AA144" s="86">
        <v>4.1680000000000002E-2</v>
      </c>
      <c r="AB144" s="86">
        <v>3.6360000000000003E-2</v>
      </c>
      <c r="AC144" s="86">
        <v>4.258E-2</v>
      </c>
      <c r="AD144" s="86">
        <v>4.648E-2</v>
      </c>
      <c r="AE144" s="86">
        <v>3.6360000000000003E-2</v>
      </c>
      <c r="AF144" s="86">
        <v>3.6360000000000003E-2</v>
      </c>
      <c r="AG144" s="86">
        <v>3.6360000000000003E-2</v>
      </c>
      <c r="AH144" s="86">
        <v>3.9300000000000002E-2</v>
      </c>
      <c r="AI144" s="86">
        <v>2.5700000000000001E-2</v>
      </c>
      <c r="AJ144" s="86">
        <v>2.862E-2</v>
      </c>
      <c r="AK144" s="86">
        <v>3.9419999999999997E-2</v>
      </c>
      <c r="AL144" s="86">
        <v>5.8020000000000002E-2</v>
      </c>
      <c r="AM144" s="86">
        <v>3.6580000000000001E-2</v>
      </c>
      <c r="AN144" s="86">
        <v>4.2220000000000001E-2</v>
      </c>
      <c r="AO144" s="86">
        <v>4.2599999999999999E-2</v>
      </c>
      <c r="AP144" s="86">
        <v>4.546E-2</v>
      </c>
      <c r="AQ144" s="86">
        <v>3.9109999999999999E-2</v>
      </c>
      <c r="AR144" s="86">
        <v>5.4870000000000002E-2</v>
      </c>
      <c r="AS144" s="86">
        <v>2.538E-2</v>
      </c>
      <c r="AT144" s="86">
        <v>4.2470000000000001E-2</v>
      </c>
      <c r="AU144" s="86">
        <v>5.7750000000000003E-2</v>
      </c>
      <c r="AV144" s="86">
        <v>4.2040000000000001E-2</v>
      </c>
      <c r="AW144" s="86">
        <v>3.9019999999999999E-2</v>
      </c>
      <c r="AX144" s="86">
        <v>5.7619999999999998E-2</v>
      </c>
      <c r="AY144" s="86">
        <v>3.7310000000000003E-2</v>
      </c>
      <c r="AZ144" s="86">
        <v>3.8010000000000002E-2</v>
      </c>
      <c r="BA144" s="86">
        <v>3.9809999999999998E-2</v>
      </c>
      <c r="BB144" s="86">
        <v>5.8659999999999997E-2</v>
      </c>
      <c r="BC144" s="86">
        <v>3.4549999999999997E-2</v>
      </c>
      <c r="BD144" s="89"/>
      <c r="BE144" s="83"/>
    </row>
    <row r="145" spans="1:57" x14ac:dyDescent="0.25">
      <c r="A145" s="84">
        <f t="shared" si="2"/>
        <v>143</v>
      </c>
      <c r="B145" s="83">
        <v>133</v>
      </c>
      <c r="C145" s="86">
        <v>3.6409999999999998E-2</v>
      </c>
      <c r="D145" s="86">
        <v>3.6409999999999998E-2</v>
      </c>
      <c r="E145" s="86">
        <v>3.6409999999999998E-2</v>
      </c>
      <c r="F145" s="86">
        <v>3.6310000000000002E-2</v>
      </c>
      <c r="G145" s="86">
        <v>4.0500000000000001E-2</v>
      </c>
      <c r="H145" s="86">
        <v>3.6409999999999998E-2</v>
      </c>
      <c r="I145" s="86">
        <v>3.7479999999999999E-2</v>
      </c>
      <c r="J145" s="86">
        <v>3.6389999999999999E-2</v>
      </c>
      <c r="K145" s="86">
        <v>3.6409999999999998E-2</v>
      </c>
      <c r="L145" s="86">
        <v>3.6409999999999998E-2</v>
      </c>
      <c r="M145" s="86">
        <v>3.6409999999999998E-2</v>
      </c>
      <c r="N145" s="86">
        <v>3.6409999999999998E-2</v>
      </c>
      <c r="O145" s="86">
        <v>3.6409999999999998E-2</v>
      </c>
      <c r="P145" s="86">
        <v>4.249E-2</v>
      </c>
      <c r="Q145" s="86">
        <v>4.2880000000000001E-2</v>
      </c>
      <c r="R145" s="86">
        <v>3.6409999999999998E-2</v>
      </c>
      <c r="S145" s="86">
        <v>3.6409999999999998E-2</v>
      </c>
      <c r="T145" s="86">
        <v>3.6409999999999998E-2</v>
      </c>
      <c r="U145" s="86">
        <v>2.5749999999999999E-2</v>
      </c>
      <c r="V145" s="86">
        <v>3.6409999999999998E-2</v>
      </c>
      <c r="W145" s="86">
        <v>3.6409999999999998E-2</v>
      </c>
      <c r="X145" s="86">
        <v>3.6409999999999998E-2</v>
      </c>
      <c r="Y145" s="86">
        <v>3.6409999999999998E-2</v>
      </c>
      <c r="Z145" s="86">
        <v>3.9E-2</v>
      </c>
      <c r="AA145" s="86">
        <v>4.1680000000000002E-2</v>
      </c>
      <c r="AB145" s="86">
        <v>3.6409999999999998E-2</v>
      </c>
      <c r="AC145" s="86">
        <v>4.2569999999999997E-2</v>
      </c>
      <c r="AD145" s="86">
        <v>4.6449999999999998E-2</v>
      </c>
      <c r="AE145" s="86">
        <v>3.6409999999999998E-2</v>
      </c>
      <c r="AF145" s="86">
        <v>3.6409999999999998E-2</v>
      </c>
      <c r="AG145" s="86">
        <v>3.6409999999999998E-2</v>
      </c>
      <c r="AH145" s="86">
        <v>3.9320000000000001E-2</v>
      </c>
      <c r="AI145" s="86">
        <v>2.5749999999999999E-2</v>
      </c>
      <c r="AJ145" s="86">
        <v>2.8719999999999999E-2</v>
      </c>
      <c r="AK145" s="86">
        <v>3.9440000000000003E-2</v>
      </c>
      <c r="AL145" s="86">
        <v>5.7979999999999997E-2</v>
      </c>
      <c r="AM145" s="86">
        <v>3.662E-2</v>
      </c>
      <c r="AN145" s="86">
        <v>4.2220000000000001E-2</v>
      </c>
      <c r="AO145" s="86">
        <v>4.2599999999999999E-2</v>
      </c>
      <c r="AP145" s="86">
        <v>4.5440000000000001E-2</v>
      </c>
      <c r="AQ145" s="86">
        <v>3.9129999999999998E-2</v>
      </c>
      <c r="AR145" s="86">
        <v>5.484E-2</v>
      </c>
      <c r="AS145" s="86">
        <v>2.5430000000000001E-2</v>
      </c>
      <c r="AT145" s="86">
        <v>4.2470000000000001E-2</v>
      </c>
      <c r="AU145" s="86">
        <v>5.7709999999999997E-2</v>
      </c>
      <c r="AV145" s="86">
        <v>4.2040000000000001E-2</v>
      </c>
      <c r="AW145" s="86">
        <v>3.9039999999999998E-2</v>
      </c>
      <c r="AX145" s="86">
        <v>5.7579999999999999E-2</v>
      </c>
      <c r="AY145" s="86">
        <v>3.7350000000000001E-2</v>
      </c>
      <c r="AZ145" s="86">
        <v>3.8039999999999997E-2</v>
      </c>
      <c r="BA145" s="86">
        <v>3.9829999999999997E-2</v>
      </c>
      <c r="BB145" s="86">
        <v>5.8610000000000002E-2</v>
      </c>
      <c r="BC145" s="86">
        <v>3.4610000000000002E-2</v>
      </c>
      <c r="BD145" s="89"/>
      <c r="BE145" s="83"/>
    </row>
    <row r="146" spans="1:57" x14ac:dyDescent="0.25">
      <c r="A146" s="84">
        <f t="shared" si="2"/>
        <v>144</v>
      </c>
      <c r="B146" s="83">
        <v>134</v>
      </c>
      <c r="C146" s="86">
        <v>3.6450000000000003E-2</v>
      </c>
      <c r="D146" s="86">
        <v>3.6450000000000003E-2</v>
      </c>
      <c r="E146" s="86">
        <v>3.6450000000000003E-2</v>
      </c>
      <c r="F146" s="86">
        <v>3.635E-2</v>
      </c>
      <c r="G146" s="86">
        <v>4.0509999999999997E-2</v>
      </c>
      <c r="H146" s="86">
        <v>3.6450000000000003E-2</v>
      </c>
      <c r="I146" s="86">
        <v>3.7519999999999998E-2</v>
      </c>
      <c r="J146" s="86">
        <v>3.6429999999999997E-2</v>
      </c>
      <c r="K146" s="86">
        <v>3.6450000000000003E-2</v>
      </c>
      <c r="L146" s="86">
        <v>3.6450000000000003E-2</v>
      </c>
      <c r="M146" s="86">
        <v>3.6450000000000003E-2</v>
      </c>
      <c r="N146" s="86">
        <v>3.6450000000000003E-2</v>
      </c>
      <c r="O146" s="86">
        <v>3.6450000000000003E-2</v>
      </c>
      <c r="P146" s="86">
        <v>4.249E-2</v>
      </c>
      <c r="Q146" s="86">
        <v>4.2869999999999998E-2</v>
      </c>
      <c r="R146" s="86">
        <v>3.6450000000000003E-2</v>
      </c>
      <c r="S146" s="86">
        <v>3.6450000000000003E-2</v>
      </c>
      <c r="T146" s="86">
        <v>3.6450000000000003E-2</v>
      </c>
      <c r="U146" s="86">
        <v>2.58E-2</v>
      </c>
      <c r="V146" s="86">
        <v>3.6450000000000003E-2</v>
      </c>
      <c r="W146" s="86">
        <v>3.6450000000000003E-2</v>
      </c>
      <c r="X146" s="86">
        <v>3.6450000000000003E-2</v>
      </c>
      <c r="Y146" s="86">
        <v>3.6450000000000003E-2</v>
      </c>
      <c r="Z146" s="86">
        <v>3.9030000000000002E-2</v>
      </c>
      <c r="AA146" s="86">
        <v>4.1680000000000002E-2</v>
      </c>
      <c r="AB146" s="86">
        <v>3.6450000000000003E-2</v>
      </c>
      <c r="AC146" s="86">
        <v>4.2569999999999997E-2</v>
      </c>
      <c r="AD146" s="86">
        <v>4.641E-2</v>
      </c>
      <c r="AE146" s="86">
        <v>3.6450000000000003E-2</v>
      </c>
      <c r="AF146" s="86">
        <v>3.6450000000000003E-2</v>
      </c>
      <c r="AG146" s="86">
        <v>3.6450000000000003E-2</v>
      </c>
      <c r="AH146" s="86">
        <v>3.934E-2</v>
      </c>
      <c r="AI146" s="86">
        <v>2.58E-2</v>
      </c>
      <c r="AJ146" s="86">
        <v>2.8819999999999998E-2</v>
      </c>
      <c r="AK146" s="86">
        <v>3.9460000000000002E-2</v>
      </c>
      <c r="AL146" s="86">
        <v>5.7930000000000002E-2</v>
      </c>
      <c r="AM146" s="86">
        <v>3.6659999999999998E-2</v>
      </c>
      <c r="AN146" s="86">
        <v>4.2209999999999998E-2</v>
      </c>
      <c r="AO146" s="86">
        <v>4.2599999999999999E-2</v>
      </c>
      <c r="AP146" s="86">
        <v>4.5409999999999999E-2</v>
      </c>
      <c r="AQ146" s="86">
        <v>3.9149999999999997E-2</v>
      </c>
      <c r="AR146" s="86">
        <v>5.4820000000000001E-2</v>
      </c>
      <c r="AS146" s="86">
        <v>2.5479999999999999E-2</v>
      </c>
      <c r="AT146" s="86">
        <v>4.2470000000000001E-2</v>
      </c>
      <c r="AU146" s="86">
        <v>5.7660000000000003E-2</v>
      </c>
      <c r="AV146" s="86">
        <v>4.2029999999999998E-2</v>
      </c>
      <c r="AW146" s="86">
        <v>3.9059999999999997E-2</v>
      </c>
      <c r="AX146" s="86">
        <v>5.7540000000000001E-2</v>
      </c>
      <c r="AY146" s="86">
        <v>3.7379999999999997E-2</v>
      </c>
      <c r="AZ146" s="86">
        <v>3.807E-2</v>
      </c>
      <c r="BA146" s="86">
        <v>3.9849999999999997E-2</v>
      </c>
      <c r="BB146" s="86">
        <v>5.8560000000000001E-2</v>
      </c>
      <c r="BC146" s="86">
        <v>3.4660000000000003E-2</v>
      </c>
      <c r="BD146" s="89"/>
      <c r="BE146" s="83"/>
    </row>
    <row r="147" spans="1:57" x14ac:dyDescent="0.25">
      <c r="A147" s="84">
        <f t="shared" si="2"/>
        <v>145</v>
      </c>
      <c r="B147" s="87">
        <v>135</v>
      </c>
      <c r="C147" s="88">
        <v>3.6490000000000002E-2</v>
      </c>
      <c r="D147" s="88">
        <v>3.6490000000000002E-2</v>
      </c>
      <c r="E147" s="88">
        <v>3.6490000000000002E-2</v>
      </c>
      <c r="F147" s="88">
        <v>3.6389999999999999E-2</v>
      </c>
      <c r="G147" s="88">
        <v>4.052E-2</v>
      </c>
      <c r="H147" s="88">
        <v>3.6490000000000002E-2</v>
      </c>
      <c r="I147" s="88">
        <v>3.755E-2</v>
      </c>
      <c r="J147" s="88">
        <v>3.6470000000000002E-2</v>
      </c>
      <c r="K147" s="88">
        <v>3.6490000000000002E-2</v>
      </c>
      <c r="L147" s="88">
        <v>3.6490000000000002E-2</v>
      </c>
      <c r="M147" s="88">
        <v>3.6490000000000002E-2</v>
      </c>
      <c r="N147" s="88">
        <v>3.6490000000000002E-2</v>
      </c>
      <c r="O147" s="88">
        <v>3.6490000000000002E-2</v>
      </c>
      <c r="P147" s="88">
        <v>4.2479999999999997E-2</v>
      </c>
      <c r="Q147" s="88">
        <v>4.2869999999999998E-2</v>
      </c>
      <c r="R147" s="88">
        <v>3.6490000000000002E-2</v>
      </c>
      <c r="S147" s="88">
        <v>3.6490000000000002E-2</v>
      </c>
      <c r="T147" s="88">
        <v>3.6490000000000002E-2</v>
      </c>
      <c r="U147" s="88">
        <v>2.5839999999999998E-2</v>
      </c>
      <c r="V147" s="88">
        <v>3.6490000000000002E-2</v>
      </c>
      <c r="W147" s="88">
        <v>3.6490000000000002E-2</v>
      </c>
      <c r="X147" s="88">
        <v>3.6490000000000002E-2</v>
      </c>
      <c r="Y147" s="88">
        <v>3.6490000000000002E-2</v>
      </c>
      <c r="Z147" s="88">
        <v>3.9050000000000001E-2</v>
      </c>
      <c r="AA147" s="88">
        <v>4.1680000000000002E-2</v>
      </c>
      <c r="AB147" s="88">
        <v>3.6490000000000002E-2</v>
      </c>
      <c r="AC147" s="88">
        <v>4.2560000000000001E-2</v>
      </c>
      <c r="AD147" s="88">
        <v>4.6379999999999998E-2</v>
      </c>
      <c r="AE147" s="88">
        <v>3.6490000000000002E-2</v>
      </c>
      <c r="AF147" s="88">
        <v>3.6490000000000002E-2</v>
      </c>
      <c r="AG147" s="88">
        <v>3.6490000000000002E-2</v>
      </c>
      <c r="AH147" s="88">
        <v>3.9359999999999999E-2</v>
      </c>
      <c r="AI147" s="88">
        <v>2.5839999999999998E-2</v>
      </c>
      <c r="AJ147" s="88">
        <v>2.8920000000000001E-2</v>
      </c>
      <c r="AK147" s="88">
        <v>3.9480000000000001E-2</v>
      </c>
      <c r="AL147" s="88">
        <v>5.7889999999999997E-2</v>
      </c>
      <c r="AM147" s="88">
        <v>3.6700000000000003E-2</v>
      </c>
      <c r="AN147" s="88">
        <v>4.2209999999999998E-2</v>
      </c>
      <c r="AO147" s="88">
        <v>4.2590000000000003E-2</v>
      </c>
      <c r="AP147" s="88">
        <v>4.539E-2</v>
      </c>
      <c r="AQ147" s="88">
        <v>3.9170000000000003E-2</v>
      </c>
      <c r="AR147" s="88">
        <v>5.4800000000000001E-2</v>
      </c>
      <c r="AS147" s="88">
        <v>2.5520000000000001E-2</v>
      </c>
      <c r="AT147" s="88">
        <v>4.2459999999999998E-2</v>
      </c>
      <c r="AU147" s="88">
        <v>5.7619999999999998E-2</v>
      </c>
      <c r="AV147" s="88">
        <v>4.2029999999999998E-2</v>
      </c>
      <c r="AW147" s="88">
        <v>3.909E-2</v>
      </c>
      <c r="AX147" s="88">
        <v>5.7500000000000002E-2</v>
      </c>
      <c r="AY147" s="88">
        <v>3.7420000000000002E-2</v>
      </c>
      <c r="AZ147" s="88">
        <v>3.8100000000000002E-2</v>
      </c>
      <c r="BA147" s="88">
        <v>3.986E-2</v>
      </c>
      <c r="BB147" s="88">
        <v>5.851E-2</v>
      </c>
      <c r="BC147" s="88">
        <v>3.4720000000000001E-2</v>
      </c>
      <c r="BD147" s="89"/>
      <c r="BE147" s="83"/>
    </row>
    <row r="148" spans="1:57" x14ac:dyDescent="0.25">
      <c r="A148" s="84">
        <f t="shared" si="2"/>
        <v>146</v>
      </c>
      <c r="B148" s="83">
        <v>136</v>
      </c>
      <c r="C148" s="86">
        <v>3.653E-2</v>
      </c>
      <c r="D148" s="86">
        <v>3.653E-2</v>
      </c>
      <c r="E148" s="86">
        <v>3.653E-2</v>
      </c>
      <c r="F148" s="86">
        <v>3.6429999999999997E-2</v>
      </c>
      <c r="G148" s="86">
        <v>4.0529999999999997E-2</v>
      </c>
      <c r="H148" s="86">
        <v>3.653E-2</v>
      </c>
      <c r="I148" s="86">
        <v>3.7580000000000002E-2</v>
      </c>
      <c r="J148" s="86">
        <v>3.6510000000000001E-2</v>
      </c>
      <c r="K148" s="86">
        <v>3.653E-2</v>
      </c>
      <c r="L148" s="86">
        <v>3.653E-2</v>
      </c>
      <c r="M148" s="86">
        <v>3.653E-2</v>
      </c>
      <c r="N148" s="86">
        <v>3.653E-2</v>
      </c>
      <c r="O148" s="86">
        <v>3.653E-2</v>
      </c>
      <c r="P148" s="86">
        <v>4.2479999999999997E-2</v>
      </c>
      <c r="Q148" s="86">
        <v>4.2860000000000002E-2</v>
      </c>
      <c r="R148" s="86">
        <v>3.653E-2</v>
      </c>
      <c r="S148" s="86">
        <v>3.653E-2</v>
      </c>
      <c r="T148" s="86">
        <v>3.653E-2</v>
      </c>
      <c r="U148" s="86">
        <v>2.589E-2</v>
      </c>
      <c r="V148" s="86">
        <v>3.653E-2</v>
      </c>
      <c r="W148" s="86">
        <v>3.653E-2</v>
      </c>
      <c r="X148" s="86">
        <v>3.653E-2</v>
      </c>
      <c r="Y148" s="86">
        <v>3.653E-2</v>
      </c>
      <c r="Z148" s="86">
        <v>3.9070000000000001E-2</v>
      </c>
      <c r="AA148" s="86">
        <v>4.1689999999999998E-2</v>
      </c>
      <c r="AB148" s="86">
        <v>3.653E-2</v>
      </c>
      <c r="AC148" s="86">
        <v>4.2560000000000001E-2</v>
      </c>
      <c r="AD148" s="86">
        <v>4.6350000000000002E-2</v>
      </c>
      <c r="AE148" s="86">
        <v>3.653E-2</v>
      </c>
      <c r="AF148" s="86">
        <v>3.653E-2</v>
      </c>
      <c r="AG148" s="86">
        <v>3.653E-2</v>
      </c>
      <c r="AH148" s="86">
        <v>3.9379999999999998E-2</v>
      </c>
      <c r="AI148" s="86">
        <v>2.589E-2</v>
      </c>
      <c r="AJ148" s="86">
        <v>2.9010000000000001E-2</v>
      </c>
      <c r="AK148" s="86">
        <v>3.95E-2</v>
      </c>
      <c r="AL148" s="86">
        <v>5.7849999999999999E-2</v>
      </c>
      <c r="AM148" s="86">
        <v>3.6740000000000002E-2</v>
      </c>
      <c r="AN148" s="86">
        <v>4.2209999999999998E-2</v>
      </c>
      <c r="AO148" s="86">
        <v>4.2590000000000003E-2</v>
      </c>
      <c r="AP148" s="86">
        <v>4.5359999999999998E-2</v>
      </c>
      <c r="AQ148" s="86">
        <v>3.9190000000000003E-2</v>
      </c>
      <c r="AR148" s="86">
        <v>5.4780000000000002E-2</v>
      </c>
      <c r="AS148" s="86">
        <v>2.5569999999999999E-2</v>
      </c>
      <c r="AT148" s="86">
        <v>4.2459999999999998E-2</v>
      </c>
      <c r="AU148" s="86">
        <v>5.7579999999999999E-2</v>
      </c>
      <c r="AV148" s="86">
        <v>4.2029999999999998E-2</v>
      </c>
      <c r="AW148" s="86">
        <v>3.9109999999999999E-2</v>
      </c>
      <c r="AX148" s="86">
        <v>5.7459999999999997E-2</v>
      </c>
      <c r="AY148" s="86">
        <v>3.7449999999999997E-2</v>
      </c>
      <c r="AZ148" s="86">
        <v>3.8129999999999997E-2</v>
      </c>
      <c r="BA148" s="86">
        <v>3.9879999999999999E-2</v>
      </c>
      <c r="BB148" s="86">
        <v>5.8459999999999998E-2</v>
      </c>
      <c r="BC148" s="86">
        <v>3.4770000000000002E-2</v>
      </c>
      <c r="BD148" s="89"/>
      <c r="BE148" s="83"/>
    </row>
    <row r="149" spans="1:57" x14ac:dyDescent="0.25">
      <c r="A149" s="84">
        <f t="shared" si="2"/>
        <v>147</v>
      </c>
      <c r="B149" s="83">
        <v>137</v>
      </c>
      <c r="C149" s="86">
        <v>3.6569999999999998E-2</v>
      </c>
      <c r="D149" s="86">
        <v>3.6569999999999998E-2</v>
      </c>
      <c r="E149" s="86">
        <v>3.6569999999999998E-2</v>
      </c>
      <c r="F149" s="86">
        <v>3.6470000000000002E-2</v>
      </c>
      <c r="G149" s="86">
        <v>4.0550000000000003E-2</v>
      </c>
      <c r="H149" s="86">
        <v>3.6569999999999998E-2</v>
      </c>
      <c r="I149" s="86">
        <v>3.7609999999999998E-2</v>
      </c>
      <c r="J149" s="86">
        <v>3.6549999999999999E-2</v>
      </c>
      <c r="K149" s="86">
        <v>3.6569999999999998E-2</v>
      </c>
      <c r="L149" s="86">
        <v>3.6569999999999998E-2</v>
      </c>
      <c r="M149" s="86">
        <v>3.6569999999999998E-2</v>
      </c>
      <c r="N149" s="86">
        <v>3.6569999999999998E-2</v>
      </c>
      <c r="O149" s="86">
        <v>3.6569999999999998E-2</v>
      </c>
      <c r="P149" s="86">
        <v>4.2479999999999997E-2</v>
      </c>
      <c r="Q149" s="86">
        <v>4.2849999999999999E-2</v>
      </c>
      <c r="R149" s="86">
        <v>3.6569999999999998E-2</v>
      </c>
      <c r="S149" s="86">
        <v>3.6569999999999998E-2</v>
      </c>
      <c r="T149" s="86">
        <v>3.6569999999999998E-2</v>
      </c>
      <c r="U149" s="86">
        <v>2.5930000000000002E-2</v>
      </c>
      <c r="V149" s="86">
        <v>3.6569999999999998E-2</v>
      </c>
      <c r="W149" s="86">
        <v>3.6569999999999998E-2</v>
      </c>
      <c r="X149" s="86">
        <v>3.6569999999999998E-2</v>
      </c>
      <c r="Y149" s="86">
        <v>3.6569999999999998E-2</v>
      </c>
      <c r="Z149" s="86">
        <v>3.909E-2</v>
      </c>
      <c r="AA149" s="86">
        <v>4.1689999999999998E-2</v>
      </c>
      <c r="AB149" s="86">
        <v>3.6569999999999998E-2</v>
      </c>
      <c r="AC149" s="86">
        <v>4.2560000000000001E-2</v>
      </c>
      <c r="AD149" s="86">
        <v>4.632E-2</v>
      </c>
      <c r="AE149" s="86">
        <v>3.6569999999999998E-2</v>
      </c>
      <c r="AF149" s="86">
        <v>3.6569999999999998E-2</v>
      </c>
      <c r="AG149" s="86">
        <v>3.6569999999999998E-2</v>
      </c>
      <c r="AH149" s="86">
        <v>3.9399999999999998E-2</v>
      </c>
      <c r="AI149" s="86">
        <v>2.5930000000000002E-2</v>
      </c>
      <c r="AJ149" s="86">
        <v>2.911E-2</v>
      </c>
      <c r="AK149" s="86">
        <v>3.952E-2</v>
      </c>
      <c r="AL149" s="86">
        <v>5.7799999999999997E-2</v>
      </c>
      <c r="AM149" s="86">
        <v>3.678E-2</v>
      </c>
      <c r="AN149" s="86">
        <v>4.2209999999999998E-2</v>
      </c>
      <c r="AO149" s="86">
        <v>4.258E-2</v>
      </c>
      <c r="AP149" s="86">
        <v>4.5339999999999998E-2</v>
      </c>
      <c r="AQ149" s="86">
        <v>3.9210000000000002E-2</v>
      </c>
      <c r="AR149" s="86">
        <v>5.4760000000000003E-2</v>
      </c>
      <c r="AS149" s="86">
        <v>2.562E-2</v>
      </c>
      <c r="AT149" s="86">
        <v>4.2459999999999998E-2</v>
      </c>
      <c r="AU149" s="86">
        <v>5.7540000000000001E-2</v>
      </c>
      <c r="AV149" s="86">
        <v>4.2029999999999998E-2</v>
      </c>
      <c r="AW149" s="86">
        <v>3.9129999999999998E-2</v>
      </c>
      <c r="AX149" s="86">
        <v>5.7419999999999999E-2</v>
      </c>
      <c r="AY149" s="86">
        <v>3.7479999999999999E-2</v>
      </c>
      <c r="AZ149" s="86">
        <v>3.8159999999999999E-2</v>
      </c>
      <c r="BA149" s="86">
        <v>3.9890000000000002E-2</v>
      </c>
      <c r="BB149" s="86">
        <v>5.842E-2</v>
      </c>
      <c r="BC149" s="86">
        <v>3.4819999999999997E-2</v>
      </c>
      <c r="BD149" s="89"/>
      <c r="BE149" s="83"/>
    </row>
    <row r="150" spans="1:57" x14ac:dyDescent="0.25">
      <c r="A150" s="84">
        <f t="shared" si="2"/>
        <v>148</v>
      </c>
      <c r="B150" s="83">
        <v>138</v>
      </c>
      <c r="C150" s="86">
        <v>3.6609999999999997E-2</v>
      </c>
      <c r="D150" s="86">
        <v>3.6609999999999997E-2</v>
      </c>
      <c r="E150" s="86">
        <v>3.6609999999999997E-2</v>
      </c>
      <c r="F150" s="86">
        <v>3.6510000000000001E-2</v>
      </c>
      <c r="G150" s="86">
        <v>4.0559999999999999E-2</v>
      </c>
      <c r="H150" s="86">
        <v>3.6609999999999997E-2</v>
      </c>
      <c r="I150" s="86">
        <v>3.7650000000000003E-2</v>
      </c>
      <c r="J150" s="86">
        <v>3.6589999999999998E-2</v>
      </c>
      <c r="K150" s="86">
        <v>3.6609999999999997E-2</v>
      </c>
      <c r="L150" s="86">
        <v>3.6609999999999997E-2</v>
      </c>
      <c r="M150" s="86">
        <v>3.6609999999999997E-2</v>
      </c>
      <c r="N150" s="86">
        <v>3.6609999999999997E-2</v>
      </c>
      <c r="O150" s="86">
        <v>3.6609999999999997E-2</v>
      </c>
      <c r="P150" s="86">
        <v>4.2470000000000001E-2</v>
      </c>
      <c r="Q150" s="86">
        <v>4.2849999999999999E-2</v>
      </c>
      <c r="R150" s="86">
        <v>3.6609999999999997E-2</v>
      </c>
      <c r="S150" s="86">
        <v>3.6609999999999997E-2</v>
      </c>
      <c r="T150" s="86">
        <v>3.6609999999999997E-2</v>
      </c>
      <c r="U150" s="86">
        <v>2.598E-2</v>
      </c>
      <c r="V150" s="86">
        <v>3.6609999999999997E-2</v>
      </c>
      <c r="W150" s="86">
        <v>3.6609999999999997E-2</v>
      </c>
      <c r="X150" s="86">
        <v>3.6609999999999997E-2</v>
      </c>
      <c r="Y150" s="86">
        <v>3.6609999999999997E-2</v>
      </c>
      <c r="Z150" s="86">
        <v>3.9109999999999999E-2</v>
      </c>
      <c r="AA150" s="86">
        <v>4.1689999999999998E-2</v>
      </c>
      <c r="AB150" s="86">
        <v>3.6609999999999997E-2</v>
      </c>
      <c r="AC150" s="86">
        <v>4.2549999999999998E-2</v>
      </c>
      <c r="AD150" s="86">
        <v>4.6289999999999998E-2</v>
      </c>
      <c r="AE150" s="86">
        <v>3.6609999999999997E-2</v>
      </c>
      <c r="AF150" s="86">
        <v>3.6609999999999997E-2</v>
      </c>
      <c r="AG150" s="86">
        <v>3.6609999999999997E-2</v>
      </c>
      <c r="AH150" s="86">
        <v>3.9419999999999997E-2</v>
      </c>
      <c r="AI150" s="86">
        <v>2.598E-2</v>
      </c>
      <c r="AJ150" s="86">
        <v>2.92E-2</v>
      </c>
      <c r="AK150" s="86">
        <v>3.9530000000000003E-2</v>
      </c>
      <c r="AL150" s="86">
        <v>5.7759999999999999E-2</v>
      </c>
      <c r="AM150" s="86">
        <v>3.6819999999999999E-2</v>
      </c>
      <c r="AN150" s="86">
        <v>4.2209999999999998E-2</v>
      </c>
      <c r="AO150" s="86">
        <v>4.258E-2</v>
      </c>
      <c r="AP150" s="86">
        <v>4.5310000000000003E-2</v>
      </c>
      <c r="AQ150" s="86">
        <v>3.9230000000000001E-2</v>
      </c>
      <c r="AR150" s="86">
        <v>5.4739999999999997E-2</v>
      </c>
      <c r="AS150" s="86">
        <v>2.5659999999999999E-2</v>
      </c>
      <c r="AT150" s="86">
        <v>4.2450000000000002E-2</v>
      </c>
      <c r="AU150" s="86">
        <v>5.7500000000000002E-2</v>
      </c>
      <c r="AV150" s="86">
        <v>4.2029999999999998E-2</v>
      </c>
      <c r="AW150" s="86">
        <v>3.9149999999999997E-2</v>
      </c>
      <c r="AX150" s="86">
        <v>5.738E-2</v>
      </c>
      <c r="AY150" s="86">
        <v>3.7519999999999998E-2</v>
      </c>
      <c r="AZ150" s="86">
        <v>3.8179999999999999E-2</v>
      </c>
      <c r="BA150" s="86">
        <v>3.9910000000000001E-2</v>
      </c>
      <c r="BB150" s="86">
        <v>5.8369999999999998E-2</v>
      </c>
      <c r="BC150" s="86">
        <v>3.4869999999999998E-2</v>
      </c>
      <c r="BD150" s="89"/>
      <c r="BE150" s="83"/>
    </row>
    <row r="151" spans="1:57" x14ac:dyDescent="0.25">
      <c r="A151" s="84">
        <f t="shared" si="2"/>
        <v>149</v>
      </c>
      <c r="B151" s="83">
        <v>139</v>
      </c>
      <c r="C151" s="86">
        <v>3.6650000000000002E-2</v>
      </c>
      <c r="D151" s="86">
        <v>3.6650000000000002E-2</v>
      </c>
      <c r="E151" s="86">
        <v>3.6650000000000002E-2</v>
      </c>
      <c r="F151" s="86">
        <v>3.6549999999999999E-2</v>
      </c>
      <c r="G151" s="86">
        <v>4.0570000000000002E-2</v>
      </c>
      <c r="H151" s="86">
        <v>3.6650000000000002E-2</v>
      </c>
      <c r="I151" s="86">
        <v>3.7679999999999998E-2</v>
      </c>
      <c r="J151" s="86">
        <v>3.6630000000000003E-2</v>
      </c>
      <c r="K151" s="86">
        <v>3.6650000000000002E-2</v>
      </c>
      <c r="L151" s="86">
        <v>3.6650000000000002E-2</v>
      </c>
      <c r="M151" s="86">
        <v>3.6650000000000002E-2</v>
      </c>
      <c r="N151" s="86">
        <v>3.6650000000000002E-2</v>
      </c>
      <c r="O151" s="86">
        <v>3.6650000000000002E-2</v>
      </c>
      <c r="P151" s="86">
        <v>4.2470000000000001E-2</v>
      </c>
      <c r="Q151" s="86">
        <v>4.2840000000000003E-2</v>
      </c>
      <c r="R151" s="86">
        <v>3.6650000000000002E-2</v>
      </c>
      <c r="S151" s="86">
        <v>3.6650000000000002E-2</v>
      </c>
      <c r="T151" s="86">
        <v>3.6650000000000002E-2</v>
      </c>
      <c r="U151" s="86">
        <v>2.6020000000000001E-2</v>
      </c>
      <c r="V151" s="86">
        <v>3.6650000000000002E-2</v>
      </c>
      <c r="W151" s="86">
        <v>3.6650000000000002E-2</v>
      </c>
      <c r="X151" s="86">
        <v>3.6650000000000002E-2</v>
      </c>
      <c r="Y151" s="86">
        <v>3.6650000000000002E-2</v>
      </c>
      <c r="Z151" s="86">
        <v>3.9129999999999998E-2</v>
      </c>
      <c r="AA151" s="86">
        <v>4.1689999999999998E-2</v>
      </c>
      <c r="AB151" s="86">
        <v>3.6650000000000002E-2</v>
      </c>
      <c r="AC151" s="86">
        <v>4.2549999999999998E-2</v>
      </c>
      <c r="AD151" s="86">
        <v>4.6260000000000003E-2</v>
      </c>
      <c r="AE151" s="86">
        <v>3.6650000000000002E-2</v>
      </c>
      <c r="AF151" s="86">
        <v>3.6650000000000002E-2</v>
      </c>
      <c r="AG151" s="86">
        <v>3.6650000000000002E-2</v>
      </c>
      <c r="AH151" s="86">
        <v>3.9440000000000003E-2</v>
      </c>
      <c r="AI151" s="86">
        <v>2.6020000000000001E-2</v>
      </c>
      <c r="AJ151" s="86">
        <v>2.929E-2</v>
      </c>
      <c r="AK151" s="86">
        <v>3.9550000000000002E-2</v>
      </c>
      <c r="AL151" s="86">
        <v>5.772E-2</v>
      </c>
      <c r="AM151" s="86">
        <v>3.6850000000000001E-2</v>
      </c>
      <c r="AN151" s="86">
        <v>4.2209999999999998E-2</v>
      </c>
      <c r="AO151" s="86">
        <v>4.2569999999999997E-2</v>
      </c>
      <c r="AP151" s="86">
        <v>4.5289999999999997E-2</v>
      </c>
      <c r="AQ151" s="86">
        <v>3.925E-2</v>
      </c>
      <c r="AR151" s="86">
        <v>5.4719999999999998E-2</v>
      </c>
      <c r="AS151" s="86">
        <v>2.571E-2</v>
      </c>
      <c r="AT151" s="86">
        <v>4.2450000000000002E-2</v>
      </c>
      <c r="AU151" s="86">
        <v>5.7459999999999997E-2</v>
      </c>
      <c r="AV151" s="86">
        <v>4.2029999999999998E-2</v>
      </c>
      <c r="AW151" s="86">
        <v>3.9170000000000003E-2</v>
      </c>
      <c r="AX151" s="86">
        <v>5.7340000000000002E-2</v>
      </c>
      <c r="AY151" s="86">
        <v>3.755E-2</v>
      </c>
      <c r="AZ151" s="86">
        <v>3.8210000000000001E-2</v>
      </c>
      <c r="BA151" s="86">
        <v>3.9919999999999997E-2</v>
      </c>
      <c r="BB151" s="86">
        <v>5.8319999999999997E-2</v>
      </c>
      <c r="BC151" s="86">
        <v>3.4930000000000003E-2</v>
      </c>
      <c r="BD151" s="89"/>
      <c r="BE151" s="83"/>
    </row>
    <row r="152" spans="1:57" x14ac:dyDescent="0.25">
      <c r="A152" s="84">
        <f t="shared" si="2"/>
        <v>150</v>
      </c>
      <c r="B152" s="87">
        <v>140</v>
      </c>
      <c r="C152" s="88">
        <v>3.6679999999999997E-2</v>
      </c>
      <c r="D152" s="88">
        <v>3.6679999999999997E-2</v>
      </c>
      <c r="E152" s="88">
        <v>3.6679999999999997E-2</v>
      </c>
      <c r="F152" s="88">
        <v>3.6589999999999998E-2</v>
      </c>
      <c r="G152" s="88">
        <v>4.0579999999999998E-2</v>
      </c>
      <c r="H152" s="88">
        <v>3.6679999999999997E-2</v>
      </c>
      <c r="I152" s="88">
        <v>3.771E-2</v>
      </c>
      <c r="J152" s="88">
        <v>3.6670000000000001E-2</v>
      </c>
      <c r="K152" s="88">
        <v>3.6679999999999997E-2</v>
      </c>
      <c r="L152" s="88">
        <v>3.6679999999999997E-2</v>
      </c>
      <c r="M152" s="88">
        <v>3.6679999999999997E-2</v>
      </c>
      <c r="N152" s="88">
        <v>3.6679999999999997E-2</v>
      </c>
      <c r="O152" s="88">
        <v>3.6679999999999997E-2</v>
      </c>
      <c r="P152" s="88">
        <v>4.2470000000000001E-2</v>
      </c>
      <c r="Q152" s="88">
        <v>4.2840000000000003E-2</v>
      </c>
      <c r="R152" s="88">
        <v>3.6679999999999997E-2</v>
      </c>
      <c r="S152" s="88">
        <v>3.6679999999999997E-2</v>
      </c>
      <c r="T152" s="88">
        <v>3.6679999999999997E-2</v>
      </c>
      <c r="U152" s="88">
        <v>2.606E-2</v>
      </c>
      <c r="V152" s="88">
        <v>3.6679999999999997E-2</v>
      </c>
      <c r="W152" s="88">
        <v>3.6679999999999997E-2</v>
      </c>
      <c r="X152" s="88">
        <v>3.6679999999999997E-2</v>
      </c>
      <c r="Y152" s="88">
        <v>3.6679999999999997E-2</v>
      </c>
      <c r="Z152" s="88">
        <v>3.9149999999999997E-2</v>
      </c>
      <c r="AA152" s="88">
        <v>4.1700000000000001E-2</v>
      </c>
      <c r="AB152" s="88">
        <v>3.6679999999999997E-2</v>
      </c>
      <c r="AC152" s="88">
        <v>4.2540000000000001E-2</v>
      </c>
      <c r="AD152" s="88">
        <v>4.623E-2</v>
      </c>
      <c r="AE152" s="88">
        <v>3.6679999999999997E-2</v>
      </c>
      <c r="AF152" s="88">
        <v>3.6679999999999997E-2</v>
      </c>
      <c r="AG152" s="88">
        <v>3.6679999999999997E-2</v>
      </c>
      <c r="AH152" s="88">
        <v>3.9460000000000002E-2</v>
      </c>
      <c r="AI152" s="88">
        <v>2.606E-2</v>
      </c>
      <c r="AJ152" s="88">
        <v>2.938E-2</v>
      </c>
      <c r="AK152" s="88">
        <v>3.9570000000000001E-2</v>
      </c>
      <c r="AL152" s="88">
        <v>5.7680000000000002E-2</v>
      </c>
      <c r="AM152" s="88">
        <v>3.6889999999999999E-2</v>
      </c>
      <c r="AN152" s="88">
        <v>4.2200000000000001E-2</v>
      </c>
      <c r="AO152" s="88">
        <v>4.2569999999999997E-2</v>
      </c>
      <c r="AP152" s="88">
        <v>4.5269999999999998E-2</v>
      </c>
      <c r="AQ152" s="88">
        <v>3.9269999999999999E-2</v>
      </c>
      <c r="AR152" s="88">
        <v>5.4699999999999999E-2</v>
      </c>
      <c r="AS152" s="88">
        <v>2.5749999999999999E-2</v>
      </c>
      <c r="AT152" s="88">
        <v>4.2450000000000002E-2</v>
      </c>
      <c r="AU152" s="88">
        <v>5.7419999999999999E-2</v>
      </c>
      <c r="AV152" s="88">
        <v>4.2029999999999998E-2</v>
      </c>
      <c r="AW152" s="88">
        <v>3.9190000000000003E-2</v>
      </c>
      <c r="AX152" s="88">
        <v>5.7299999999999997E-2</v>
      </c>
      <c r="AY152" s="88">
        <v>3.7580000000000002E-2</v>
      </c>
      <c r="AZ152" s="88">
        <v>3.8240000000000003E-2</v>
      </c>
      <c r="BA152" s="88">
        <v>3.9940000000000003E-2</v>
      </c>
      <c r="BB152" s="88">
        <v>5.8279999999999998E-2</v>
      </c>
      <c r="BC152" s="88">
        <v>3.4979999999999997E-2</v>
      </c>
      <c r="BD152" s="89"/>
      <c r="BE152" s="83"/>
    </row>
    <row r="153" spans="1:57" x14ac:dyDescent="0.25">
      <c r="A153" s="84">
        <f t="shared" si="2"/>
        <v>151</v>
      </c>
      <c r="B153" s="83">
        <v>141</v>
      </c>
      <c r="C153" s="86">
        <v>3.6720000000000003E-2</v>
      </c>
      <c r="D153" s="86">
        <v>3.6720000000000003E-2</v>
      </c>
      <c r="E153" s="86">
        <v>3.6720000000000003E-2</v>
      </c>
      <c r="F153" s="86">
        <v>3.6630000000000003E-2</v>
      </c>
      <c r="G153" s="86">
        <v>4.0590000000000001E-2</v>
      </c>
      <c r="H153" s="86">
        <v>3.6720000000000003E-2</v>
      </c>
      <c r="I153" s="86">
        <v>3.7740000000000003E-2</v>
      </c>
      <c r="J153" s="86">
        <v>3.6700000000000003E-2</v>
      </c>
      <c r="K153" s="86">
        <v>3.6720000000000003E-2</v>
      </c>
      <c r="L153" s="86">
        <v>3.6720000000000003E-2</v>
      </c>
      <c r="M153" s="86">
        <v>3.6720000000000003E-2</v>
      </c>
      <c r="N153" s="86">
        <v>3.6720000000000003E-2</v>
      </c>
      <c r="O153" s="86">
        <v>3.6720000000000003E-2</v>
      </c>
      <c r="P153" s="86">
        <v>4.2459999999999998E-2</v>
      </c>
      <c r="Q153" s="86">
        <v>4.283E-2</v>
      </c>
      <c r="R153" s="86">
        <v>3.6720000000000003E-2</v>
      </c>
      <c r="S153" s="86">
        <v>3.6720000000000003E-2</v>
      </c>
      <c r="T153" s="86">
        <v>3.6720000000000003E-2</v>
      </c>
      <c r="U153" s="86">
        <v>2.6100000000000002E-2</v>
      </c>
      <c r="V153" s="86">
        <v>3.6720000000000003E-2</v>
      </c>
      <c r="W153" s="86">
        <v>3.6720000000000003E-2</v>
      </c>
      <c r="X153" s="86">
        <v>3.6720000000000003E-2</v>
      </c>
      <c r="Y153" s="86">
        <v>3.6720000000000003E-2</v>
      </c>
      <c r="Z153" s="86">
        <v>3.9170000000000003E-2</v>
      </c>
      <c r="AA153" s="86">
        <v>4.1700000000000001E-2</v>
      </c>
      <c r="AB153" s="86">
        <v>3.6720000000000003E-2</v>
      </c>
      <c r="AC153" s="86">
        <v>4.2540000000000001E-2</v>
      </c>
      <c r="AD153" s="86">
        <v>4.6199999999999998E-2</v>
      </c>
      <c r="AE153" s="86">
        <v>3.6720000000000003E-2</v>
      </c>
      <c r="AF153" s="86">
        <v>3.6720000000000003E-2</v>
      </c>
      <c r="AG153" s="86">
        <v>3.6720000000000003E-2</v>
      </c>
      <c r="AH153" s="86">
        <v>3.9469999999999998E-2</v>
      </c>
      <c r="AI153" s="86">
        <v>2.6100000000000002E-2</v>
      </c>
      <c r="AJ153" s="86">
        <v>2.947E-2</v>
      </c>
      <c r="AK153" s="86">
        <v>3.959E-2</v>
      </c>
      <c r="AL153" s="86">
        <v>5.7639999999999997E-2</v>
      </c>
      <c r="AM153" s="86">
        <v>3.6929999999999998E-2</v>
      </c>
      <c r="AN153" s="86">
        <v>4.2200000000000001E-2</v>
      </c>
      <c r="AO153" s="86">
        <v>4.2569999999999997E-2</v>
      </c>
      <c r="AP153" s="86">
        <v>4.5240000000000002E-2</v>
      </c>
      <c r="AQ153" s="86">
        <v>3.9289999999999999E-2</v>
      </c>
      <c r="AR153" s="86">
        <v>5.4679999999999999E-2</v>
      </c>
      <c r="AS153" s="86">
        <v>2.58E-2</v>
      </c>
      <c r="AT153" s="86">
        <v>4.2439999999999999E-2</v>
      </c>
      <c r="AU153" s="86">
        <v>5.738E-2</v>
      </c>
      <c r="AV153" s="86">
        <v>4.2029999999999998E-2</v>
      </c>
      <c r="AW153" s="86">
        <v>3.9210000000000002E-2</v>
      </c>
      <c r="AX153" s="86">
        <v>5.7259999999999998E-2</v>
      </c>
      <c r="AY153" s="86">
        <v>3.7609999999999998E-2</v>
      </c>
      <c r="AZ153" s="86">
        <v>3.8260000000000002E-2</v>
      </c>
      <c r="BA153" s="86">
        <v>3.9949999999999999E-2</v>
      </c>
      <c r="BB153" s="86">
        <v>5.8229999999999997E-2</v>
      </c>
      <c r="BC153" s="86">
        <v>3.5029999999999999E-2</v>
      </c>
      <c r="BD153" s="89"/>
      <c r="BE153" s="83"/>
    </row>
    <row r="154" spans="1:57" x14ac:dyDescent="0.25">
      <c r="A154" s="84">
        <f t="shared" si="2"/>
        <v>152</v>
      </c>
      <c r="B154" s="83">
        <v>142</v>
      </c>
      <c r="C154" s="86">
        <v>3.6760000000000001E-2</v>
      </c>
      <c r="D154" s="86">
        <v>3.6760000000000001E-2</v>
      </c>
      <c r="E154" s="86">
        <v>3.6760000000000001E-2</v>
      </c>
      <c r="F154" s="86">
        <v>3.6670000000000001E-2</v>
      </c>
      <c r="G154" s="86">
        <v>4.0599999999999997E-2</v>
      </c>
      <c r="H154" s="86">
        <v>3.6760000000000001E-2</v>
      </c>
      <c r="I154" s="86">
        <v>3.7769999999999998E-2</v>
      </c>
      <c r="J154" s="86">
        <v>3.6740000000000002E-2</v>
      </c>
      <c r="K154" s="86">
        <v>3.6760000000000001E-2</v>
      </c>
      <c r="L154" s="86">
        <v>3.6760000000000001E-2</v>
      </c>
      <c r="M154" s="86">
        <v>3.6760000000000001E-2</v>
      </c>
      <c r="N154" s="86">
        <v>3.6760000000000001E-2</v>
      </c>
      <c r="O154" s="86">
        <v>3.6760000000000001E-2</v>
      </c>
      <c r="P154" s="86">
        <v>4.2459999999999998E-2</v>
      </c>
      <c r="Q154" s="86">
        <v>4.2819999999999997E-2</v>
      </c>
      <c r="R154" s="86">
        <v>3.6760000000000001E-2</v>
      </c>
      <c r="S154" s="86">
        <v>3.6760000000000001E-2</v>
      </c>
      <c r="T154" s="86">
        <v>3.6760000000000001E-2</v>
      </c>
      <c r="U154" s="86">
        <v>2.615E-2</v>
      </c>
      <c r="V154" s="86">
        <v>3.6760000000000001E-2</v>
      </c>
      <c r="W154" s="86">
        <v>3.6760000000000001E-2</v>
      </c>
      <c r="X154" s="86">
        <v>3.6760000000000001E-2</v>
      </c>
      <c r="Y154" s="86">
        <v>3.6760000000000001E-2</v>
      </c>
      <c r="Z154" s="86">
        <v>3.9190000000000003E-2</v>
      </c>
      <c r="AA154" s="86">
        <v>4.1700000000000001E-2</v>
      </c>
      <c r="AB154" s="86">
        <v>3.6760000000000001E-2</v>
      </c>
      <c r="AC154" s="86">
        <v>4.2540000000000001E-2</v>
      </c>
      <c r="AD154" s="86">
        <v>4.6170000000000003E-2</v>
      </c>
      <c r="AE154" s="86">
        <v>3.6760000000000001E-2</v>
      </c>
      <c r="AF154" s="86">
        <v>3.6760000000000001E-2</v>
      </c>
      <c r="AG154" s="86">
        <v>3.6760000000000001E-2</v>
      </c>
      <c r="AH154" s="86">
        <v>3.9489999999999997E-2</v>
      </c>
      <c r="AI154" s="86">
        <v>2.615E-2</v>
      </c>
      <c r="AJ154" s="86">
        <v>2.9559999999999999E-2</v>
      </c>
      <c r="AK154" s="86">
        <v>3.9600000000000003E-2</v>
      </c>
      <c r="AL154" s="86">
        <v>5.7599999999999998E-2</v>
      </c>
      <c r="AM154" s="86">
        <v>3.696E-2</v>
      </c>
      <c r="AN154" s="86">
        <v>4.2200000000000001E-2</v>
      </c>
      <c r="AO154" s="86">
        <v>4.2560000000000001E-2</v>
      </c>
      <c r="AP154" s="86">
        <v>4.5220000000000003E-2</v>
      </c>
      <c r="AQ154" s="86">
        <v>3.9309999999999998E-2</v>
      </c>
      <c r="AR154" s="86">
        <v>5.466E-2</v>
      </c>
      <c r="AS154" s="86">
        <v>2.5839999999999998E-2</v>
      </c>
      <c r="AT154" s="86">
        <v>4.2439999999999999E-2</v>
      </c>
      <c r="AU154" s="86">
        <v>5.7340000000000002E-2</v>
      </c>
      <c r="AV154" s="86">
        <v>4.2029999999999998E-2</v>
      </c>
      <c r="AW154" s="86">
        <v>3.9230000000000001E-2</v>
      </c>
      <c r="AX154" s="86">
        <v>5.7230000000000003E-2</v>
      </c>
      <c r="AY154" s="86">
        <v>3.764E-2</v>
      </c>
      <c r="AZ154" s="86">
        <v>3.8289999999999998E-2</v>
      </c>
      <c r="BA154" s="86">
        <v>3.9969999999999999E-2</v>
      </c>
      <c r="BB154" s="86">
        <v>5.8189999999999999E-2</v>
      </c>
      <c r="BC154" s="86">
        <v>3.5069999999999997E-2</v>
      </c>
      <c r="BD154" s="89"/>
      <c r="BE154" s="83"/>
    </row>
    <row r="155" spans="1:57" x14ac:dyDescent="0.25">
      <c r="A155" s="84">
        <f t="shared" si="2"/>
        <v>153</v>
      </c>
      <c r="B155" s="83">
        <v>143</v>
      </c>
      <c r="C155" s="86">
        <v>3.6799999999999999E-2</v>
      </c>
      <c r="D155" s="86">
        <v>3.6799999999999999E-2</v>
      </c>
      <c r="E155" s="86">
        <v>3.6799999999999999E-2</v>
      </c>
      <c r="F155" s="86">
        <v>3.6700000000000003E-2</v>
      </c>
      <c r="G155" s="86">
        <v>4.061E-2</v>
      </c>
      <c r="H155" s="86">
        <v>3.6799999999999999E-2</v>
      </c>
      <c r="I155" s="86">
        <v>3.78E-2</v>
      </c>
      <c r="J155" s="86">
        <v>3.678E-2</v>
      </c>
      <c r="K155" s="86">
        <v>3.6799999999999999E-2</v>
      </c>
      <c r="L155" s="86">
        <v>3.6799999999999999E-2</v>
      </c>
      <c r="M155" s="86">
        <v>3.6799999999999999E-2</v>
      </c>
      <c r="N155" s="86">
        <v>3.6799999999999999E-2</v>
      </c>
      <c r="O155" s="86">
        <v>3.6799999999999999E-2</v>
      </c>
      <c r="P155" s="86">
        <v>4.2459999999999998E-2</v>
      </c>
      <c r="Q155" s="86">
        <v>4.2819999999999997E-2</v>
      </c>
      <c r="R155" s="86">
        <v>3.6799999999999999E-2</v>
      </c>
      <c r="S155" s="86">
        <v>3.6799999999999999E-2</v>
      </c>
      <c r="T155" s="86">
        <v>3.6799999999999999E-2</v>
      </c>
      <c r="U155" s="86">
        <v>2.6190000000000001E-2</v>
      </c>
      <c r="V155" s="86">
        <v>3.6799999999999999E-2</v>
      </c>
      <c r="W155" s="86">
        <v>3.6799999999999999E-2</v>
      </c>
      <c r="X155" s="86">
        <v>3.6799999999999999E-2</v>
      </c>
      <c r="Y155" s="86">
        <v>3.6799999999999999E-2</v>
      </c>
      <c r="Z155" s="86">
        <v>3.9210000000000002E-2</v>
      </c>
      <c r="AA155" s="86">
        <v>4.1700000000000001E-2</v>
      </c>
      <c r="AB155" s="86">
        <v>3.6799999999999999E-2</v>
      </c>
      <c r="AC155" s="86">
        <v>4.2529999999999998E-2</v>
      </c>
      <c r="AD155" s="86">
        <v>4.614E-2</v>
      </c>
      <c r="AE155" s="86">
        <v>3.6799999999999999E-2</v>
      </c>
      <c r="AF155" s="86">
        <v>3.6799999999999999E-2</v>
      </c>
      <c r="AG155" s="86">
        <v>3.6799999999999999E-2</v>
      </c>
      <c r="AH155" s="86">
        <v>3.9510000000000003E-2</v>
      </c>
      <c r="AI155" s="86">
        <v>2.6190000000000001E-2</v>
      </c>
      <c r="AJ155" s="86">
        <v>2.964E-2</v>
      </c>
      <c r="AK155" s="86">
        <v>3.9620000000000002E-2</v>
      </c>
      <c r="AL155" s="86">
        <v>5.756E-2</v>
      </c>
      <c r="AM155" s="86">
        <v>3.6999999999999998E-2</v>
      </c>
      <c r="AN155" s="86">
        <v>4.2200000000000001E-2</v>
      </c>
      <c r="AO155" s="86">
        <v>4.2560000000000001E-2</v>
      </c>
      <c r="AP155" s="86">
        <v>4.5199999999999997E-2</v>
      </c>
      <c r="AQ155" s="86">
        <v>3.9329999999999997E-2</v>
      </c>
      <c r="AR155" s="86">
        <v>5.4640000000000001E-2</v>
      </c>
      <c r="AS155" s="86">
        <v>2.589E-2</v>
      </c>
      <c r="AT155" s="86">
        <v>4.2439999999999999E-2</v>
      </c>
      <c r="AU155" s="86">
        <v>5.731E-2</v>
      </c>
      <c r="AV155" s="86">
        <v>4.2029999999999998E-2</v>
      </c>
      <c r="AW155" s="86">
        <v>3.925E-2</v>
      </c>
      <c r="AX155" s="86">
        <v>5.7189999999999998E-2</v>
      </c>
      <c r="AY155" s="86">
        <v>3.7670000000000002E-2</v>
      </c>
      <c r="AZ155" s="86">
        <v>3.832E-2</v>
      </c>
      <c r="BA155" s="86">
        <v>3.9980000000000002E-2</v>
      </c>
      <c r="BB155" s="86">
        <v>5.815E-2</v>
      </c>
      <c r="BC155" s="86">
        <v>3.5119999999999998E-2</v>
      </c>
      <c r="BD155" s="89"/>
      <c r="BE155" s="83"/>
    </row>
    <row r="156" spans="1:57" x14ac:dyDescent="0.25">
      <c r="A156" s="84">
        <f t="shared" si="2"/>
        <v>154</v>
      </c>
      <c r="B156" s="83">
        <v>144</v>
      </c>
      <c r="C156" s="86">
        <v>3.6830000000000002E-2</v>
      </c>
      <c r="D156" s="86">
        <v>3.6830000000000002E-2</v>
      </c>
      <c r="E156" s="86">
        <v>3.6830000000000002E-2</v>
      </c>
      <c r="F156" s="86">
        <v>3.6740000000000002E-2</v>
      </c>
      <c r="G156" s="86">
        <v>4.0620000000000003E-2</v>
      </c>
      <c r="H156" s="86">
        <v>3.6830000000000002E-2</v>
      </c>
      <c r="I156" s="86">
        <v>3.7830000000000003E-2</v>
      </c>
      <c r="J156" s="86">
        <v>3.6810000000000002E-2</v>
      </c>
      <c r="K156" s="86">
        <v>3.6830000000000002E-2</v>
      </c>
      <c r="L156" s="86">
        <v>3.6830000000000002E-2</v>
      </c>
      <c r="M156" s="86">
        <v>3.6830000000000002E-2</v>
      </c>
      <c r="N156" s="86">
        <v>3.6830000000000002E-2</v>
      </c>
      <c r="O156" s="86">
        <v>3.6830000000000002E-2</v>
      </c>
      <c r="P156" s="86">
        <v>4.2450000000000002E-2</v>
      </c>
      <c r="Q156" s="86">
        <v>4.2810000000000001E-2</v>
      </c>
      <c r="R156" s="86">
        <v>3.6830000000000002E-2</v>
      </c>
      <c r="S156" s="86">
        <v>3.6830000000000002E-2</v>
      </c>
      <c r="T156" s="86">
        <v>3.6830000000000002E-2</v>
      </c>
      <c r="U156" s="86">
        <v>2.623E-2</v>
      </c>
      <c r="V156" s="86">
        <v>3.6830000000000002E-2</v>
      </c>
      <c r="W156" s="86">
        <v>3.6830000000000002E-2</v>
      </c>
      <c r="X156" s="86">
        <v>3.6830000000000002E-2</v>
      </c>
      <c r="Y156" s="86">
        <v>3.6830000000000002E-2</v>
      </c>
      <c r="Z156" s="86">
        <v>3.9230000000000001E-2</v>
      </c>
      <c r="AA156" s="86">
        <v>4.1700000000000001E-2</v>
      </c>
      <c r="AB156" s="86">
        <v>3.6830000000000002E-2</v>
      </c>
      <c r="AC156" s="86">
        <v>4.2529999999999998E-2</v>
      </c>
      <c r="AD156" s="86">
        <v>4.6109999999999998E-2</v>
      </c>
      <c r="AE156" s="86">
        <v>3.6830000000000002E-2</v>
      </c>
      <c r="AF156" s="86">
        <v>3.6830000000000002E-2</v>
      </c>
      <c r="AG156" s="86">
        <v>3.6830000000000002E-2</v>
      </c>
      <c r="AH156" s="86">
        <v>3.9530000000000003E-2</v>
      </c>
      <c r="AI156" s="86">
        <v>2.623E-2</v>
      </c>
      <c r="AJ156" s="86">
        <v>2.9729999999999999E-2</v>
      </c>
      <c r="AK156" s="86">
        <v>3.9640000000000002E-2</v>
      </c>
      <c r="AL156" s="86">
        <v>5.7520000000000002E-2</v>
      </c>
      <c r="AM156" s="86">
        <v>3.703E-2</v>
      </c>
      <c r="AN156" s="86">
        <v>4.2200000000000001E-2</v>
      </c>
      <c r="AO156" s="86">
        <v>4.2549999999999998E-2</v>
      </c>
      <c r="AP156" s="86">
        <v>4.5179999999999998E-2</v>
      </c>
      <c r="AQ156" s="86">
        <v>3.9350000000000003E-2</v>
      </c>
      <c r="AR156" s="86">
        <v>5.4629999999999998E-2</v>
      </c>
      <c r="AS156" s="86">
        <v>2.5930000000000002E-2</v>
      </c>
      <c r="AT156" s="86">
        <v>4.2439999999999999E-2</v>
      </c>
      <c r="AU156" s="86">
        <v>5.7270000000000001E-2</v>
      </c>
      <c r="AV156" s="86">
        <v>4.2029999999999998E-2</v>
      </c>
      <c r="AW156" s="86">
        <v>3.9269999999999999E-2</v>
      </c>
      <c r="AX156" s="86">
        <v>5.7149999999999999E-2</v>
      </c>
      <c r="AY156" s="86">
        <v>3.7699999999999997E-2</v>
      </c>
      <c r="AZ156" s="86">
        <v>3.8339999999999999E-2</v>
      </c>
      <c r="BA156" s="86">
        <v>3.9989999999999998E-2</v>
      </c>
      <c r="BB156" s="86">
        <v>5.8099999999999999E-2</v>
      </c>
      <c r="BC156" s="86">
        <v>3.517E-2</v>
      </c>
      <c r="BD156" s="89"/>
      <c r="BE156" s="83"/>
    </row>
    <row r="157" spans="1:57" x14ac:dyDescent="0.25">
      <c r="A157" s="84">
        <f t="shared" si="2"/>
        <v>155</v>
      </c>
      <c r="B157" s="87">
        <v>145</v>
      </c>
      <c r="C157" s="88">
        <v>3.687E-2</v>
      </c>
      <c r="D157" s="88">
        <v>3.687E-2</v>
      </c>
      <c r="E157" s="88">
        <v>3.687E-2</v>
      </c>
      <c r="F157" s="88">
        <v>3.678E-2</v>
      </c>
      <c r="G157" s="88">
        <v>4.0629999999999999E-2</v>
      </c>
      <c r="H157" s="88">
        <v>3.687E-2</v>
      </c>
      <c r="I157" s="88">
        <v>3.7859999999999998E-2</v>
      </c>
      <c r="J157" s="88">
        <v>3.6850000000000001E-2</v>
      </c>
      <c r="K157" s="88">
        <v>3.687E-2</v>
      </c>
      <c r="L157" s="88">
        <v>3.687E-2</v>
      </c>
      <c r="M157" s="88">
        <v>3.687E-2</v>
      </c>
      <c r="N157" s="88">
        <v>3.687E-2</v>
      </c>
      <c r="O157" s="88">
        <v>3.687E-2</v>
      </c>
      <c r="P157" s="88">
        <v>4.2450000000000002E-2</v>
      </c>
      <c r="Q157" s="88">
        <v>4.2810000000000001E-2</v>
      </c>
      <c r="R157" s="88">
        <v>3.687E-2</v>
      </c>
      <c r="S157" s="88">
        <v>3.687E-2</v>
      </c>
      <c r="T157" s="88">
        <v>3.687E-2</v>
      </c>
      <c r="U157" s="88">
        <v>2.6270000000000002E-2</v>
      </c>
      <c r="V157" s="88">
        <v>3.687E-2</v>
      </c>
      <c r="W157" s="88">
        <v>3.687E-2</v>
      </c>
      <c r="X157" s="88">
        <v>3.687E-2</v>
      </c>
      <c r="Y157" s="88">
        <v>3.687E-2</v>
      </c>
      <c r="Z157" s="88">
        <v>3.925E-2</v>
      </c>
      <c r="AA157" s="88">
        <v>4.1709999999999997E-2</v>
      </c>
      <c r="AB157" s="88">
        <v>3.687E-2</v>
      </c>
      <c r="AC157" s="88">
        <v>4.2520000000000002E-2</v>
      </c>
      <c r="AD157" s="88">
        <v>4.6080000000000003E-2</v>
      </c>
      <c r="AE157" s="88">
        <v>3.687E-2</v>
      </c>
      <c r="AF157" s="88">
        <v>3.687E-2</v>
      </c>
      <c r="AG157" s="88">
        <v>3.687E-2</v>
      </c>
      <c r="AH157" s="88">
        <v>3.9539999999999999E-2</v>
      </c>
      <c r="AI157" s="88">
        <v>2.6270000000000002E-2</v>
      </c>
      <c r="AJ157" s="88">
        <v>2.981E-2</v>
      </c>
      <c r="AK157" s="88">
        <v>3.9649999999999998E-2</v>
      </c>
      <c r="AL157" s="88">
        <v>5.7480000000000003E-2</v>
      </c>
      <c r="AM157" s="88">
        <v>3.7069999999999999E-2</v>
      </c>
      <c r="AN157" s="88">
        <v>4.2200000000000001E-2</v>
      </c>
      <c r="AO157" s="88">
        <v>4.2549999999999998E-2</v>
      </c>
      <c r="AP157" s="88">
        <v>4.5150000000000003E-2</v>
      </c>
      <c r="AQ157" s="88">
        <v>3.9370000000000002E-2</v>
      </c>
      <c r="AR157" s="88">
        <v>5.4609999999999999E-2</v>
      </c>
      <c r="AS157" s="88">
        <v>2.597E-2</v>
      </c>
      <c r="AT157" s="88">
        <v>4.2430000000000002E-2</v>
      </c>
      <c r="AU157" s="88">
        <v>5.7230000000000003E-2</v>
      </c>
      <c r="AV157" s="88">
        <v>4.2029999999999998E-2</v>
      </c>
      <c r="AW157" s="88">
        <v>3.9289999999999999E-2</v>
      </c>
      <c r="AX157" s="88">
        <v>5.7119999999999997E-2</v>
      </c>
      <c r="AY157" s="88">
        <v>3.773E-2</v>
      </c>
      <c r="AZ157" s="88">
        <v>3.8370000000000001E-2</v>
      </c>
      <c r="BA157" s="88">
        <v>4.0009999999999997E-2</v>
      </c>
      <c r="BB157" s="88">
        <v>5.806E-2</v>
      </c>
      <c r="BC157" s="88">
        <v>3.5220000000000001E-2</v>
      </c>
      <c r="BD157" s="89"/>
      <c r="BE157" s="83"/>
    </row>
    <row r="158" spans="1:57" x14ac:dyDescent="0.25">
      <c r="A158" s="84">
        <f t="shared" si="2"/>
        <v>156</v>
      </c>
      <c r="B158" s="83">
        <v>146</v>
      </c>
      <c r="C158" s="86">
        <v>3.6900000000000002E-2</v>
      </c>
      <c r="D158" s="86">
        <v>3.6900000000000002E-2</v>
      </c>
      <c r="E158" s="86">
        <v>3.6900000000000002E-2</v>
      </c>
      <c r="F158" s="86">
        <v>3.6810000000000002E-2</v>
      </c>
      <c r="G158" s="86">
        <v>4.0640000000000003E-2</v>
      </c>
      <c r="H158" s="86">
        <v>3.6900000000000002E-2</v>
      </c>
      <c r="I158" s="86">
        <v>3.7879999999999997E-2</v>
      </c>
      <c r="J158" s="86">
        <v>3.6880000000000003E-2</v>
      </c>
      <c r="K158" s="86">
        <v>3.6900000000000002E-2</v>
      </c>
      <c r="L158" s="86">
        <v>3.6900000000000002E-2</v>
      </c>
      <c r="M158" s="86">
        <v>3.6900000000000002E-2</v>
      </c>
      <c r="N158" s="86">
        <v>3.6900000000000002E-2</v>
      </c>
      <c r="O158" s="86">
        <v>3.6900000000000002E-2</v>
      </c>
      <c r="P158" s="86">
        <v>4.2450000000000002E-2</v>
      </c>
      <c r="Q158" s="86">
        <v>4.2799999999999998E-2</v>
      </c>
      <c r="R158" s="86">
        <v>3.6900000000000002E-2</v>
      </c>
      <c r="S158" s="86">
        <v>3.6900000000000002E-2</v>
      </c>
      <c r="T158" s="86">
        <v>3.6900000000000002E-2</v>
      </c>
      <c r="U158" s="86">
        <v>2.631E-2</v>
      </c>
      <c r="V158" s="86">
        <v>3.6900000000000002E-2</v>
      </c>
      <c r="W158" s="86">
        <v>3.6900000000000002E-2</v>
      </c>
      <c r="X158" s="86">
        <v>3.6900000000000002E-2</v>
      </c>
      <c r="Y158" s="86">
        <v>3.6900000000000002E-2</v>
      </c>
      <c r="Z158" s="86">
        <v>3.9269999999999999E-2</v>
      </c>
      <c r="AA158" s="86">
        <v>4.1709999999999997E-2</v>
      </c>
      <c r="AB158" s="86">
        <v>3.6900000000000002E-2</v>
      </c>
      <c r="AC158" s="86">
        <v>4.2520000000000002E-2</v>
      </c>
      <c r="AD158" s="86">
        <v>4.6050000000000001E-2</v>
      </c>
      <c r="AE158" s="86">
        <v>3.6900000000000002E-2</v>
      </c>
      <c r="AF158" s="86">
        <v>3.6900000000000002E-2</v>
      </c>
      <c r="AG158" s="86">
        <v>3.6900000000000002E-2</v>
      </c>
      <c r="AH158" s="86">
        <v>3.9559999999999998E-2</v>
      </c>
      <c r="AI158" s="86">
        <v>2.631E-2</v>
      </c>
      <c r="AJ158" s="86">
        <v>2.9899999999999999E-2</v>
      </c>
      <c r="AK158" s="86">
        <v>3.9669999999999997E-2</v>
      </c>
      <c r="AL158" s="86">
        <v>5.7450000000000001E-2</v>
      </c>
      <c r="AM158" s="86">
        <v>3.7100000000000001E-2</v>
      </c>
      <c r="AN158" s="86">
        <v>4.2200000000000001E-2</v>
      </c>
      <c r="AO158" s="86">
        <v>4.2549999999999998E-2</v>
      </c>
      <c r="AP158" s="86">
        <v>4.5130000000000003E-2</v>
      </c>
      <c r="AQ158" s="86">
        <v>3.9379999999999998E-2</v>
      </c>
      <c r="AR158" s="86">
        <v>5.459E-2</v>
      </c>
      <c r="AS158" s="86">
        <v>2.6009999999999998E-2</v>
      </c>
      <c r="AT158" s="86">
        <v>4.2430000000000002E-2</v>
      </c>
      <c r="AU158" s="86">
        <v>5.7200000000000001E-2</v>
      </c>
      <c r="AV158" s="86">
        <v>4.2029999999999998E-2</v>
      </c>
      <c r="AW158" s="86">
        <v>3.9300000000000002E-2</v>
      </c>
      <c r="AX158" s="86">
        <v>5.7079999999999999E-2</v>
      </c>
      <c r="AY158" s="86">
        <v>3.7760000000000002E-2</v>
      </c>
      <c r="AZ158" s="86">
        <v>3.8390000000000001E-2</v>
      </c>
      <c r="BA158" s="86">
        <v>4.002E-2</v>
      </c>
      <c r="BB158" s="86">
        <v>5.8020000000000002E-2</v>
      </c>
      <c r="BC158" s="86">
        <v>3.526E-2</v>
      </c>
      <c r="BD158" s="89"/>
      <c r="BE158" s="83"/>
    </row>
    <row r="159" spans="1:57" x14ac:dyDescent="0.25">
      <c r="A159" s="84">
        <f t="shared" si="2"/>
        <v>157</v>
      </c>
      <c r="B159" s="83">
        <v>147</v>
      </c>
      <c r="C159" s="86">
        <v>3.6940000000000001E-2</v>
      </c>
      <c r="D159" s="86">
        <v>3.6940000000000001E-2</v>
      </c>
      <c r="E159" s="86">
        <v>3.6940000000000001E-2</v>
      </c>
      <c r="F159" s="86">
        <v>3.6850000000000001E-2</v>
      </c>
      <c r="G159" s="86">
        <v>4.0640000000000003E-2</v>
      </c>
      <c r="H159" s="86">
        <v>3.6940000000000001E-2</v>
      </c>
      <c r="I159" s="86">
        <v>3.7909999999999999E-2</v>
      </c>
      <c r="J159" s="86">
        <v>3.6920000000000001E-2</v>
      </c>
      <c r="K159" s="86">
        <v>3.6940000000000001E-2</v>
      </c>
      <c r="L159" s="86">
        <v>3.6940000000000001E-2</v>
      </c>
      <c r="M159" s="86">
        <v>3.6940000000000001E-2</v>
      </c>
      <c r="N159" s="86">
        <v>3.6940000000000001E-2</v>
      </c>
      <c r="O159" s="86">
        <v>3.6940000000000001E-2</v>
      </c>
      <c r="P159" s="86">
        <v>4.2439999999999999E-2</v>
      </c>
      <c r="Q159" s="86">
        <v>4.2799999999999998E-2</v>
      </c>
      <c r="R159" s="86">
        <v>3.6940000000000001E-2</v>
      </c>
      <c r="S159" s="86">
        <v>3.6940000000000001E-2</v>
      </c>
      <c r="T159" s="86">
        <v>3.6940000000000001E-2</v>
      </c>
      <c r="U159" s="86">
        <v>2.6339999999999999E-2</v>
      </c>
      <c r="V159" s="86">
        <v>3.6940000000000001E-2</v>
      </c>
      <c r="W159" s="86">
        <v>3.6940000000000001E-2</v>
      </c>
      <c r="X159" s="86">
        <v>3.6940000000000001E-2</v>
      </c>
      <c r="Y159" s="86">
        <v>3.6940000000000001E-2</v>
      </c>
      <c r="Z159" s="86">
        <v>3.9289999999999999E-2</v>
      </c>
      <c r="AA159" s="86">
        <v>4.1709999999999997E-2</v>
      </c>
      <c r="AB159" s="86">
        <v>3.6940000000000001E-2</v>
      </c>
      <c r="AC159" s="86">
        <v>4.2520000000000002E-2</v>
      </c>
      <c r="AD159" s="86">
        <v>4.6019999999999998E-2</v>
      </c>
      <c r="AE159" s="86">
        <v>3.6940000000000001E-2</v>
      </c>
      <c r="AF159" s="86">
        <v>3.6940000000000001E-2</v>
      </c>
      <c r="AG159" s="86">
        <v>3.6940000000000001E-2</v>
      </c>
      <c r="AH159" s="86">
        <v>3.9579999999999997E-2</v>
      </c>
      <c r="AI159" s="86">
        <v>2.6339999999999999E-2</v>
      </c>
      <c r="AJ159" s="86">
        <v>2.998E-2</v>
      </c>
      <c r="AK159" s="86">
        <v>3.9690000000000003E-2</v>
      </c>
      <c r="AL159" s="86">
        <v>5.7410000000000003E-2</v>
      </c>
      <c r="AM159" s="86">
        <v>3.7130000000000003E-2</v>
      </c>
      <c r="AN159" s="86">
        <v>4.2200000000000001E-2</v>
      </c>
      <c r="AO159" s="86">
        <v>4.2540000000000001E-2</v>
      </c>
      <c r="AP159" s="86">
        <v>4.5109999999999997E-2</v>
      </c>
      <c r="AQ159" s="86">
        <v>3.9399999999999998E-2</v>
      </c>
      <c r="AR159" s="86">
        <v>5.457E-2</v>
      </c>
      <c r="AS159" s="86">
        <v>2.605E-2</v>
      </c>
      <c r="AT159" s="86">
        <v>4.2430000000000002E-2</v>
      </c>
      <c r="AU159" s="86">
        <v>5.7160000000000002E-2</v>
      </c>
      <c r="AV159" s="86">
        <v>4.2029999999999998E-2</v>
      </c>
      <c r="AW159" s="86">
        <v>3.9320000000000001E-2</v>
      </c>
      <c r="AX159" s="86">
        <v>5.7049999999999997E-2</v>
      </c>
      <c r="AY159" s="86">
        <v>3.7789999999999997E-2</v>
      </c>
      <c r="AZ159" s="86">
        <v>3.8420000000000003E-2</v>
      </c>
      <c r="BA159" s="86">
        <v>4.0039999999999999E-2</v>
      </c>
      <c r="BB159" s="86">
        <v>5.7979999999999997E-2</v>
      </c>
      <c r="BC159" s="86">
        <v>3.5310000000000001E-2</v>
      </c>
      <c r="BD159" s="89"/>
      <c r="BE159" s="83"/>
    </row>
    <row r="160" spans="1:57" x14ac:dyDescent="0.25">
      <c r="A160" s="84">
        <f t="shared" si="2"/>
        <v>158</v>
      </c>
      <c r="B160" s="83">
        <v>148</v>
      </c>
      <c r="C160" s="86">
        <v>3.6970000000000003E-2</v>
      </c>
      <c r="D160" s="86">
        <v>3.6970000000000003E-2</v>
      </c>
      <c r="E160" s="86">
        <v>3.6970000000000003E-2</v>
      </c>
      <c r="F160" s="86">
        <v>3.6880000000000003E-2</v>
      </c>
      <c r="G160" s="86">
        <v>4.0649999999999999E-2</v>
      </c>
      <c r="H160" s="86">
        <v>3.6970000000000003E-2</v>
      </c>
      <c r="I160" s="86">
        <v>3.7940000000000002E-2</v>
      </c>
      <c r="J160" s="86">
        <v>3.6949999999999997E-2</v>
      </c>
      <c r="K160" s="86">
        <v>3.6970000000000003E-2</v>
      </c>
      <c r="L160" s="86">
        <v>3.6970000000000003E-2</v>
      </c>
      <c r="M160" s="86">
        <v>3.6970000000000003E-2</v>
      </c>
      <c r="N160" s="86">
        <v>3.6970000000000003E-2</v>
      </c>
      <c r="O160" s="86">
        <v>3.6970000000000003E-2</v>
      </c>
      <c r="P160" s="86">
        <v>4.2439999999999999E-2</v>
      </c>
      <c r="Q160" s="86">
        <v>4.2790000000000002E-2</v>
      </c>
      <c r="R160" s="86">
        <v>3.6970000000000003E-2</v>
      </c>
      <c r="S160" s="86">
        <v>3.6970000000000003E-2</v>
      </c>
      <c r="T160" s="86">
        <v>3.6970000000000003E-2</v>
      </c>
      <c r="U160" s="86">
        <v>2.6380000000000001E-2</v>
      </c>
      <c r="V160" s="86">
        <v>3.6970000000000003E-2</v>
      </c>
      <c r="W160" s="86">
        <v>3.6970000000000003E-2</v>
      </c>
      <c r="X160" s="86">
        <v>3.6970000000000003E-2</v>
      </c>
      <c r="Y160" s="86">
        <v>3.6970000000000003E-2</v>
      </c>
      <c r="Z160" s="86">
        <v>3.9309999999999998E-2</v>
      </c>
      <c r="AA160" s="86">
        <v>4.1709999999999997E-2</v>
      </c>
      <c r="AB160" s="86">
        <v>3.6970000000000003E-2</v>
      </c>
      <c r="AC160" s="86">
        <v>4.2509999999999999E-2</v>
      </c>
      <c r="AD160" s="86">
        <v>4.5999999999999999E-2</v>
      </c>
      <c r="AE160" s="86">
        <v>3.6970000000000003E-2</v>
      </c>
      <c r="AF160" s="86">
        <v>3.6970000000000003E-2</v>
      </c>
      <c r="AG160" s="86">
        <v>3.6970000000000003E-2</v>
      </c>
      <c r="AH160" s="86">
        <v>3.959E-2</v>
      </c>
      <c r="AI160" s="86">
        <v>2.6380000000000001E-2</v>
      </c>
      <c r="AJ160" s="86">
        <v>3.006E-2</v>
      </c>
      <c r="AK160" s="86">
        <v>3.9699999999999999E-2</v>
      </c>
      <c r="AL160" s="86">
        <v>5.7369999999999997E-2</v>
      </c>
      <c r="AM160" s="86">
        <v>3.7170000000000002E-2</v>
      </c>
      <c r="AN160" s="86">
        <v>4.2189999999999998E-2</v>
      </c>
      <c r="AO160" s="86">
        <v>4.2540000000000001E-2</v>
      </c>
      <c r="AP160" s="86">
        <v>4.5089999999999998E-2</v>
      </c>
      <c r="AQ160" s="86">
        <v>3.9419999999999997E-2</v>
      </c>
      <c r="AR160" s="86">
        <v>5.4559999999999997E-2</v>
      </c>
      <c r="AS160" s="86">
        <v>2.6089999999999999E-2</v>
      </c>
      <c r="AT160" s="86">
        <v>4.2419999999999999E-2</v>
      </c>
      <c r="AU160" s="86">
        <v>5.713E-2</v>
      </c>
      <c r="AV160" s="86">
        <v>4.2029999999999998E-2</v>
      </c>
      <c r="AW160" s="86">
        <v>3.934E-2</v>
      </c>
      <c r="AX160" s="86">
        <v>5.7020000000000001E-2</v>
      </c>
      <c r="AY160" s="86">
        <v>3.7819999999999999E-2</v>
      </c>
      <c r="AZ160" s="86">
        <v>3.8440000000000002E-2</v>
      </c>
      <c r="BA160" s="86">
        <v>4.0050000000000002E-2</v>
      </c>
      <c r="BB160" s="86">
        <v>5.7939999999999998E-2</v>
      </c>
      <c r="BC160" s="86">
        <v>3.5349999999999999E-2</v>
      </c>
      <c r="BD160" s="89"/>
      <c r="BE160" s="83"/>
    </row>
    <row r="161" spans="1:57" x14ac:dyDescent="0.25">
      <c r="A161" s="84">
        <f t="shared" si="2"/>
        <v>159</v>
      </c>
      <c r="B161" s="83">
        <v>149</v>
      </c>
      <c r="C161" s="86">
        <v>3.6999999999999998E-2</v>
      </c>
      <c r="D161" s="86">
        <v>3.6999999999999998E-2</v>
      </c>
      <c r="E161" s="86">
        <v>3.6999999999999998E-2</v>
      </c>
      <c r="F161" s="86">
        <v>3.6920000000000001E-2</v>
      </c>
      <c r="G161" s="86">
        <v>4.0660000000000002E-2</v>
      </c>
      <c r="H161" s="86">
        <v>3.6999999999999998E-2</v>
      </c>
      <c r="I161" s="86">
        <v>3.7969999999999997E-2</v>
      </c>
      <c r="J161" s="86">
        <v>3.6990000000000002E-2</v>
      </c>
      <c r="K161" s="86">
        <v>3.6999999999999998E-2</v>
      </c>
      <c r="L161" s="86">
        <v>3.6999999999999998E-2</v>
      </c>
      <c r="M161" s="86">
        <v>3.6999999999999998E-2</v>
      </c>
      <c r="N161" s="86">
        <v>3.6999999999999998E-2</v>
      </c>
      <c r="O161" s="86">
        <v>3.6999999999999998E-2</v>
      </c>
      <c r="P161" s="86">
        <v>4.2439999999999999E-2</v>
      </c>
      <c r="Q161" s="86">
        <v>4.2790000000000002E-2</v>
      </c>
      <c r="R161" s="86">
        <v>3.6999999999999998E-2</v>
      </c>
      <c r="S161" s="86">
        <v>3.6999999999999998E-2</v>
      </c>
      <c r="T161" s="86">
        <v>3.6999999999999998E-2</v>
      </c>
      <c r="U161" s="86">
        <v>2.6419999999999999E-2</v>
      </c>
      <c r="V161" s="86">
        <v>3.6999999999999998E-2</v>
      </c>
      <c r="W161" s="86">
        <v>3.6999999999999998E-2</v>
      </c>
      <c r="X161" s="86">
        <v>3.6999999999999998E-2</v>
      </c>
      <c r="Y161" s="86">
        <v>3.6999999999999998E-2</v>
      </c>
      <c r="Z161" s="86">
        <v>3.9329999999999997E-2</v>
      </c>
      <c r="AA161" s="86">
        <v>4.1709999999999997E-2</v>
      </c>
      <c r="AB161" s="86">
        <v>3.6999999999999998E-2</v>
      </c>
      <c r="AC161" s="86">
        <v>4.2509999999999999E-2</v>
      </c>
      <c r="AD161" s="86">
        <v>4.5969999999999997E-2</v>
      </c>
      <c r="AE161" s="86">
        <v>3.6999999999999998E-2</v>
      </c>
      <c r="AF161" s="86">
        <v>3.6999999999999998E-2</v>
      </c>
      <c r="AG161" s="86">
        <v>3.6999999999999998E-2</v>
      </c>
      <c r="AH161" s="86">
        <v>3.9609999999999999E-2</v>
      </c>
      <c r="AI161" s="86">
        <v>2.6419999999999999E-2</v>
      </c>
      <c r="AJ161" s="86">
        <v>3.014E-2</v>
      </c>
      <c r="AK161" s="86">
        <v>3.9719999999999998E-2</v>
      </c>
      <c r="AL161" s="86">
        <v>5.7340000000000002E-2</v>
      </c>
      <c r="AM161" s="86">
        <v>3.7199999999999997E-2</v>
      </c>
      <c r="AN161" s="86">
        <v>4.2189999999999998E-2</v>
      </c>
      <c r="AO161" s="86">
        <v>4.2540000000000001E-2</v>
      </c>
      <c r="AP161" s="86">
        <v>4.5069999999999999E-2</v>
      </c>
      <c r="AQ161" s="86">
        <v>3.9440000000000003E-2</v>
      </c>
      <c r="AR161" s="86">
        <v>5.4539999999999998E-2</v>
      </c>
      <c r="AS161" s="86">
        <v>2.613E-2</v>
      </c>
      <c r="AT161" s="86">
        <v>4.2419999999999999E-2</v>
      </c>
      <c r="AU161" s="86">
        <v>5.7090000000000002E-2</v>
      </c>
      <c r="AV161" s="86">
        <v>4.2029999999999998E-2</v>
      </c>
      <c r="AW161" s="86">
        <v>3.9359999999999999E-2</v>
      </c>
      <c r="AX161" s="86">
        <v>5.6980000000000003E-2</v>
      </c>
      <c r="AY161" s="86">
        <v>3.7850000000000002E-2</v>
      </c>
      <c r="AZ161" s="86">
        <v>3.8469999999999997E-2</v>
      </c>
      <c r="BA161" s="86">
        <v>4.0059999999999998E-2</v>
      </c>
      <c r="BB161" s="86">
        <v>5.79E-2</v>
      </c>
      <c r="BC161" s="86">
        <v>3.5400000000000001E-2</v>
      </c>
      <c r="BD161" s="89"/>
      <c r="BE161" s="83"/>
    </row>
    <row r="162" spans="1:57" x14ac:dyDescent="0.25">
      <c r="A162" s="84">
        <f t="shared" si="2"/>
        <v>160</v>
      </c>
      <c r="B162" s="87">
        <v>150</v>
      </c>
      <c r="C162" s="88">
        <v>3.7039999999999997E-2</v>
      </c>
      <c r="D162" s="88">
        <v>3.7039999999999997E-2</v>
      </c>
      <c r="E162" s="88">
        <v>3.7039999999999997E-2</v>
      </c>
      <c r="F162" s="88">
        <v>3.6949999999999997E-2</v>
      </c>
      <c r="G162" s="88">
        <v>4.0669999999999998E-2</v>
      </c>
      <c r="H162" s="88">
        <v>3.7039999999999997E-2</v>
      </c>
      <c r="I162" s="88">
        <v>3.7990000000000003E-2</v>
      </c>
      <c r="J162" s="88">
        <v>3.7019999999999997E-2</v>
      </c>
      <c r="K162" s="88">
        <v>3.7039999999999997E-2</v>
      </c>
      <c r="L162" s="88">
        <v>3.7039999999999997E-2</v>
      </c>
      <c r="M162" s="88">
        <v>3.7039999999999997E-2</v>
      </c>
      <c r="N162" s="88">
        <v>3.7039999999999997E-2</v>
      </c>
      <c r="O162" s="88">
        <v>3.7039999999999997E-2</v>
      </c>
      <c r="P162" s="88">
        <v>4.2439999999999999E-2</v>
      </c>
      <c r="Q162" s="88">
        <v>4.2779999999999999E-2</v>
      </c>
      <c r="R162" s="88">
        <v>3.7039999999999997E-2</v>
      </c>
      <c r="S162" s="88">
        <v>3.7039999999999997E-2</v>
      </c>
      <c r="T162" s="88">
        <v>3.7039999999999997E-2</v>
      </c>
      <c r="U162" s="88">
        <v>2.6460000000000001E-2</v>
      </c>
      <c r="V162" s="88">
        <v>3.7039999999999997E-2</v>
      </c>
      <c r="W162" s="88">
        <v>3.7039999999999997E-2</v>
      </c>
      <c r="X162" s="88">
        <v>3.7039999999999997E-2</v>
      </c>
      <c r="Y162" s="88">
        <v>3.7039999999999997E-2</v>
      </c>
      <c r="Z162" s="88">
        <v>3.934E-2</v>
      </c>
      <c r="AA162" s="88">
        <v>4.172E-2</v>
      </c>
      <c r="AB162" s="88">
        <v>3.7039999999999997E-2</v>
      </c>
      <c r="AC162" s="88">
        <v>4.2509999999999999E-2</v>
      </c>
      <c r="AD162" s="88">
        <v>4.5940000000000002E-2</v>
      </c>
      <c r="AE162" s="88">
        <v>3.7039999999999997E-2</v>
      </c>
      <c r="AF162" s="88">
        <v>3.7039999999999997E-2</v>
      </c>
      <c r="AG162" s="88">
        <v>3.7039999999999997E-2</v>
      </c>
      <c r="AH162" s="88">
        <v>3.9620000000000002E-2</v>
      </c>
      <c r="AI162" s="88">
        <v>2.6460000000000001E-2</v>
      </c>
      <c r="AJ162" s="88">
        <v>3.022E-2</v>
      </c>
      <c r="AK162" s="88">
        <v>3.9730000000000001E-2</v>
      </c>
      <c r="AL162" s="88">
        <v>5.7299999999999997E-2</v>
      </c>
      <c r="AM162" s="88">
        <v>3.7229999999999999E-2</v>
      </c>
      <c r="AN162" s="88">
        <v>4.2189999999999998E-2</v>
      </c>
      <c r="AO162" s="88">
        <v>4.2529999999999998E-2</v>
      </c>
      <c r="AP162" s="88">
        <v>4.505E-2</v>
      </c>
      <c r="AQ162" s="88">
        <v>3.9449999999999999E-2</v>
      </c>
      <c r="AR162" s="88">
        <v>5.4519999999999999E-2</v>
      </c>
      <c r="AS162" s="88">
        <v>2.6169999999999999E-2</v>
      </c>
      <c r="AT162" s="88">
        <v>4.2419999999999999E-2</v>
      </c>
      <c r="AU162" s="88">
        <v>5.706E-2</v>
      </c>
      <c r="AV162" s="88">
        <v>4.2029999999999998E-2</v>
      </c>
      <c r="AW162" s="88">
        <v>3.9379999999999998E-2</v>
      </c>
      <c r="AX162" s="88">
        <v>5.6950000000000001E-2</v>
      </c>
      <c r="AY162" s="88">
        <v>3.7870000000000001E-2</v>
      </c>
      <c r="AZ162" s="88">
        <v>3.8490000000000003E-2</v>
      </c>
      <c r="BA162" s="88">
        <v>4.0070000000000001E-2</v>
      </c>
      <c r="BB162" s="88">
        <v>5.7860000000000002E-2</v>
      </c>
      <c r="BC162" s="88">
        <v>3.5439999999999999E-2</v>
      </c>
      <c r="BD162" s="89"/>
      <c r="BE162" s="83"/>
    </row>
  </sheetData>
  <hyperlinks>
    <hyperlink ref="B4" location="Main_Menu!D10" display="Main menu"/>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8" tint="0.39997558519241921"/>
  </sheetPr>
  <dimension ref="A1:BC378"/>
  <sheetViews>
    <sheetView topLeftCell="A32" workbookViewId="0">
      <selection activeCell="H86" sqref="H86"/>
    </sheetView>
  </sheetViews>
  <sheetFormatPr defaultRowHeight="15" x14ac:dyDescent="0.25"/>
  <sheetData>
    <row r="1" spans="1:55" x14ac:dyDescent="0.25">
      <c r="B1" t="s">
        <v>1178</v>
      </c>
    </row>
    <row r="2" spans="1:55" x14ac:dyDescent="0.25">
      <c r="B2" t="s">
        <v>1188</v>
      </c>
    </row>
    <row r="3" spans="1:55" x14ac:dyDescent="0.25">
      <c r="B3" t="s">
        <v>1189</v>
      </c>
    </row>
    <row r="5" spans="1:55" x14ac:dyDescent="0.25">
      <c r="B5" s="73" t="s">
        <v>1179</v>
      </c>
    </row>
    <row r="6" spans="1:55" x14ac:dyDescent="0.25">
      <c r="A6">
        <v>1</v>
      </c>
      <c r="C6" t="s">
        <v>8</v>
      </c>
      <c r="D6" t="s">
        <v>8</v>
      </c>
      <c r="E6" t="s">
        <v>8</v>
      </c>
      <c r="F6" t="s">
        <v>1160</v>
      </c>
      <c r="G6" t="s">
        <v>1161</v>
      </c>
      <c r="H6" t="s">
        <v>8</v>
      </c>
      <c r="I6" t="s">
        <v>1162</v>
      </c>
      <c r="J6" t="s">
        <v>64</v>
      </c>
      <c r="K6" t="s">
        <v>8</v>
      </c>
      <c r="L6" t="s">
        <v>8</v>
      </c>
      <c r="M6" t="s">
        <v>8</v>
      </c>
      <c r="N6" t="s">
        <v>8</v>
      </c>
      <c r="O6" t="s">
        <v>8</v>
      </c>
      <c r="P6" t="s">
        <v>26</v>
      </c>
      <c r="Q6" t="s">
        <v>1163</v>
      </c>
      <c r="R6" t="s">
        <v>8</v>
      </c>
      <c r="S6" t="s">
        <v>8</v>
      </c>
      <c r="T6" t="s">
        <v>8</v>
      </c>
      <c r="U6" t="s">
        <v>9</v>
      </c>
      <c r="V6" t="s">
        <v>8</v>
      </c>
      <c r="W6" t="s">
        <v>8</v>
      </c>
      <c r="X6" t="s">
        <v>8</v>
      </c>
      <c r="Y6" t="s">
        <v>8</v>
      </c>
      <c r="Z6" t="s">
        <v>22</v>
      </c>
      <c r="AA6" t="s">
        <v>46</v>
      </c>
      <c r="AB6" t="s">
        <v>8</v>
      </c>
      <c r="AC6" t="s">
        <v>1164</v>
      </c>
      <c r="AD6" t="s">
        <v>1165</v>
      </c>
      <c r="AE6" t="s">
        <v>8</v>
      </c>
      <c r="AF6" t="s">
        <v>8</v>
      </c>
      <c r="AG6" t="s">
        <v>8</v>
      </c>
      <c r="AH6" t="s">
        <v>10</v>
      </c>
      <c r="AI6" t="s">
        <v>9</v>
      </c>
      <c r="AJ6" t="s">
        <v>3</v>
      </c>
      <c r="AK6" t="s">
        <v>17</v>
      </c>
      <c r="AL6" t="s">
        <v>1166</v>
      </c>
      <c r="AM6" t="s">
        <v>21</v>
      </c>
      <c r="AN6" t="s">
        <v>1167</v>
      </c>
      <c r="AO6" t="s">
        <v>1168</v>
      </c>
      <c r="AP6" t="s">
        <v>1169</v>
      </c>
      <c r="AQ6" t="s">
        <v>7</v>
      </c>
      <c r="AR6" t="s">
        <v>1170</v>
      </c>
      <c r="AS6" t="s">
        <v>14</v>
      </c>
      <c r="AT6" t="s">
        <v>1171</v>
      </c>
      <c r="AU6" t="s">
        <v>27</v>
      </c>
      <c r="AV6" t="s">
        <v>47</v>
      </c>
      <c r="AW6" t="s">
        <v>1172</v>
      </c>
      <c r="AX6" t="s">
        <v>37</v>
      </c>
      <c r="AY6" t="s">
        <v>1173</v>
      </c>
      <c r="AZ6" t="s">
        <v>1174</v>
      </c>
      <c r="BA6" t="s">
        <v>1175</v>
      </c>
      <c r="BB6" t="s">
        <v>1176</v>
      </c>
      <c r="BC6" t="s">
        <v>6</v>
      </c>
    </row>
    <row r="7" spans="1:55" ht="49.5" customHeight="1" x14ac:dyDescent="0.25">
      <c r="A7">
        <f>A6+1</f>
        <v>2</v>
      </c>
      <c r="B7" s="95" t="s">
        <v>804</v>
      </c>
      <c r="C7" s="95" t="s">
        <v>1095</v>
      </c>
      <c r="D7" s="95" t="s">
        <v>72</v>
      </c>
      <c r="E7" s="95" t="s">
        <v>76</v>
      </c>
      <c r="F7" s="95" t="s">
        <v>80</v>
      </c>
      <c r="G7" s="95" t="s">
        <v>84</v>
      </c>
      <c r="H7" s="95" t="s">
        <v>88</v>
      </c>
      <c r="I7" s="95" t="s">
        <v>92</v>
      </c>
      <c r="J7" s="95" t="s">
        <v>96</v>
      </c>
      <c r="K7" s="95" t="s">
        <v>100</v>
      </c>
      <c r="L7" s="95" t="s">
        <v>104</v>
      </c>
      <c r="M7" s="95" t="s">
        <v>108</v>
      </c>
      <c r="N7" s="95" t="s">
        <v>112</v>
      </c>
      <c r="O7" s="95" t="s">
        <v>116</v>
      </c>
      <c r="P7" s="95" t="s">
        <v>120</v>
      </c>
      <c r="Q7" s="95" t="s">
        <v>123</v>
      </c>
      <c r="R7" s="95" t="s">
        <v>126</v>
      </c>
      <c r="S7" s="95" t="s">
        <v>20</v>
      </c>
      <c r="T7" s="95" t="s">
        <v>133</v>
      </c>
      <c r="U7" s="95" t="s">
        <v>137</v>
      </c>
      <c r="V7" s="95" t="s">
        <v>141</v>
      </c>
      <c r="W7" s="95" t="s">
        <v>145</v>
      </c>
      <c r="X7" s="95" t="s">
        <v>149</v>
      </c>
      <c r="Y7" s="95" t="s">
        <v>152</v>
      </c>
      <c r="Z7" s="95" t="s">
        <v>156</v>
      </c>
      <c r="AA7" s="95" t="s">
        <v>25</v>
      </c>
      <c r="AB7" s="95" t="s">
        <v>30</v>
      </c>
      <c r="AC7" s="95" t="s">
        <v>166</v>
      </c>
      <c r="AD7" s="95" t="s">
        <v>1096</v>
      </c>
      <c r="AE7" s="95" t="s">
        <v>170</v>
      </c>
      <c r="AF7" s="95" t="s">
        <v>174</v>
      </c>
      <c r="AG7" s="95" t="s">
        <v>34</v>
      </c>
      <c r="AH7" s="95" t="s">
        <v>181</v>
      </c>
      <c r="AI7" s="95" t="s">
        <v>702</v>
      </c>
      <c r="AJ7" s="95" t="s">
        <v>16</v>
      </c>
      <c r="AK7" s="95" t="s">
        <v>18</v>
      </c>
      <c r="AL7" s="95" t="s">
        <v>182</v>
      </c>
      <c r="AM7" s="95" t="s">
        <v>208</v>
      </c>
      <c r="AN7" s="95" t="s">
        <v>223</v>
      </c>
      <c r="AO7" s="95" t="s">
        <v>226</v>
      </c>
      <c r="AP7" s="95" t="s">
        <v>241</v>
      </c>
      <c r="AQ7" s="95" t="s">
        <v>1097</v>
      </c>
      <c r="AR7" s="95" t="s">
        <v>386</v>
      </c>
      <c r="AS7" s="95" t="s">
        <v>411</v>
      </c>
      <c r="AT7" s="95" t="s">
        <v>472</v>
      </c>
      <c r="AU7" s="95" t="s">
        <v>498</v>
      </c>
      <c r="AV7" s="95" t="s">
        <v>544</v>
      </c>
      <c r="AW7" s="95" t="s">
        <v>662</v>
      </c>
      <c r="AX7" s="95" t="s">
        <v>38</v>
      </c>
      <c r="AY7" s="95" t="s">
        <v>1098</v>
      </c>
      <c r="AZ7" s="95" t="s">
        <v>1099</v>
      </c>
      <c r="BA7" s="95" t="s">
        <v>717</v>
      </c>
      <c r="BB7" s="95" t="s">
        <v>738</v>
      </c>
      <c r="BC7" s="95" t="s">
        <v>1100</v>
      </c>
    </row>
    <row r="8" spans="1:55" x14ac:dyDescent="0.25">
      <c r="A8">
        <f t="shared" ref="A8:A47" si="0">A7+1</f>
        <v>3</v>
      </c>
      <c r="B8" s="95">
        <v>1</v>
      </c>
      <c r="C8" s="94">
        <f>IF($B8&gt;20,IF(EIOPA_RFR!C13*(1%+VLOOKUP($B$27,Int_Rate_Param,2,FALSE))&lt;1%+EIOPA_RFR!C13,1%+EIOPA_RFR!C13,EIOPA_RFR!C13*(1%+VLOOKUP($B$27,Int_Rate_Param,2,FALSE))),IF(EIOPA_RFR!C13*(1%+VLOOKUP($B8,Int_Rate_Param,2,FALSE))&lt;1%+EIOPA_RFR!C13,1%+EIOPA_RFR!C13,EIOPA_RFR!C13*(1%+VLOOKUP($B8,Int_Rate_Param,2,FALSE))))</f>
        <v>6.8199999999999997E-3</v>
      </c>
      <c r="D8" s="94">
        <f>IF($B8&gt;20,IF(EIOPA_RFR!D13*(1%+VLOOKUP($B$27,Int_Rate_Param,2,FALSE))&lt;1%+EIOPA_RFR!D13,1%+EIOPA_RFR!D13,EIOPA_RFR!D13*(1%+VLOOKUP($B$27,Int_Rate_Param,2,FALSE))),IF(EIOPA_RFR!D13*(1%+VLOOKUP($B8,Int_Rate_Param,2,FALSE))&lt;1%+EIOPA_RFR!D13,1%+EIOPA_RFR!D13,EIOPA_RFR!D13*(1%+VLOOKUP($B8,Int_Rate_Param,2,FALSE))))</f>
        <v>6.8199999999999997E-3</v>
      </c>
      <c r="E8" s="94">
        <f>IF($B8&gt;20,IF(EIOPA_RFR!E13*(1%+VLOOKUP($B$27,Int_Rate_Param,2,FALSE))&lt;1%+EIOPA_RFR!E13,1%+EIOPA_RFR!E13,EIOPA_RFR!E13*(1%+VLOOKUP($B$27,Int_Rate_Param,2,FALSE))),IF(EIOPA_RFR!E13*(1%+VLOOKUP($B8,Int_Rate_Param,2,FALSE))&lt;1%+EIOPA_RFR!E13,1%+EIOPA_RFR!E13,EIOPA_RFR!E13*(1%+VLOOKUP($B8,Int_Rate_Param,2,FALSE))))</f>
        <v>6.8199999999999997E-3</v>
      </c>
      <c r="F8" s="94">
        <f>IF($B8&gt;20,IF(EIOPA_RFR!F13*(1%+VLOOKUP($B$27,Int_Rate_Param,2,FALSE))&lt;1%+EIOPA_RFR!F13,1%+EIOPA_RFR!F13,EIOPA_RFR!F13*(1%+VLOOKUP($B$27,Int_Rate_Param,2,FALSE))),IF(EIOPA_RFR!F13*(1%+VLOOKUP($B8,Int_Rate_Param,2,FALSE))&lt;1%+EIOPA_RFR!F13,1%+EIOPA_RFR!F13,EIOPA_RFR!F13*(1%+VLOOKUP($B8,Int_Rate_Param,2,FALSE))))</f>
        <v>6.3200000000000001E-3</v>
      </c>
      <c r="G8" s="94">
        <f>IF($B8&gt;20,IF(EIOPA_RFR!G13*(1%+VLOOKUP($B$27,Int_Rate_Param,2,FALSE))&lt;1%+EIOPA_RFR!G13,1%+EIOPA_RFR!G13,EIOPA_RFR!G13*(1%+VLOOKUP($B$27,Int_Rate_Param,2,FALSE))),IF(EIOPA_RFR!G13*(1%+VLOOKUP($B8,Int_Rate_Param,2,FALSE))&lt;1%+EIOPA_RFR!G13,1%+EIOPA_RFR!G13,EIOPA_RFR!G13*(1%+VLOOKUP($B8,Int_Rate_Param,2,FALSE))))</f>
        <v>1.379E-2</v>
      </c>
      <c r="H8" s="94">
        <f>IF($B8&gt;20,IF(EIOPA_RFR!H13*(1%+VLOOKUP($B$27,Int_Rate_Param,2,FALSE))&lt;1%+EIOPA_RFR!H13,1%+EIOPA_RFR!H13,EIOPA_RFR!H13*(1%+VLOOKUP($B$27,Int_Rate_Param,2,FALSE))),IF(EIOPA_RFR!H13*(1%+VLOOKUP($B8,Int_Rate_Param,2,FALSE))&lt;1%+EIOPA_RFR!H13,1%+EIOPA_RFR!H13,EIOPA_RFR!H13*(1%+VLOOKUP($B8,Int_Rate_Param,2,FALSE))))</f>
        <v>6.8199999999999997E-3</v>
      </c>
      <c r="I8" s="94">
        <f>IF($B8&gt;20,IF(EIOPA_RFR!I13*(1%+VLOOKUP($B$27,Int_Rate_Param,2,FALSE))&lt;1%+EIOPA_RFR!I13,1%+EIOPA_RFR!I13,EIOPA_RFR!I13*(1%+VLOOKUP($B$27,Int_Rate_Param,2,FALSE))),IF(EIOPA_RFR!I13*(1%+VLOOKUP($B8,Int_Rate_Param,2,FALSE))&lt;1%+EIOPA_RFR!I13,1%+EIOPA_RFR!I13,EIOPA_RFR!I13*(1%+VLOOKUP($B8,Int_Rate_Param,2,FALSE))))</f>
        <v>1.197E-2</v>
      </c>
      <c r="J8" s="94">
        <f>IF($B8&gt;20,IF(EIOPA_RFR!J13*(1%+VLOOKUP($B$27,Int_Rate_Param,2,FALSE))&lt;1%+EIOPA_RFR!J13,1%+EIOPA_RFR!J13,EIOPA_RFR!J13*(1%+VLOOKUP($B$27,Int_Rate_Param,2,FALSE))),IF(EIOPA_RFR!J13*(1%+VLOOKUP($B8,Int_Rate_Param,2,FALSE))&lt;1%+EIOPA_RFR!J13,1%+EIOPA_RFR!J13,EIOPA_RFR!J13*(1%+VLOOKUP($B8,Int_Rate_Param,2,FALSE))))</f>
        <v>6.7200000000000003E-3</v>
      </c>
      <c r="K8" s="94">
        <f>IF($B8&gt;20,IF(EIOPA_RFR!K13*(1%+VLOOKUP($B$27,Int_Rate_Param,2,FALSE))&lt;1%+EIOPA_RFR!K13,1%+EIOPA_RFR!K13,EIOPA_RFR!K13*(1%+VLOOKUP($B$27,Int_Rate_Param,2,FALSE))),IF(EIOPA_RFR!K13*(1%+VLOOKUP($B8,Int_Rate_Param,2,FALSE))&lt;1%+EIOPA_RFR!K13,1%+EIOPA_RFR!K13,EIOPA_RFR!K13*(1%+VLOOKUP($B8,Int_Rate_Param,2,FALSE))))</f>
        <v>6.8199999999999997E-3</v>
      </c>
      <c r="L8" s="94">
        <f>IF($B8&gt;20,IF(EIOPA_RFR!L13*(1%+VLOOKUP($B$27,Int_Rate_Param,2,FALSE))&lt;1%+EIOPA_RFR!L13,1%+EIOPA_RFR!L13,EIOPA_RFR!L13*(1%+VLOOKUP($B$27,Int_Rate_Param,2,FALSE))),IF(EIOPA_RFR!L13*(1%+VLOOKUP($B8,Int_Rate_Param,2,FALSE))&lt;1%+EIOPA_RFR!L13,1%+EIOPA_RFR!L13,EIOPA_RFR!L13*(1%+VLOOKUP($B8,Int_Rate_Param,2,FALSE))))</f>
        <v>6.8199999999999997E-3</v>
      </c>
      <c r="M8" s="94">
        <f>IF($B8&gt;20,IF(EIOPA_RFR!M13*(1%+VLOOKUP($B$27,Int_Rate_Param,2,FALSE))&lt;1%+EIOPA_RFR!M13,1%+EIOPA_RFR!M13,EIOPA_RFR!M13*(1%+VLOOKUP($B$27,Int_Rate_Param,2,FALSE))),IF(EIOPA_RFR!M13*(1%+VLOOKUP($B8,Int_Rate_Param,2,FALSE))&lt;1%+EIOPA_RFR!M13,1%+EIOPA_RFR!M13,EIOPA_RFR!M13*(1%+VLOOKUP($B8,Int_Rate_Param,2,FALSE))))</f>
        <v>6.8199999999999997E-3</v>
      </c>
      <c r="N8" s="94">
        <f>IF($B8&gt;20,IF(EIOPA_RFR!N13*(1%+VLOOKUP($B$27,Int_Rate_Param,2,FALSE))&lt;1%+EIOPA_RFR!N13,1%+EIOPA_RFR!N13,EIOPA_RFR!N13*(1%+VLOOKUP($B$27,Int_Rate_Param,2,FALSE))),IF(EIOPA_RFR!N13*(1%+VLOOKUP($B8,Int_Rate_Param,2,FALSE))&lt;1%+EIOPA_RFR!N13,1%+EIOPA_RFR!N13,EIOPA_RFR!N13*(1%+VLOOKUP($B8,Int_Rate_Param,2,FALSE))))</f>
        <v>6.8199999999999997E-3</v>
      </c>
      <c r="O8" s="94">
        <f>IF($B8&gt;20,IF(EIOPA_RFR!O13*(1%+VLOOKUP($B$27,Int_Rate_Param,2,FALSE))&lt;1%+EIOPA_RFR!O13,1%+EIOPA_RFR!O13,EIOPA_RFR!O13*(1%+VLOOKUP($B$27,Int_Rate_Param,2,FALSE))),IF(EIOPA_RFR!O13*(1%+VLOOKUP($B8,Int_Rate_Param,2,FALSE))&lt;1%+EIOPA_RFR!O13,1%+EIOPA_RFR!O13,EIOPA_RFR!O13*(1%+VLOOKUP($B8,Int_Rate_Param,2,FALSE))))</f>
        <v>6.8199999999999997E-3</v>
      </c>
      <c r="P8" s="94">
        <f>IF($B8&gt;20,IF(EIOPA_RFR!P13*(1%+VLOOKUP($B$27,Int_Rate_Param,2,FALSE))&lt;1%+EIOPA_RFR!P13,1%+EIOPA_RFR!P13,EIOPA_RFR!P13*(1%+VLOOKUP($B$27,Int_Rate_Param,2,FALSE))),IF(EIOPA_RFR!P13*(1%+VLOOKUP($B8,Int_Rate_Param,2,FALSE))&lt;1%+EIOPA_RFR!P13,1%+EIOPA_RFR!P13,EIOPA_RFR!P13*(1%+VLOOKUP($B8,Int_Rate_Param,2,FALSE))))</f>
        <v>1.116E-2</v>
      </c>
      <c r="Q8" s="94">
        <f>IF($B8&gt;20,IF(EIOPA_RFR!Q13*(1%+VLOOKUP($B$27,Int_Rate_Param,2,FALSE))&lt;1%+EIOPA_RFR!Q13,1%+EIOPA_RFR!Q13,EIOPA_RFR!Q13*(1%+VLOOKUP($B$27,Int_Rate_Param,2,FALSE))),IF(EIOPA_RFR!Q13*(1%+VLOOKUP($B8,Int_Rate_Param,2,FALSE))&lt;1%+EIOPA_RFR!Q13,1%+EIOPA_RFR!Q13,EIOPA_RFR!Q13*(1%+VLOOKUP($B8,Int_Rate_Param,2,FALSE))))</f>
        <v>5.8349999999999999E-2</v>
      </c>
      <c r="R8" s="94">
        <f>IF($B8&gt;20,IF(EIOPA_RFR!R13*(1%+VLOOKUP($B$27,Int_Rate_Param,2,FALSE))&lt;1%+EIOPA_RFR!R13,1%+EIOPA_RFR!R13,EIOPA_RFR!R13*(1%+VLOOKUP($B$27,Int_Rate_Param,2,FALSE))),IF(EIOPA_RFR!R13*(1%+VLOOKUP($B8,Int_Rate_Param,2,FALSE))&lt;1%+EIOPA_RFR!R13,1%+EIOPA_RFR!R13,EIOPA_RFR!R13*(1%+VLOOKUP($B8,Int_Rate_Param,2,FALSE))))</f>
        <v>6.8199999999999997E-3</v>
      </c>
      <c r="S8" s="94">
        <f>IF($B8&gt;20,IF(EIOPA_RFR!S13*(1%+VLOOKUP($B$27,Int_Rate_Param,2,FALSE))&lt;1%+EIOPA_RFR!S13,1%+EIOPA_RFR!S13,EIOPA_RFR!S13*(1%+VLOOKUP($B$27,Int_Rate_Param,2,FALSE))),IF(EIOPA_RFR!S13*(1%+VLOOKUP($B8,Int_Rate_Param,2,FALSE))&lt;1%+EIOPA_RFR!S13,1%+EIOPA_RFR!S13,EIOPA_RFR!S13*(1%+VLOOKUP($B8,Int_Rate_Param,2,FALSE))))</f>
        <v>6.8199999999999997E-3</v>
      </c>
      <c r="T8" s="94">
        <f>IF($B8&gt;20,IF(EIOPA_RFR!T13*(1%+VLOOKUP($B$27,Int_Rate_Param,2,FALSE))&lt;1%+EIOPA_RFR!T13,1%+EIOPA_RFR!T13,EIOPA_RFR!T13*(1%+VLOOKUP($B$27,Int_Rate_Param,2,FALSE))),IF(EIOPA_RFR!T13*(1%+VLOOKUP($B8,Int_Rate_Param,2,FALSE))&lt;1%+EIOPA_RFR!T13,1%+EIOPA_RFR!T13,EIOPA_RFR!T13*(1%+VLOOKUP($B8,Int_Rate_Param,2,FALSE))))</f>
        <v>6.8199999999999997E-3</v>
      </c>
      <c r="U8" s="94">
        <f>IF($B8&gt;20,IF(EIOPA_RFR!U13*(1%+VLOOKUP($B$27,Int_Rate_Param,2,FALSE))&lt;1%+EIOPA_RFR!U13,1%+EIOPA_RFR!U13,EIOPA_RFR!U13*(1%+VLOOKUP($B$27,Int_Rate_Param,2,FALSE))),IF(EIOPA_RFR!U13*(1%+VLOOKUP($B8,Int_Rate_Param,2,FALSE))&lt;1%+EIOPA_RFR!U13,1%+EIOPA_RFR!U13,EIOPA_RFR!U13*(1%+VLOOKUP($B8,Int_Rate_Param,2,FALSE))))</f>
        <v>2.2000000000000006E-3</v>
      </c>
      <c r="V8" s="94">
        <f>IF($B8&gt;20,IF(EIOPA_RFR!V13*(1%+VLOOKUP($B$27,Int_Rate_Param,2,FALSE))&lt;1%+EIOPA_RFR!V13,1%+EIOPA_RFR!V13,EIOPA_RFR!V13*(1%+VLOOKUP($B$27,Int_Rate_Param,2,FALSE))),IF(EIOPA_RFR!V13*(1%+VLOOKUP($B8,Int_Rate_Param,2,FALSE))&lt;1%+EIOPA_RFR!V13,1%+EIOPA_RFR!V13,EIOPA_RFR!V13*(1%+VLOOKUP($B8,Int_Rate_Param,2,FALSE))))</f>
        <v>6.8199999999999997E-3</v>
      </c>
      <c r="W8" s="94">
        <f>IF($B8&gt;20,IF(EIOPA_RFR!W13*(1%+VLOOKUP($B$27,Int_Rate_Param,2,FALSE))&lt;1%+EIOPA_RFR!W13,1%+EIOPA_RFR!W13,EIOPA_RFR!W13*(1%+VLOOKUP($B$27,Int_Rate_Param,2,FALSE))),IF(EIOPA_RFR!W13*(1%+VLOOKUP($B8,Int_Rate_Param,2,FALSE))&lt;1%+EIOPA_RFR!W13,1%+EIOPA_RFR!W13,EIOPA_RFR!W13*(1%+VLOOKUP($B8,Int_Rate_Param,2,FALSE))))</f>
        <v>6.8199999999999997E-3</v>
      </c>
      <c r="X8" s="94">
        <f>IF($B8&gt;20,IF(EIOPA_RFR!X13*(1%+VLOOKUP($B$27,Int_Rate_Param,2,FALSE))&lt;1%+EIOPA_RFR!X13,1%+EIOPA_RFR!X13,EIOPA_RFR!X13*(1%+VLOOKUP($B$27,Int_Rate_Param,2,FALSE))),IF(EIOPA_RFR!X13*(1%+VLOOKUP($B8,Int_Rate_Param,2,FALSE))&lt;1%+EIOPA_RFR!X13,1%+EIOPA_RFR!X13,EIOPA_RFR!X13*(1%+VLOOKUP($B8,Int_Rate_Param,2,FALSE))))</f>
        <v>6.8199999999999997E-3</v>
      </c>
      <c r="Y8" s="94">
        <f>IF($B8&gt;20,IF(EIOPA_RFR!Y13*(1%+VLOOKUP($B$27,Int_Rate_Param,2,FALSE))&lt;1%+EIOPA_RFR!Y13,1%+EIOPA_RFR!Y13,EIOPA_RFR!Y13*(1%+VLOOKUP($B$27,Int_Rate_Param,2,FALSE))),IF(EIOPA_RFR!Y13*(1%+VLOOKUP($B8,Int_Rate_Param,2,FALSE))&lt;1%+EIOPA_RFR!Y13,1%+EIOPA_RFR!Y13,EIOPA_RFR!Y13*(1%+VLOOKUP($B8,Int_Rate_Param,2,FALSE))))</f>
        <v>6.8199999999999997E-3</v>
      </c>
      <c r="Z8" s="94">
        <f>IF($B8&gt;20,IF(EIOPA_RFR!Z13*(1%+VLOOKUP($B$27,Int_Rate_Param,2,FALSE))&lt;1%+EIOPA_RFR!Z13,1%+EIOPA_RFR!Z13,EIOPA_RFR!Z13*(1%+VLOOKUP($B$27,Int_Rate_Param,2,FALSE))),IF(EIOPA_RFR!Z13*(1%+VLOOKUP($B8,Int_Rate_Param,2,FALSE))&lt;1%+EIOPA_RFR!Z13,1%+EIOPA_RFR!Z13,EIOPA_RFR!Z13*(1%+VLOOKUP($B8,Int_Rate_Param,2,FALSE))))</f>
        <v>1.9E-2</v>
      </c>
      <c r="AA8" s="94">
        <f>IF($B8&gt;20,IF(EIOPA_RFR!AA13*(1%+VLOOKUP($B$27,Int_Rate_Param,2,FALSE))&lt;1%+EIOPA_RFR!AA13,1%+EIOPA_RFR!AA13,EIOPA_RFR!AA13*(1%+VLOOKUP($B$27,Int_Rate_Param,2,FALSE))),IF(EIOPA_RFR!AA13*(1%+VLOOKUP($B8,Int_Rate_Param,2,FALSE))&lt;1%+EIOPA_RFR!AA13,1%+EIOPA_RFR!AA13,EIOPA_RFR!AA13*(1%+VLOOKUP($B8,Int_Rate_Param,2,FALSE))))</f>
        <v>2.4510000000000001E-2</v>
      </c>
      <c r="AB8" s="94">
        <f>IF($B8&gt;20,IF(EIOPA_RFR!AB13*(1%+VLOOKUP($B$27,Int_Rate_Param,2,FALSE))&lt;1%+EIOPA_RFR!AB13,1%+EIOPA_RFR!AB13,EIOPA_RFR!AB13*(1%+VLOOKUP($B$27,Int_Rate_Param,2,FALSE))),IF(EIOPA_RFR!AB13*(1%+VLOOKUP($B8,Int_Rate_Param,2,FALSE))&lt;1%+EIOPA_RFR!AB13,1%+EIOPA_RFR!AB13,EIOPA_RFR!AB13*(1%+VLOOKUP($B8,Int_Rate_Param,2,FALSE))))</f>
        <v>6.8199999999999997E-3</v>
      </c>
      <c r="AC8" s="94">
        <f>IF($B8&gt;20,IF(EIOPA_RFR!AC13*(1%+VLOOKUP($B$27,Int_Rate_Param,2,FALSE))&lt;1%+EIOPA_RFR!AC13,1%+EIOPA_RFR!AC13,EIOPA_RFR!AC13*(1%+VLOOKUP($B$27,Int_Rate_Param,2,FALSE))),IF(EIOPA_RFR!AC13*(1%+VLOOKUP($B8,Int_Rate_Param,2,FALSE))&lt;1%+EIOPA_RFR!AC13,1%+EIOPA_RFR!AC13,EIOPA_RFR!AC13*(1%+VLOOKUP($B8,Int_Rate_Param,2,FALSE))))</f>
        <v>1.959E-2</v>
      </c>
      <c r="AD8" s="94">
        <f>IF($B8&gt;20,IF(EIOPA_RFR!AD13*(1%+VLOOKUP($B$27,Int_Rate_Param,2,FALSE))&lt;1%+EIOPA_RFR!AD13,1%+EIOPA_RFR!AD13,EIOPA_RFR!AD13*(1%+VLOOKUP($B$27,Int_Rate_Param,2,FALSE))),IF(EIOPA_RFR!AD13*(1%+VLOOKUP($B8,Int_Rate_Param,2,FALSE))&lt;1%+EIOPA_RFR!AD13,1%+EIOPA_RFR!AD13,EIOPA_RFR!AD13*(1%+VLOOKUP($B8,Int_Rate_Param,2,FALSE))))</f>
        <v>0.10575</v>
      </c>
      <c r="AE8" s="94">
        <f>IF($B8&gt;20,IF(EIOPA_RFR!AE13*(1%+VLOOKUP($B$27,Int_Rate_Param,2,FALSE))&lt;1%+EIOPA_RFR!AE13,1%+EIOPA_RFR!AE13,EIOPA_RFR!AE13*(1%+VLOOKUP($B$27,Int_Rate_Param,2,FALSE))),IF(EIOPA_RFR!AE13*(1%+VLOOKUP($B8,Int_Rate_Param,2,FALSE))&lt;1%+EIOPA_RFR!AE13,1%+EIOPA_RFR!AE13,EIOPA_RFR!AE13*(1%+VLOOKUP($B8,Int_Rate_Param,2,FALSE))))</f>
        <v>6.8199999999999997E-3</v>
      </c>
      <c r="AF8" s="94">
        <f>IF($B8&gt;20,IF(EIOPA_RFR!AF13*(1%+VLOOKUP($B$27,Int_Rate_Param,2,FALSE))&lt;1%+EIOPA_RFR!AF13,1%+EIOPA_RFR!AF13,EIOPA_RFR!AF13*(1%+VLOOKUP($B$27,Int_Rate_Param,2,FALSE))),IF(EIOPA_RFR!AF13*(1%+VLOOKUP($B8,Int_Rate_Param,2,FALSE))&lt;1%+EIOPA_RFR!AF13,1%+EIOPA_RFR!AF13,EIOPA_RFR!AF13*(1%+VLOOKUP($B8,Int_Rate_Param,2,FALSE))))</f>
        <v>6.8199999999999997E-3</v>
      </c>
      <c r="AG8" s="94">
        <f>IF($B8&gt;20,IF(EIOPA_RFR!AG13*(1%+VLOOKUP($B$27,Int_Rate_Param,2,FALSE))&lt;1%+EIOPA_RFR!AG13,1%+EIOPA_RFR!AG13,EIOPA_RFR!AG13*(1%+VLOOKUP($B$27,Int_Rate_Param,2,FALSE))),IF(EIOPA_RFR!AG13*(1%+VLOOKUP($B8,Int_Rate_Param,2,FALSE))&lt;1%+EIOPA_RFR!AG13,1%+EIOPA_RFR!AG13,EIOPA_RFR!AG13*(1%+VLOOKUP($B8,Int_Rate_Param,2,FALSE))))</f>
        <v>6.8199999999999997E-3</v>
      </c>
      <c r="AH8" s="94">
        <f>IF($B8&gt;20,IF(EIOPA_RFR!AH13*(1%+VLOOKUP($B$27,Int_Rate_Param,2,FALSE))&lt;1%+EIOPA_RFR!AH13,1%+EIOPA_RFR!AH13,EIOPA_RFR!AH13*(1%+VLOOKUP($B$27,Int_Rate_Param,2,FALSE))),IF(EIOPA_RFR!AH13*(1%+VLOOKUP($B8,Int_Rate_Param,2,FALSE))&lt;1%+EIOPA_RFR!AH13,1%+EIOPA_RFR!AH13,EIOPA_RFR!AH13*(1%+VLOOKUP($B8,Int_Rate_Param,2,FALSE))))</f>
        <v>4.5799999999999999E-3</v>
      </c>
      <c r="AI8" s="94">
        <f>IF($B8&gt;20,IF(EIOPA_RFR!AI13*(1%+VLOOKUP($B$27,Int_Rate_Param,2,FALSE))&lt;1%+EIOPA_RFR!AI13,1%+EIOPA_RFR!AI13,EIOPA_RFR!AI13*(1%+VLOOKUP($B$27,Int_Rate_Param,2,FALSE))),IF(EIOPA_RFR!AI13*(1%+VLOOKUP($B8,Int_Rate_Param,2,FALSE))&lt;1%+EIOPA_RFR!AI13,1%+EIOPA_RFR!AI13,EIOPA_RFR!AI13*(1%+VLOOKUP($B8,Int_Rate_Param,2,FALSE))))</f>
        <v>2.2000000000000006E-3</v>
      </c>
      <c r="AJ8" s="94">
        <f>IF($B8&gt;20,IF(EIOPA_RFR!AJ13*(1%+VLOOKUP($B$27,Int_Rate_Param,2,FALSE))&lt;1%+EIOPA_RFR!AJ13,1%+EIOPA_RFR!AJ13,EIOPA_RFR!AJ13*(1%+VLOOKUP($B$27,Int_Rate_Param,2,FALSE))),IF(EIOPA_RFR!AJ13*(1%+VLOOKUP($B8,Int_Rate_Param,2,FALSE))&lt;1%+EIOPA_RFR!AJ13,1%+EIOPA_RFR!AJ13,EIOPA_RFR!AJ13*(1%+VLOOKUP($B8,Int_Rate_Param,2,FALSE))))</f>
        <v>1.3639999999999999E-2</v>
      </c>
      <c r="AK8" s="94">
        <f>IF($B8&gt;20,IF(EIOPA_RFR!AK13*(1%+VLOOKUP($B$27,Int_Rate_Param,2,FALSE))&lt;1%+EIOPA_RFR!AK13,1%+EIOPA_RFR!AK13,EIOPA_RFR!AK13*(1%+VLOOKUP($B$27,Int_Rate_Param,2,FALSE))),IF(EIOPA_RFR!AK13*(1%+VLOOKUP($B8,Int_Rate_Param,2,FALSE))&lt;1%+EIOPA_RFR!AK13,1%+EIOPA_RFR!AK13,EIOPA_RFR!AK13*(1%+VLOOKUP($B8,Int_Rate_Param,2,FALSE))))</f>
        <v>2.826E-2</v>
      </c>
      <c r="AL8" s="94">
        <f>IF($B8&gt;20,IF(EIOPA_RFR!AL13*(1%+VLOOKUP($B$27,Int_Rate_Param,2,FALSE))&lt;1%+EIOPA_RFR!AL13,1%+EIOPA_RFR!AL13,EIOPA_RFR!AL13*(1%+VLOOKUP($B$27,Int_Rate_Param,2,FALSE))),IF(EIOPA_RFR!AL13*(1%+VLOOKUP($B8,Int_Rate_Param,2,FALSE))&lt;1%+EIOPA_RFR!AL13,1%+EIOPA_RFR!AL13,EIOPA_RFR!AL13*(1%+VLOOKUP($B8,Int_Rate_Param,2,FALSE))))</f>
        <v>0.1011</v>
      </c>
      <c r="AM8" s="94">
        <f>IF($B8&gt;20,IF(EIOPA_RFR!AM13*(1%+VLOOKUP($B$27,Int_Rate_Param,2,FALSE))&lt;1%+EIOPA_RFR!AM13,1%+EIOPA_RFR!AM13,EIOPA_RFR!AM13*(1%+VLOOKUP($B$27,Int_Rate_Param,2,FALSE))),IF(EIOPA_RFR!AM13*(1%+VLOOKUP($B8,Int_Rate_Param,2,FALSE))&lt;1%+EIOPA_RFR!AM13,1%+EIOPA_RFR!AM13,EIOPA_RFR!AM13*(1%+VLOOKUP($B8,Int_Rate_Param,2,FALSE))))</f>
        <v>1.779E-2</v>
      </c>
      <c r="AN8" s="94">
        <f>IF($B8&gt;20,IF(EIOPA_RFR!AN13*(1%+VLOOKUP($B$27,Int_Rate_Param,2,FALSE))&lt;1%+EIOPA_RFR!AN13,1%+EIOPA_RFR!AN13,EIOPA_RFR!AN13*(1%+VLOOKUP($B$27,Int_Rate_Param,2,FALSE))),IF(EIOPA_RFR!AN13*(1%+VLOOKUP($B8,Int_Rate_Param,2,FALSE))&lt;1%+EIOPA_RFR!AN13,1%+EIOPA_RFR!AN13,EIOPA_RFR!AN13*(1%+VLOOKUP($B8,Int_Rate_Param,2,FALSE))))</f>
        <v>3.4549999999999997E-2</v>
      </c>
      <c r="AO8" s="94">
        <f>IF($B8&gt;20,IF(EIOPA_RFR!AO13*(1%+VLOOKUP($B$27,Int_Rate_Param,2,FALSE))&lt;1%+EIOPA_RFR!AO13,1%+EIOPA_RFR!AO13,EIOPA_RFR!AO13*(1%+VLOOKUP($B$27,Int_Rate_Param,2,FALSE))),IF(EIOPA_RFR!AO13*(1%+VLOOKUP($B8,Int_Rate_Param,2,FALSE))&lt;1%+EIOPA_RFR!AO13,1%+EIOPA_RFR!AO13,EIOPA_RFR!AO13*(1%+VLOOKUP($B8,Int_Rate_Param,2,FALSE))))</f>
        <v>4.308E-2</v>
      </c>
      <c r="AP8" s="94">
        <f>IF($B8&gt;20,IF(EIOPA_RFR!AP13*(1%+VLOOKUP($B$27,Int_Rate_Param,2,FALSE))&lt;1%+EIOPA_RFR!AP13,1%+EIOPA_RFR!AP13,EIOPA_RFR!AP13*(1%+VLOOKUP($B$27,Int_Rate_Param,2,FALSE))),IF(EIOPA_RFR!AP13*(1%+VLOOKUP($B8,Int_Rate_Param,2,FALSE))&lt;1%+EIOPA_RFR!AP13,1%+EIOPA_RFR!AP13,EIOPA_RFR!AP13*(1%+VLOOKUP($B8,Int_Rate_Param,2,FALSE))))</f>
        <v>6.3219999999999998E-2</v>
      </c>
      <c r="AQ8" s="94">
        <f>IF($B8&gt;20,IF(EIOPA_RFR!AQ13*(1%+VLOOKUP($B$27,Int_Rate_Param,2,FALSE))&lt;1%+EIOPA_RFR!AQ13,1%+EIOPA_RFR!AQ13,EIOPA_RFR!AQ13*(1%+VLOOKUP($B$27,Int_Rate_Param,2,FALSE))),IF(EIOPA_RFR!AQ13*(1%+VLOOKUP($B8,Int_Rate_Param,2,FALSE))&lt;1%+EIOPA_RFR!AQ13,1%+EIOPA_RFR!AQ13,EIOPA_RFR!AQ13*(1%+VLOOKUP($B8,Int_Rate_Param,2,FALSE))))</f>
        <v>2.0650000000000002E-2</v>
      </c>
      <c r="AR8" s="94">
        <f>IF($B8&gt;20,IF(EIOPA_RFR!AR13*(1%+VLOOKUP($B$27,Int_Rate_Param,2,FALSE))&lt;1%+EIOPA_RFR!AR13,1%+EIOPA_RFR!AR13,EIOPA_RFR!AR13*(1%+VLOOKUP($B$27,Int_Rate_Param,2,FALSE))),IF(EIOPA_RFR!AR13*(1%+VLOOKUP($B8,Int_Rate_Param,2,FALSE))&lt;1%+EIOPA_RFR!AR13,1%+EIOPA_RFR!AR13,EIOPA_RFR!AR13*(1%+VLOOKUP($B8,Int_Rate_Param,2,FALSE))))</f>
        <v>6.9199999999999998E-2</v>
      </c>
      <c r="AS8" s="94">
        <f>IF($B8&gt;20,IF(EIOPA_RFR!AS13*(1%+VLOOKUP($B$27,Int_Rate_Param,2,FALSE))&lt;1%+EIOPA_RFR!AS13,1%+EIOPA_RFR!AS13,EIOPA_RFR!AS13*(1%+VLOOKUP($B$27,Int_Rate_Param,2,FALSE))),IF(EIOPA_RFR!AS13*(1%+VLOOKUP($B8,Int_Rate_Param,2,FALSE))&lt;1%+EIOPA_RFR!AS13,1%+EIOPA_RFR!AS13,EIOPA_RFR!AS13*(1%+VLOOKUP($B8,Int_Rate_Param,2,FALSE))))</f>
        <v>9.4500000000000001E-3</v>
      </c>
      <c r="AT8" s="94">
        <f>IF($B8&gt;20,IF(EIOPA_RFR!AT13*(1%+VLOOKUP($B$27,Int_Rate_Param,2,FALSE))&lt;1%+EIOPA_RFR!AT13,1%+EIOPA_RFR!AT13,EIOPA_RFR!AT13*(1%+VLOOKUP($B$27,Int_Rate_Param,2,FALSE))),IF(EIOPA_RFR!AT13*(1%+VLOOKUP($B8,Int_Rate_Param,2,FALSE))&lt;1%+EIOPA_RFR!AT13,1%+EIOPA_RFR!AT13,EIOPA_RFR!AT13*(1%+VLOOKUP($B8,Int_Rate_Param,2,FALSE))))</f>
        <v>4.3770000000000003E-2</v>
      </c>
      <c r="AU8" s="94">
        <f>IF($B8&gt;20,IF(EIOPA_RFR!AU13*(1%+VLOOKUP($B$27,Int_Rate_Param,2,FALSE))&lt;1%+EIOPA_RFR!AU13,1%+EIOPA_RFR!AU13,EIOPA_RFR!AU13*(1%+VLOOKUP($B$27,Int_Rate_Param,2,FALSE))),IF(EIOPA_RFR!AU13*(1%+VLOOKUP($B8,Int_Rate_Param,2,FALSE))&lt;1%+EIOPA_RFR!AU13,1%+EIOPA_RFR!AU13,EIOPA_RFR!AU13*(1%+VLOOKUP($B8,Int_Rate_Param,2,FALSE))))</f>
        <v>7.9989999999999992E-2</v>
      </c>
      <c r="AV8" s="94">
        <f>IF($B8&gt;20,IF(EIOPA_RFR!AV13*(1%+VLOOKUP($B$27,Int_Rate_Param,2,FALSE))&lt;1%+EIOPA_RFR!AV13,1%+EIOPA_RFR!AV13,EIOPA_RFR!AV13*(1%+VLOOKUP($B$27,Int_Rate_Param,2,FALSE))),IF(EIOPA_RFR!AV13*(1%+VLOOKUP($B8,Int_Rate_Param,2,FALSE))&lt;1%+EIOPA_RFR!AV13,1%+EIOPA_RFR!AV13,EIOPA_RFR!AV13*(1%+VLOOKUP($B8,Int_Rate_Param,2,FALSE))))</f>
        <v>2.8589999999999997E-2</v>
      </c>
      <c r="AW8" s="94">
        <f>IF($B8&gt;20,IF(EIOPA_RFR!AW13*(1%+VLOOKUP($B$27,Int_Rate_Param,2,FALSE))&lt;1%+EIOPA_RFR!AW13,1%+EIOPA_RFR!AW13,EIOPA_RFR!AW13*(1%+VLOOKUP($B$27,Int_Rate_Param,2,FALSE))),IF(EIOPA_RFR!AW13*(1%+VLOOKUP($B8,Int_Rate_Param,2,FALSE))&lt;1%+EIOPA_RFR!AW13,1%+EIOPA_RFR!AW13,EIOPA_RFR!AW13*(1%+VLOOKUP($B8,Int_Rate_Param,2,FALSE))))</f>
        <v>2.1129999999999999E-2</v>
      </c>
      <c r="AX8" s="94">
        <f>IF($B8&gt;20,IF(EIOPA_RFR!AX13*(1%+VLOOKUP($B$27,Int_Rate_Param,2,FALSE))&lt;1%+EIOPA_RFR!AX13,1%+EIOPA_RFR!AX13,EIOPA_RFR!AX13*(1%+VLOOKUP($B$27,Int_Rate_Param,2,FALSE))),IF(EIOPA_RFR!AX13*(1%+VLOOKUP($B8,Int_Rate_Param,2,FALSE))&lt;1%+EIOPA_RFR!AX13,1%+EIOPA_RFR!AX13,EIOPA_RFR!AX13*(1%+VLOOKUP($B8,Int_Rate_Param,2,FALSE))))</f>
        <v>8.1859999999999988E-2</v>
      </c>
      <c r="AY8" s="94">
        <f>IF($B8&gt;20,IF(EIOPA_RFR!AY13*(1%+VLOOKUP($B$27,Int_Rate_Param,2,FALSE))&lt;1%+EIOPA_RFR!AY13,1%+EIOPA_RFR!AY13,EIOPA_RFR!AY13*(1%+VLOOKUP($B$27,Int_Rate_Param,2,FALSE))),IF(EIOPA_RFR!AY13*(1%+VLOOKUP($B8,Int_Rate_Param,2,FALSE))&lt;1%+EIOPA_RFR!AY13,1%+EIOPA_RFR!AY13,EIOPA_RFR!AY13*(1%+VLOOKUP($B8,Int_Rate_Param,2,FALSE))))</f>
        <v>2.3539999999999998E-2</v>
      </c>
      <c r="AZ8" s="94">
        <f>IF($B8&gt;20,IF(EIOPA_RFR!AZ13*(1%+VLOOKUP($B$27,Int_Rate_Param,2,FALSE))&lt;1%+EIOPA_RFR!AZ13,1%+EIOPA_RFR!AZ13,EIOPA_RFR!AZ13*(1%+VLOOKUP($B$27,Int_Rate_Param,2,FALSE))),IF(EIOPA_RFR!AZ13*(1%+VLOOKUP($B8,Int_Rate_Param,2,FALSE))&lt;1%+EIOPA_RFR!AZ13,1%+EIOPA_RFR!AZ13,EIOPA_RFR!AZ13*(1%+VLOOKUP($B8,Int_Rate_Param,2,FALSE))))</f>
        <v>1.406E-2</v>
      </c>
      <c r="BA8" s="94">
        <f>IF($B8&gt;20,IF(EIOPA_RFR!BA13*(1%+VLOOKUP($B$27,Int_Rate_Param,2,FALSE))&lt;1%+EIOPA_RFR!BA13,1%+EIOPA_RFR!BA13,EIOPA_RFR!BA13*(1%+VLOOKUP($B$27,Int_Rate_Param,2,FALSE))),IF(EIOPA_RFR!BA13*(1%+VLOOKUP($B8,Int_Rate_Param,2,FALSE))&lt;1%+EIOPA_RFR!BA13,1%+EIOPA_RFR!BA13,EIOPA_RFR!BA13*(1%+VLOOKUP($B8,Int_Rate_Param,2,FALSE))))</f>
        <v>2.4199999999999999E-2</v>
      </c>
      <c r="BB8" s="94">
        <f>IF($B8&gt;20,IF(EIOPA_RFR!BB13*(1%+VLOOKUP($B$27,Int_Rate_Param,2,FALSE))&lt;1%+EIOPA_RFR!BB13,1%+EIOPA_RFR!BB13,EIOPA_RFR!BB13*(1%+VLOOKUP($B$27,Int_Rate_Param,2,FALSE))),IF(EIOPA_RFR!BB13*(1%+VLOOKUP($B8,Int_Rate_Param,2,FALSE))&lt;1%+EIOPA_RFR!BB13,1%+EIOPA_RFR!BB13,EIOPA_RFR!BB13*(1%+VLOOKUP($B8,Int_Rate_Param,2,FALSE))))</f>
        <v>0.13239999999999999</v>
      </c>
      <c r="BC8" s="94">
        <f>IF($B8&gt;20,IF(EIOPA_RFR!BC13*(1%+VLOOKUP($B$27,Int_Rate_Param,2,FALSE))&lt;1%+EIOPA_RFR!BC13,1%+EIOPA_RFR!BC13,EIOPA_RFR!BC13*(1%+VLOOKUP($B$27,Int_Rate_Param,2,FALSE))),IF(EIOPA_RFR!BC13*(1%+VLOOKUP($B8,Int_Rate_Param,2,FALSE))&lt;1%+EIOPA_RFR!BC13,1%+EIOPA_RFR!BC13,EIOPA_RFR!BC13*(1%+VLOOKUP($B8,Int_Rate_Param,2,FALSE))))</f>
        <v>2.2280000000000001E-2</v>
      </c>
    </row>
    <row r="9" spans="1:55" x14ac:dyDescent="0.25">
      <c r="A9">
        <f t="shared" si="0"/>
        <v>4</v>
      </c>
      <c r="B9" s="95">
        <v>2</v>
      </c>
      <c r="C9" s="94">
        <f>IF($B9&gt;20,IF(EIOPA_RFR!C14*(1%+VLOOKUP($B$27,Int_Rate_Param,2,FALSE))&lt;1%+EIOPA_RFR!C14,1%+EIOPA_RFR!C14,EIOPA_RFR!C14*(1%+VLOOKUP($B$27,Int_Rate_Param,2,FALSE))),IF(EIOPA_RFR!C14*(1%+VLOOKUP($B9,Int_Rate_Param,2,FALSE))&lt;1%+EIOPA_RFR!C14,1%+EIOPA_RFR!C14,EIOPA_RFR!C14*(1%+VLOOKUP($B9,Int_Rate_Param,2,FALSE))))</f>
        <v>7.7000000000000002E-3</v>
      </c>
      <c r="D9" s="94">
        <f>IF($B9&gt;20,IF(EIOPA_RFR!D14*(1%+VLOOKUP($B$27,Int_Rate_Param,2,FALSE))&lt;1%+EIOPA_RFR!D14,1%+EIOPA_RFR!D14,EIOPA_RFR!D14*(1%+VLOOKUP($B$27,Int_Rate_Param,2,FALSE))),IF(EIOPA_RFR!D14*(1%+VLOOKUP($B9,Int_Rate_Param,2,FALSE))&lt;1%+EIOPA_RFR!D14,1%+EIOPA_RFR!D14,EIOPA_RFR!D14*(1%+VLOOKUP($B9,Int_Rate_Param,2,FALSE))))</f>
        <v>7.7000000000000002E-3</v>
      </c>
      <c r="E9" s="94">
        <f>IF($B9&gt;20,IF(EIOPA_RFR!E14*(1%+VLOOKUP($B$27,Int_Rate_Param,2,FALSE))&lt;1%+EIOPA_RFR!E14,1%+EIOPA_RFR!E14,EIOPA_RFR!E14*(1%+VLOOKUP($B$27,Int_Rate_Param,2,FALSE))),IF(EIOPA_RFR!E14*(1%+VLOOKUP($B9,Int_Rate_Param,2,FALSE))&lt;1%+EIOPA_RFR!E14,1%+EIOPA_RFR!E14,EIOPA_RFR!E14*(1%+VLOOKUP($B9,Int_Rate_Param,2,FALSE))))</f>
        <v>7.7000000000000002E-3</v>
      </c>
      <c r="F9" s="94">
        <f>IF($B9&gt;20,IF(EIOPA_RFR!F14*(1%+VLOOKUP($B$27,Int_Rate_Param,2,FALSE))&lt;1%+EIOPA_RFR!F14,1%+EIOPA_RFR!F14,EIOPA_RFR!F14*(1%+VLOOKUP($B$27,Int_Rate_Param,2,FALSE))),IF(EIOPA_RFR!F14*(1%+VLOOKUP($B9,Int_Rate_Param,2,FALSE))&lt;1%+EIOPA_RFR!F14,1%+EIOPA_RFR!F14,EIOPA_RFR!F14*(1%+VLOOKUP($B9,Int_Rate_Param,2,FALSE))))</f>
        <v>7.1999999999999998E-3</v>
      </c>
      <c r="G9" s="94">
        <f>IF($B9&gt;20,IF(EIOPA_RFR!G14*(1%+VLOOKUP($B$27,Int_Rate_Param,2,FALSE))&lt;1%+EIOPA_RFR!G14,1%+EIOPA_RFR!G14,EIOPA_RFR!G14*(1%+VLOOKUP($B$27,Int_Rate_Param,2,FALSE))),IF(EIOPA_RFR!G14*(1%+VLOOKUP($B9,Int_Rate_Param,2,FALSE))&lt;1%+EIOPA_RFR!G14,1%+EIOPA_RFR!G14,EIOPA_RFR!G14*(1%+VLOOKUP($B9,Int_Rate_Param,2,FALSE))))</f>
        <v>2.0139999999999998E-2</v>
      </c>
      <c r="H9" s="94">
        <f>IF($B9&gt;20,IF(EIOPA_RFR!H14*(1%+VLOOKUP($B$27,Int_Rate_Param,2,FALSE))&lt;1%+EIOPA_RFR!H14,1%+EIOPA_RFR!H14,EIOPA_RFR!H14*(1%+VLOOKUP($B$27,Int_Rate_Param,2,FALSE))),IF(EIOPA_RFR!H14*(1%+VLOOKUP($B9,Int_Rate_Param,2,FALSE))&lt;1%+EIOPA_RFR!H14,1%+EIOPA_RFR!H14,EIOPA_RFR!H14*(1%+VLOOKUP($B9,Int_Rate_Param,2,FALSE))))</f>
        <v>7.7000000000000002E-3</v>
      </c>
      <c r="I9" s="94">
        <f>IF($B9&gt;20,IF(EIOPA_RFR!I14*(1%+VLOOKUP($B$27,Int_Rate_Param,2,FALSE))&lt;1%+EIOPA_RFR!I14,1%+EIOPA_RFR!I14,EIOPA_RFR!I14*(1%+VLOOKUP($B$27,Int_Rate_Param,2,FALSE))),IF(EIOPA_RFR!I14*(1%+VLOOKUP($B9,Int_Rate_Param,2,FALSE))&lt;1%+EIOPA_RFR!I14,1%+EIOPA_RFR!I14,EIOPA_RFR!I14*(1%+VLOOKUP($B9,Int_Rate_Param,2,FALSE))))</f>
        <v>1.35E-2</v>
      </c>
      <c r="J9" s="94">
        <f>IF($B9&gt;20,IF(EIOPA_RFR!J14*(1%+VLOOKUP($B$27,Int_Rate_Param,2,FALSE))&lt;1%+EIOPA_RFR!J14,1%+EIOPA_RFR!J14,EIOPA_RFR!J14*(1%+VLOOKUP($B$27,Int_Rate_Param,2,FALSE))),IF(EIOPA_RFR!J14*(1%+VLOOKUP($B9,Int_Rate_Param,2,FALSE))&lt;1%+EIOPA_RFR!J14,1%+EIOPA_RFR!J14,EIOPA_RFR!J14*(1%+VLOOKUP($B9,Int_Rate_Param,2,FALSE))))</f>
        <v>7.6000000000000009E-3</v>
      </c>
      <c r="K9" s="94">
        <f>IF($B9&gt;20,IF(EIOPA_RFR!K14*(1%+VLOOKUP($B$27,Int_Rate_Param,2,FALSE))&lt;1%+EIOPA_RFR!K14,1%+EIOPA_RFR!K14,EIOPA_RFR!K14*(1%+VLOOKUP($B$27,Int_Rate_Param,2,FALSE))),IF(EIOPA_RFR!K14*(1%+VLOOKUP($B9,Int_Rate_Param,2,FALSE))&lt;1%+EIOPA_RFR!K14,1%+EIOPA_RFR!K14,EIOPA_RFR!K14*(1%+VLOOKUP($B9,Int_Rate_Param,2,FALSE))))</f>
        <v>7.7000000000000002E-3</v>
      </c>
      <c r="L9" s="94">
        <f>IF($B9&gt;20,IF(EIOPA_RFR!L14*(1%+VLOOKUP($B$27,Int_Rate_Param,2,FALSE))&lt;1%+EIOPA_RFR!L14,1%+EIOPA_RFR!L14,EIOPA_RFR!L14*(1%+VLOOKUP($B$27,Int_Rate_Param,2,FALSE))),IF(EIOPA_RFR!L14*(1%+VLOOKUP($B9,Int_Rate_Param,2,FALSE))&lt;1%+EIOPA_RFR!L14,1%+EIOPA_RFR!L14,EIOPA_RFR!L14*(1%+VLOOKUP($B9,Int_Rate_Param,2,FALSE))))</f>
        <v>7.7000000000000002E-3</v>
      </c>
      <c r="M9" s="94">
        <f>IF($B9&gt;20,IF(EIOPA_RFR!M14*(1%+VLOOKUP($B$27,Int_Rate_Param,2,FALSE))&lt;1%+EIOPA_RFR!M14,1%+EIOPA_RFR!M14,EIOPA_RFR!M14*(1%+VLOOKUP($B$27,Int_Rate_Param,2,FALSE))),IF(EIOPA_RFR!M14*(1%+VLOOKUP($B9,Int_Rate_Param,2,FALSE))&lt;1%+EIOPA_RFR!M14,1%+EIOPA_RFR!M14,EIOPA_RFR!M14*(1%+VLOOKUP($B9,Int_Rate_Param,2,FALSE))))</f>
        <v>7.7000000000000002E-3</v>
      </c>
      <c r="N9" s="94">
        <f>IF($B9&gt;20,IF(EIOPA_RFR!N14*(1%+VLOOKUP($B$27,Int_Rate_Param,2,FALSE))&lt;1%+EIOPA_RFR!N14,1%+EIOPA_RFR!N14,EIOPA_RFR!N14*(1%+VLOOKUP($B$27,Int_Rate_Param,2,FALSE))),IF(EIOPA_RFR!N14*(1%+VLOOKUP($B9,Int_Rate_Param,2,FALSE))&lt;1%+EIOPA_RFR!N14,1%+EIOPA_RFR!N14,EIOPA_RFR!N14*(1%+VLOOKUP($B9,Int_Rate_Param,2,FALSE))))</f>
        <v>7.7000000000000002E-3</v>
      </c>
      <c r="O9" s="94">
        <f>IF($B9&gt;20,IF(EIOPA_RFR!O14*(1%+VLOOKUP($B$27,Int_Rate_Param,2,FALSE))&lt;1%+EIOPA_RFR!O14,1%+EIOPA_RFR!O14,EIOPA_RFR!O14*(1%+VLOOKUP($B$27,Int_Rate_Param,2,FALSE))),IF(EIOPA_RFR!O14*(1%+VLOOKUP($B9,Int_Rate_Param,2,FALSE))&lt;1%+EIOPA_RFR!O14,1%+EIOPA_RFR!O14,EIOPA_RFR!O14*(1%+VLOOKUP($B9,Int_Rate_Param,2,FALSE))))</f>
        <v>7.7000000000000002E-3</v>
      </c>
      <c r="P9" s="94">
        <f>IF($B9&gt;20,IF(EIOPA_RFR!P14*(1%+VLOOKUP($B$27,Int_Rate_Param,2,FALSE))&lt;1%+EIOPA_RFR!P14,1%+EIOPA_RFR!P14,EIOPA_RFR!P14*(1%+VLOOKUP($B$27,Int_Rate_Param,2,FALSE))),IF(EIOPA_RFR!P14*(1%+VLOOKUP($B9,Int_Rate_Param,2,FALSE))&lt;1%+EIOPA_RFR!P14,1%+EIOPA_RFR!P14,EIOPA_RFR!P14*(1%+VLOOKUP($B9,Int_Rate_Param,2,FALSE))))</f>
        <v>1.7479999999999999E-2</v>
      </c>
      <c r="Q9" s="94">
        <f>IF($B9&gt;20,IF(EIOPA_RFR!Q14*(1%+VLOOKUP($B$27,Int_Rate_Param,2,FALSE))&lt;1%+EIOPA_RFR!Q14,1%+EIOPA_RFR!Q14,EIOPA_RFR!Q14*(1%+VLOOKUP($B$27,Int_Rate_Param,2,FALSE))),IF(EIOPA_RFR!Q14*(1%+VLOOKUP($B9,Int_Rate_Param,2,FALSE))&lt;1%+EIOPA_RFR!Q14,1%+EIOPA_RFR!Q14,EIOPA_RFR!Q14*(1%+VLOOKUP($B9,Int_Rate_Param,2,FALSE))))</f>
        <v>5.8400000000000001E-2</v>
      </c>
      <c r="R9" s="94">
        <f>IF($B9&gt;20,IF(EIOPA_RFR!R14*(1%+VLOOKUP($B$27,Int_Rate_Param,2,FALSE))&lt;1%+EIOPA_RFR!R14,1%+EIOPA_RFR!R14,EIOPA_RFR!R14*(1%+VLOOKUP($B$27,Int_Rate_Param,2,FALSE))),IF(EIOPA_RFR!R14*(1%+VLOOKUP($B9,Int_Rate_Param,2,FALSE))&lt;1%+EIOPA_RFR!R14,1%+EIOPA_RFR!R14,EIOPA_RFR!R14*(1%+VLOOKUP($B9,Int_Rate_Param,2,FALSE))))</f>
        <v>7.7000000000000002E-3</v>
      </c>
      <c r="S9" s="94">
        <f>IF($B9&gt;20,IF(EIOPA_RFR!S14*(1%+VLOOKUP($B$27,Int_Rate_Param,2,FALSE))&lt;1%+EIOPA_RFR!S14,1%+EIOPA_RFR!S14,EIOPA_RFR!S14*(1%+VLOOKUP($B$27,Int_Rate_Param,2,FALSE))),IF(EIOPA_RFR!S14*(1%+VLOOKUP($B9,Int_Rate_Param,2,FALSE))&lt;1%+EIOPA_RFR!S14,1%+EIOPA_RFR!S14,EIOPA_RFR!S14*(1%+VLOOKUP($B9,Int_Rate_Param,2,FALSE))))</f>
        <v>7.7000000000000002E-3</v>
      </c>
      <c r="T9" s="94">
        <f>IF($B9&gt;20,IF(EIOPA_RFR!T14*(1%+VLOOKUP($B$27,Int_Rate_Param,2,FALSE))&lt;1%+EIOPA_RFR!T14,1%+EIOPA_RFR!T14,EIOPA_RFR!T14*(1%+VLOOKUP($B$27,Int_Rate_Param,2,FALSE))),IF(EIOPA_RFR!T14*(1%+VLOOKUP($B9,Int_Rate_Param,2,FALSE))&lt;1%+EIOPA_RFR!T14,1%+EIOPA_RFR!T14,EIOPA_RFR!T14*(1%+VLOOKUP($B9,Int_Rate_Param,2,FALSE))))</f>
        <v>7.7000000000000002E-3</v>
      </c>
      <c r="U9" s="94">
        <f>IF($B9&gt;20,IF(EIOPA_RFR!U14*(1%+VLOOKUP($B$27,Int_Rate_Param,2,FALSE))&lt;1%+EIOPA_RFR!U14,1%+EIOPA_RFR!U14,EIOPA_RFR!U14*(1%+VLOOKUP($B$27,Int_Rate_Param,2,FALSE))),IF(EIOPA_RFR!U14*(1%+VLOOKUP($B9,Int_Rate_Param,2,FALSE))&lt;1%+EIOPA_RFR!U14,1%+EIOPA_RFR!U14,EIOPA_RFR!U14*(1%+VLOOKUP($B9,Int_Rate_Param,2,FALSE))))</f>
        <v>2.6500000000000004E-3</v>
      </c>
      <c r="V9" s="94">
        <f>IF($B9&gt;20,IF(EIOPA_RFR!V14*(1%+VLOOKUP($B$27,Int_Rate_Param,2,FALSE))&lt;1%+EIOPA_RFR!V14,1%+EIOPA_RFR!V14,EIOPA_RFR!V14*(1%+VLOOKUP($B$27,Int_Rate_Param,2,FALSE))),IF(EIOPA_RFR!V14*(1%+VLOOKUP($B9,Int_Rate_Param,2,FALSE))&lt;1%+EIOPA_RFR!V14,1%+EIOPA_RFR!V14,EIOPA_RFR!V14*(1%+VLOOKUP($B9,Int_Rate_Param,2,FALSE))))</f>
        <v>7.7000000000000002E-3</v>
      </c>
      <c r="W9" s="94">
        <f>IF($B9&gt;20,IF(EIOPA_RFR!W14*(1%+VLOOKUP($B$27,Int_Rate_Param,2,FALSE))&lt;1%+EIOPA_RFR!W14,1%+EIOPA_RFR!W14,EIOPA_RFR!W14*(1%+VLOOKUP($B$27,Int_Rate_Param,2,FALSE))),IF(EIOPA_RFR!W14*(1%+VLOOKUP($B9,Int_Rate_Param,2,FALSE))&lt;1%+EIOPA_RFR!W14,1%+EIOPA_RFR!W14,EIOPA_RFR!W14*(1%+VLOOKUP($B9,Int_Rate_Param,2,FALSE))))</f>
        <v>7.7000000000000002E-3</v>
      </c>
      <c r="X9" s="94">
        <f>IF($B9&gt;20,IF(EIOPA_RFR!X14*(1%+VLOOKUP($B$27,Int_Rate_Param,2,FALSE))&lt;1%+EIOPA_RFR!X14,1%+EIOPA_RFR!X14,EIOPA_RFR!X14*(1%+VLOOKUP($B$27,Int_Rate_Param,2,FALSE))),IF(EIOPA_RFR!X14*(1%+VLOOKUP($B9,Int_Rate_Param,2,FALSE))&lt;1%+EIOPA_RFR!X14,1%+EIOPA_RFR!X14,EIOPA_RFR!X14*(1%+VLOOKUP($B9,Int_Rate_Param,2,FALSE))))</f>
        <v>7.7000000000000002E-3</v>
      </c>
      <c r="Y9" s="94">
        <f>IF($B9&gt;20,IF(EIOPA_RFR!Y14*(1%+VLOOKUP($B$27,Int_Rate_Param,2,FALSE))&lt;1%+EIOPA_RFR!Y14,1%+EIOPA_RFR!Y14,EIOPA_RFR!Y14*(1%+VLOOKUP($B$27,Int_Rate_Param,2,FALSE))),IF(EIOPA_RFR!Y14*(1%+VLOOKUP($B9,Int_Rate_Param,2,FALSE))&lt;1%+EIOPA_RFR!Y14,1%+EIOPA_RFR!Y14,EIOPA_RFR!Y14*(1%+VLOOKUP($B9,Int_Rate_Param,2,FALSE))))</f>
        <v>7.7000000000000002E-3</v>
      </c>
      <c r="Z9" s="94">
        <f>IF($B9&gt;20,IF(EIOPA_RFR!Z14*(1%+VLOOKUP($B$27,Int_Rate_Param,2,FALSE))&lt;1%+EIOPA_RFR!Z14,1%+EIOPA_RFR!Z14,EIOPA_RFR!Z14*(1%+VLOOKUP($B$27,Int_Rate_Param,2,FALSE))),IF(EIOPA_RFR!Z14*(1%+VLOOKUP($B9,Int_Rate_Param,2,FALSE))&lt;1%+EIOPA_RFR!Z14,1%+EIOPA_RFR!Z14,EIOPA_RFR!Z14*(1%+VLOOKUP($B9,Int_Rate_Param,2,FALSE))))</f>
        <v>2.0760000000000001E-2</v>
      </c>
      <c r="AA9" s="94">
        <f>IF($B9&gt;20,IF(EIOPA_RFR!AA14*(1%+VLOOKUP($B$27,Int_Rate_Param,2,FALSE))&lt;1%+EIOPA_RFR!AA14,1%+EIOPA_RFR!AA14,EIOPA_RFR!AA14*(1%+VLOOKUP($B$27,Int_Rate_Param,2,FALSE))),IF(EIOPA_RFR!AA14*(1%+VLOOKUP($B9,Int_Rate_Param,2,FALSE))&lt;1%+EIOPA_RFR!AA14,1%+EIOPA_RFR!AA14,EIOPA_RFR!AA14*(1%+VLOOKUP($B9,Int_Rate_Param,2,FALSE))))</f>
        <v>2.8369999999999999E-2</v>
      </c>
      <c r="AB9" s="94">
        <f>IF($B9&gt;20,IF(EIOPA_RFR!AB14*(1%+VLOOKUP($B$27,Int_Rate_Param,2,FALSE))&lt;1%+EIOPA_RFR!AB14,1%+EIOPA_RFR!AB14,EIOPA_RFR!AB14*(1%+VLOOKUP($B$27,Int_Rate_Param,2,FALSE))),IF(EIOPA_RFR!AB14*(1%+VLOOKUP($B9,Int_Rate_Param,2,FALSE))&lt;1%+EIOPA_RFR!AB14,1%+EIOPA_RFR!AB14,EIOPA_RFR!AB14*(1%+VLOOKUP($B9,Int_Rate_Param,2,FALSE))))</f>
        <v>7.7000000000000002E-3</v>
      </c>
      <c r="AC9" s="94">
        <f>IF($B9&gt;20,IF(EIOPA_RFR!AC14*(1%+VLOOKUP($B$27,Int_Rate_Param,2,FALSE))&lt;1%+EIOPA_RFR!AC14,1%+EIOPA_RFR!AC14,EIOPA_RFR!AC14*(1%+VLOOKUP($B$27,Int_Rate_Param,2,FALSE))),IF(EIOPA_RFR!AC14*(1%+VLOOKUP($B9,Int_Rate_Param,2,FALSE))&lt;1%+EIOPA_RFR!AC14,1%+EIOPA_RFR!AC14,EIOPA_RFR!AC14*(1%+VLOOKUP($B9,Int_Rate_Param,2,FALSE))))</f>
        <v>2.452E-2</v>
      </c>
      <c r="AD9" s="94">
        <f>IF($B9&gt;20,IF(EIOPA_RFR!AD14*(1%+VLOOKUP($B$27,Int_Rate_Param,2,FALSE))&lt;1%+EIOPA_RFR!AD14,1%+EIOPA_RFR!AD14,EIOPA_RFR!AD14*(1%+VLOOKUP($B$27,Int_Rate_Param,2,FALSE))),IF(EIOPA_RFR!AD14*(1%+VLOOKUP($B9,Int_Rate_Param,2,FALSE))&lt;1%+EIOPA_RFR!AD14,1%+EIOPA_RFR!AD14,EIOPA_RFR!AD14*(1%+VLOOKUP($B9,Int_Rate_Param,2,FALSE))))</f>
        <v>9.7970000000000002E-2</v>
      </c>
      <c r="AE9" s="94">
        <f>IF($B9&gt;20,IF(EIOPA_RFR!AE14*(1%+VLOOKUP($B$27,Int_Rate_Param,2,FALSE))&lt;1%+EIOPA_RFR!AE14,1%+EIOPA_RFR!AE14,EIOPA_RFR!AE14*(1%+VLOOKUP($B$27,Int_Rate_Param,2,FALSE))),IF(EIOPA_RFR!AE14*(1%+VLOOKUP($B9,Int_Rate_Param,2,FALSE))&lt;1%+EIOPA_RFR!AE14,1%+EIOPA_RFR!AE14,EIOPA_RFR!AE14*(1%+VLOOKUP($B9,Int_Rate_Param,2,FALSE))))</f>
        <v>7.7000000000000002E-3</v>
      </c>
      <c r="AF9" s="94">
        <f>IF($B9&gt;20,IF(EIOPA_RFR!AF14*(1%+VLOOKUP($B$27,Int_Rate_Param,2,FALSE))&lt;1%+EIOPA_RFR!AF14,1%+EIOPA_RFR!AF14,EIOPA_RFR!AF14*(1%+VLOOKUP($B$27,Int_Rate_Param,2,FALSE))),IF(EIOPA_RFR!AF14*(1%+VLOOKUP($B9,Int_Rate_Param,2,FALSE))&lt;1%+EIOPA_RFR!AF14,1%+EIOPA_RFR!AF14,EIOPA_RFR!AF14*(1%+VLOOKUP($B9,Int_Rate_Param,2,FALSE))))</f>
        <v>7.7000000000000002E-3</v>
      </c>
      <c r="AG9" s="94">
        <f>IF($B9&gt;20,IF(EIOPA_RFR!AG14*(1%+VLOOKUP($B$27,Int_Rate_Param,2,FALSE))&lt;1%+EIOPA_RFR!AG14,1%+EIOPA_RFR!AG14,EIOPA_RFR!AG14*(1%+VLOOKUP($B$27,Int_Rate_Param,2,FALSE))),IF(EIOPA_RFR!AG14*(1%+VLOOKUP($B9,Int_Rate_Param,2,FALSE))&lt;1%+EIOPA_RFR!AG14,1%+EIOPA_RFR!AG14,EIOPA_RFR!AG14*(1%+VLOOKUP($B9,Int_Rate_Param,2,FALSE))))</f>
        <v>7.7000000000000002E-3</v>
      </c>
      <c r="AH9" s="94">
        <f>IF($B9&gt;20,IF(EIOPA_RFR!AH14*(1%+VLOOKUP($B$27,Int_Rate_Param,2,FALSE))&lt;1%+EIOPA_RFR!AH14,1%+EIOPA_RFR!AH14,EIOPA_RFR!AH14*(1%+VLOOKUP($B$27,Int_Rate_Param,2,FALSE))),IF(EIOPA_RFR!AH14*(1%+VLOOKUP($B9,Int_Rate_Param,2,FALSE))&lt;1%+EIOPA_RFR!AH14,1%+EIOPA_RFR!AH14,EIOPA_RFR!AH14*(1%+VLOOKUP($B9,Int_Rate_Param,2,FALSE))))</f>
        <v>6.2500000000000003E-3</v>
      </c>
      <c r="AI9" s="94">
        <f>IF($B9&gt;20,IF(EIOPA_RFR!AI14*(1%+VLOOKUP($B$27,Int_Rate_Param,2,FALSE))&lt;1%+EIOPA_RFR!AI14,1%+EIOPA_RFR!AI14,EIOPA_RFR!AI14*(1%+VLOOKUP($B$27,Int_Rate_Param,2,FALSE))),IF(EIOPA_RFR!AI14*(1%+VLOOKUP($B9,Int_Rate_Param,2,FALSE))&lt;1%+EIOPA_RFR!AI14,1%+EIOPA_RFR!AI14,EIOPA_RFR!AI14*(1%+VLOOKUP($B9,Int_Rate_Param,2,FALSE))))</f>
        <v>2.6500000000000004E-3</v>
      </c>
      <c r="AJ9" s="94">
        <f>IF($B9&gt;20,IF(EIOPA_RFR!AJ14*(1%+VLOOKUP($B$27,Int_Rate_Param,2,FALSE))&lt;1%+EIOPA_RFR!AJ14,1%+EIOPA_RFR!AJ14,EIOPA_RFR!AJ14*(1%+VLOOKUP($B$27,Int_Rate_Param,2,FALSE))),IF(EIOPA_RFR!AJ14*(1%+VLOOKUP($B9,Int_Rate_Param,2,FALSE))&lt;1%+EIOPA_RFR!AJ14,1%+EIOPA_RFR!AJ14,EIOPA_RFR!AJ14*(1%+VLOOKUP($B9,Int_Rate_Param,2,FALSE))))</f>
        <v>1.4499999999999999E-2</v>
      </c>
      <c r="AK9" s="94">
        <f>IF($B9&gt;20,IF(EIOPA_RFR!AK14*(1%+VLOOKUP($B$27,Int_Rate_Param,2,FALSE))&lt;1%+EIOPA_RFR!AK14,1%+EIOPA_RFR!AK14,EIOPA_RFR!AK14*(1%+VLOOKUP($B$27,Int_Rate_Param,2,FALSE))),IF(EIOPA_RFR!AK14*(1%+VLOOKUP($B9,Int_Rate_Param,2,FALSE))&lt;1%+EIOPA_RFR!AK14,1%+EIOPA_RFR!AK14,EIOPA_RFR!AK14*(1%+VLOOKUP($B9,Int_Rate_Param,2,FALSE))))</f>
        <v>2.9530000000000001E-2</v>
      </c>
      <c r="AL9" s="94">
        <f>IF($B9&gt;20,IF(EIOPA_RFR!AL14*(1%+VLOOKUP($B$27,Int_Rate_Param,2,FALSE))&lt;1%+EIOPA_RFR!AL14,1%+EIOPA_RFR!AL14,EIOPA_RFR!AL14*(1%+VLOOKUP($B$27,Int_Rate_Param,2,FALSE))),IF(EIOPA_RFR!AL14*(1%+VLOOKUP($B9,Int_Rate_Param,2,FALSE))&lt;1%+EIOPA_RFR!AL14,1%+EIOPA_RFR!AL14,EIOPA_RFR!AL14*(1%+VLOOKUP($B9,Int_Rate_Param,2,FALSE))))</f>
        <v>9.8279999999999992E-2</v>
      </c>
      <c r="AM9" s="94">
        <f>IF($B9&gt;20,IF(EIOPA_RFR!AM14*(1%+VLOOKUP($B$27,Int_Rate_Param,2,FALSE))&lt;1%+EIOPA_RFR!AM14,1%+EIOPA_RFR!AM14,EIOPA_RFR!AM14*(1%+VLOOKUP($B$27,Int_Rate_Param,2,FALSE))),IF(EIOPA_RFR!AM14*(1%+VLOOKUP($B9,Int_Rate_Param,2,FALSE))&lt;1%+EIOPA_RFR!AM14,1%+EIOPA_RFR!AM14,EIOPA_RFR!AM14*(1%+VLOOKUP($B9,Int_Rate_Param,2,FALSE))))</f>
        <v>1.891E-2</v>
      </c>
      <c r="AN9" s="94">
        <f>IF($B9&gt;20,IF(EIOPA_RFR!AN14*(1%+VLOOKUP($B$27,Int_Rate_Param,2,FALSE))&lt;1%+EIOPA_RFR!AN14,1%+EIOPA_RFR!AN14,EIOPA_RFR!AN14*(1%+VLOOKUP($B$27,Int_Rate_Param,2,FALSE))),IF(EIOPA_RFR!AN14*(1%+VLOOKUP($B9,Int_Rate_Param,2,FALSE))&lt;1%+EIOPA_RFR!AN14,1%+EIOPA_RFR!AN14,EIOPA_RFR!AN14*(1%+VLOOKUP($B9,Int_Rate_Param,2,FALSE))))</f>
        <v>3.6299999999999999E-2</v>
      </c>
      <c r="AO9" s="94">
        <f>IF($B9&gt;20,IF(EIOPA_RFR!AO14*(1%+VLOOKUP($B$27,Int_Rate_Param,2,FALSE))&lt;1%+EIOPA_RFR!AO14,1%+EIOPA_RFR!AO14,EIOPA_RFR!AO14*(1%+VLOOKUP($B$27,Int_Rate_Param,2,FALSE))),IF(EIOPA_RFR!AO14*(1%+VLOOKUP($B9,Int_Rate_Param,2,FALSE))&lt;1%+EIOPA_RFR!AO14,1%+EIOPA_RFR!AO14,EIOPA_RFR!AO14*(1%+VLOOKUP($B9,Int_Rate_Param,2,FALSE))))</f>
        <v>4.3910000000000005E-2</v>
      </c>
      <c r="AP9" s="94">
        <f>IF($B9&gt;20,IF(EIOPA_RFR!AP14*(1%+VLOOKUP($B$27,Int_Rate_Param,2,FALSE))&lt;1%+EIOPA_RFR!AP14,1%+EIOPA_RFR!AP14,EIOPA_RFR!AP14*(1%+VLOOKUP($B$27,Int_Rate_Param,2,FALSE))),IF(EIOPA_RFR!AP14*(1%+VLOOKUP($B9,Int_Rate_Param,2,FALSE))&lt;1%+EIOPA_RFR!AP14,1%+EIOPA_RFR!AP14,EIOPA_RFR!AP14*(1%+VLOOKUP($B9,Int_Rate_Param,2,FALSE))))</f>
        <v>6.368E-2</v>
      </c>
      <c r="AQ9" s="94">
        <f>IF($B9&gt;20,IF(EIOPA_RFR!AQ14*(1%+VLOOKUP($B$27,Int_Rate_Param,2,FALSE))&lt;1%+EIOPA_RFR!AQ14,1%+EIOPA_RFR!AQ14,EIOPA_RFR!AQ14*(1%+VLOOKUP($B$27,Int_Rate_Param,2,FALSE))),IF(EIOPA_RFR!AQ14*(1%+VLOOKUP($B9,Int_Rate_Param,2,FALSE))&lt;1%+EIOPA_RFR!AQ14,1%+EIOPA_RFR!AQ14,EIOPA_RFR!AQ14*(1%+VLOOKUP($B9,Int_Rate_Param,2,FALSE))))</f>
        <v>2.349E-2</v>
      </c>
      <c r="AR9" s="94">
        <f>IF($B9&gt;20,IF(EIOPA_RFR!AR14*(1%+VLOOKUP($B$27,Int_Rate_Param,2,FALSE))&lt;1%+EIOPA_RFR!AR14,1%+EIOPA_RFR!AR14,EIOPA_RFR!AR14*(1%+VLOOKUP($B$27,Int_Rate_Param,2,FALSE))),IF(EIOPA_RFR!AR14*(1%+VLOOKUP($B9,Int_Rate_Param,2,FALSE))&lt;1%+EIOPA_RFR!AR14,1%+EIOPA_RFR!AR14,EIOPA_RFR!AR14*(1%+VLOOKUP($B9,Int_Rate_Param,2,FALSE))))</f>
        <v>7.0519999999999999E-2</v>
      </c>
      <c r="AS9" s="94">
        <f>IF($B9&gt;20,IF(EIOPA_RFR!AS14*(1%+VLOOKUP($B$27,Int_Rate_Param,2,FALSE))&lt;1%+EIOPA_RFR!AS14,1%+EIOPA_RFR!AS14,EIOPA_RFR!AS14*(1%+VLOOKUP($B$27,Int_Rate_Param,2,FALSE))),IF(EIOPA_RFR!AS14*(1%+VLOOKUP($B9,Int_Rate_Param,2,FALSE))&lt;1%+EIOPA_RFR!AS14,1%+EIOPA_RFR!AS14,EIOPA_RFR!AS14*(1%+VLOOKUP($B9,Int_Rate_Param,2,FALSE))))</f>
        <v>9.5300000000000003E-3</v>
      </c>
      <c r="AT9" s="94">
        <f>IF($B9&gt;20,IF(EIOPA_RFR!AT14*(1%+VLOOKUP($B$27,Int_Rate_Param,2,FALSE))&lt;1%+EIOPA_RFR!AT14,1%+EIOPA_RFR!AT14,EIOPA_RFR!AT14*(1%+VLOOKUP($B$27,Int_Rate_Param,2,FALSE))),IF(EIOPA_RFR!AT14*(1%+VLOOKUP($B9,Int_Rate_Param,2,FALSE))&lt;1%+EIOPA_RFR!AT14,1%+EIOPA_RFR!AT14,EIOPA_RFR!AT14*(1%+VLOOKUP($B9,Int_Rate_Param,2,FALSE))))</f>
        <v>4.4819999999999999E-2</v>
      </c>
      <c r="AU9" s="94">
        <f>IF($B9&gt;20,IF(EIOPA_RFR!AU14*(1%+VLOOKUP($B$27,Int_Rate_Param,2,FALSE))&lt;1%+EIOPA_RFR!AU14,1%+EIOPA_RFR!AU14,EIOPA_RFR!AU14*(1%+VLOOKUP($B$27,Int_Rate_Param,2,FALSE))),IF(EIOPA_RFR!AU14*(1%+VLOOKUP($B9,Int_Rate_Param,2,FALSE))&lt;1%+EIOPA_RFR!AU14,1%+EIOPA_RFR!AU14,EIOPA_RFR!AU14*(1%+VLOOKUP($B9,Int_Rate_Param,2,FALSE))))</f>
        <v>8.0129999999999993E-2</v>
      </c>
      <c r="AV9" s="94">
        <f>IF($B9&gt;20,IF(EIOPA_RFR!AV14*(1%+VLOOKUP($B$27,Int_Rate_Param,2,FALSE))&lt;1%+EIOPA_RFR!AV14,1%+EIOPA_RFR!AV14,EIOPA_RFR!AV14*(1%+VLOOKUP($B$27,Int_Rate_Param,2,FALSE))),IF(EIOPA_RFR!AV14*(1%+VLOOKUP($B9,Int_Rate_Param,2,FALSE))&lt;1%+EIOPA_RFR!AV14,1%+EIOPA_RFR!AV14,EIOPA_RFR!AV14*(1%+VLOOKUP($B9,Int_Rate_Param,2,FALSE))))</f>
        <v>3.1059999999999997E-2</v>
      </c>
      <c r="AW9" s="94">
        <f>IF($B9&gt;20,IF(EIOPA_RFR!AW14*(1%+VLOOKUP($B$27,Int_Rate_Param,2,FALSE))&lt;1%+EIOPA_RFR!AW14,1%+EIOPA_RFR!AW14,EIOPA_RFR!AW14*(1%+VLOOKUP($B$27,Int_Rate_Param,2,FALSE))),IF(EIOPA_RFR!AW14*(1%+VLOOKUP($B9,Int_Rate_Param,2,FALSE))&lt;1%+EIOPA_RFR!AW14,1%+EIOPA_RFR!AW14,EIOPA_RFR!AW14*(1%+VLOOKUP($B9,Int_Rate_Param,2,FALSE))))</f>
        <v>2.3899999999999998E-2</v>
      </c>
      <c r="AX9" s="94">
        <f>IF($B9&gt;20,IF(EIOPA_RFR!AX14*(1%+VLOOKUP($B$27,Int_Rate_Param,2,FALSE))&lt;1%+EIOPA_RFR!AX14,1%+EIOPA_RFR!AX14,EIOPA_RFR!AX14*(1%+VLOOKUP($B$27,Int_Rate_Param,2,FALSE))),IF(EIOPA_RFR!AX14*(1%+VLOOKUP($B9,Int_Rate_Param,2,FALSE))&lt;1%+EIOPA_RFR!AX14,1%+EIOPA_RFR!AX14,EIOPA_RFR!AX14*(1%+VLOOKUP($B9,Int_Rate_Param,2,FALSE))))</f>
        <v>8.1809999999999994E-2</v>
      </c>
      <c r="AY9" s="94">
        <f>IF($B9&gt;20,IF(EIOPA_RFR!AY14*(1%+VLOOKUP($B$27,Int_Rate_Param,2,FALSE))&lt;1%+EIOPA_RFR!AY14,1%+EIOPA_RFR!AY14,EIOPA_RFR!AY14*(1%+VLOOKUP($B$27,Int_Rate_Param,2,FALSE))),IF(EIOPA_RFR!AY14*(1%+VLOOKUP($B9,Int_Rate_Param,2,FALSE))&lt;1%+EIOPA_RFR!AY14,1%+EIOPA_RFR!AY14,EIOPA_RFR!AY14*(1%+VLOOKUP($B9,Int_Rate_Param,2,FALSE))))</f>
        <v>2.426E-2</v>
      </c>
      <c r="AZ9" s="94">
        <f>IF($B9&gt;20,IF(EIOPA_RFR!AZ14*(1%+VLOOKUP($B$27,Int_Rate_Param,2,FALSE))&lt;1%+EIOPA_RFR!AZ14,1%+EIOPA_RFR!AZ14,EIOPA_RFR!AZ14*(1%+VLOOKUP($B$27,Int_Rate_Param,2,FALSE))),IF(EIOPA_RFR!AZ14*(1%+VLOOKUP($B9,Int_Rate_Param,2,FALSE))&lt;1%+EIOPA_RFR!AZ14,1%+EIOPA_RFR!AZ14,EIOPA_RFR!AZ14*(1%+VLOOKUP($B9,Int_Rate_Param,2,FALSE))))</f>
        <v>1.5270000000000001E-2</v>
      </c>
      <c r="BA9" s="94">
        <f>IF($B9&gt;20,IF(EIOPA_RFR!BA14*(1%+VLOOKUP($B$27,Int_Rate_Param,2,FALSE))&lt;1%+EIOPA_RFR!BA14,1%+EIOPA_RFR!BA14,EIOPA_RFR!BA14*(1%+VLOOKUP($B$27,Int_Rate_Param,2,FALSE))),IF(EIOPA_RFR!BA14*(1%+VLOOKUP($B9,Int_Rate_Param,2,FALSE))&lt;1%+EIOPA_RFR!BA14,1%+EIOPA_RFR!BA14,EIOPA_RFR!BA14*(1%+VLOOKUP($B9,Int_Rate_Param,2,FALSE))))</f>
        <v>2.5570000000000002E-2</v>
      </c>
      <c r="BB9" s="94">
        <f>IF($B9&gt;20,IF(EIOPA_RFR!BB14*(1%+VLOOKUP($B$27,Int_Rate_Param,2,FALSE))&lt;1%+EIOPA_RFR!BB14,1%+EIOPA_RFR!BB14,EIOPA_RFR!BB14*(1%+VLOOKUP($B$27,Int_Rate_Param,2,FALSE))),IF(EIOPA_RFR!BB14*(1%+VLOOKUP($B9,Int_Rate_Param,2,FALSE))&lt;1%+EIOPA_RFR!BB14,1%+EIOPA_RFR!BB14,EIOPA_RFR!BB14*(1%+VLOOKUP($B9,Int_Rate_Param,2,FALSE))))</f>
        <v>0.12933</v>
      </c>
      <c r="BC9" s="94">
        <f>IF($B9&gt;20,IF(EIOPA_RFR!BC14*(1%+VLOOKUP($B$27,Int_Rate_Param,2,FALSE))&lt;1%+EIOPA_RFR!BC14,1%+EIOPA_RFR!BC14,EIOPA_RFR!BC14*(1%+VLOOKUP($B$27,Int_Rate_Param,2,FALSE))),IF(EIOPA_RFR!BC14*(1%+VLOOKUP($B9,Int_Rate_Param,2,FALSE))&lt;1%+EIOPA_RFR!BC14,1%+EIOPA_RFR!BC14,EIOPA_RFR!BC14*(1%+VLOOKUP($B9,Int_Rate_Param,2,FALSE))))</f>
        <v>2.4649999999999998E-2</v>
      </c>
    </row>
    <row r="10" spans="1:55" x14ac:dyDescent="0.25">
      <c r="A10">
        <f t="shared" si="0"/>
        <v>5</v>
      </c>
      <c r="B10" s="95">
        <v>3</v>
      </c>
      <c r="C10" s="94">
        <f>IF($B10&gt;20,IF(EIOPA_RFR!C15*(1%+VLOOKUP($B$27,Int_Rate_Param,2,FALSE))&lt;1%+EIOPA_RFR!C15,1%+EIOPA_RFR!C15,EIOPA_RFR!C15*(1%+VLOOKUP($B$27,Int_Rate_Param,2,FALSE))),IF(EIOPA_RFR!C15*(1%+VLOOKUP($B10,Int_Rate_Param,2,FALSE))&lt;1%+EIOPA_RFR!C15,1%+EIOPA_RFR!C15,EIOPA_RFR!C15*(1%+VLOOKUP($B10,Int_Rate_Param,2,FALSE))))</f>
        <v>8.6099999999999996E-3</v>
      </c>
      <c r="D10" s="94">
        <f>IF($B10&gt;20,IF(EIOPA_RFR!D15*(1%+VLOOKUP($B$27,Int_Rate_Param,2,FALSE))&lt;1%+EIOPA_RFR!D15,1%+EIOPA_RFR!D15,EIOPA_RFR!D15*(1%+VLOOKUP($B$27,Int_Rate_Param,2,FALSE))),IF(EIOPA_RFR!D15*(1%+VLOOKUP($B10,Int_Rate_Param,2,FALSE))&lt;1%+EIOPA_RFR!D15,1%+EIOPA_RFR!D15,EIOPA_RFR!D15*(1%+VLOOKUP($B10,Int_Rate_Param,2,FALSE))))</f>
        <v>8.6099999999999996E-3</v>
      </c>
      <c r="E10" s="94">
        <f>IF($B10&gt;20,IF(EIOPA_RFR!E15*(1%+VLOOKUP($B$27,Int_Rate_Param,2,FALSE))&lt;1%+EIOPA_RFR!E15,1%+EIOPA_RFR!E15,EIOPA_RFR!E15*(1%+VLOOKUP($B$27,Int_Rate_Param,2,FALSE))),IF(EIOPA_RFR!E15*(1%+VLOOKUP($B10,Int_Rate_Param,2,FALSE))&lt;1%+EIOPA_RFR!E15,1%+EIOPA_RFR!E15,EIOPA_RFR!E15*(1%+VLOOKUP($B10,Int_Rate_Param,2,FALSE))))</f>
        <v>8.6099999999999996E-3</v>
      </c>
      <c r="F10" s="94">
        <f>IF($B10&gt;20,IF(EIOPA_RFR!F15*(1%+VLOOKUP($B$27,Int_Rate_Param,2,FALSE))&lt;1%+EIOPA_RFR!F15,1%+EIOPA_RFR!F15,EIOPA_RFR!F15*(1%+VLOOKUP($B$27,Int_Rate_Param,2,FALSE))),IF(EIOPA_RFR!F15*(1%+VLOOKUP($B10,Int_Rate_Param,2,FALSE))&lt;1%+EIOPA_RFR!F15,1%+EIOPA_RFR!F15,EIOPA_RFR!F15*(1%+VLOOKUP($B10,Int_Rate_Param,2,FALSE))))</f>
        <v>8.1100000000000009E-3</v>
      </c>
      <c r="G10" s="94">
        <f>IF($B10&gt;20,IF(EIOPA_RFR!G15*(1%+VLOOKUP($B$27,Int_Rate_Param,2,FALSE))&lt;1%+EIOPA_RFR!G15,1%+EIOPA_RFR!G15,EIOPA_RFR!G15*(1%+VLOOKUP($B$27,Int_Rate_Param,2,FALSE))),IF(EIOPA_RFR!G15*(1%+VLOOKUP($B10,Int_Rate_Param,2,FALSE))&lt;1%+EIOPA_RFR!G15,1%+EIOPA_RFR!G15,EIOPA_RFR!G15*(1%+VLOOKUP($B10,Int_Rate_Param,2,FALSE))))</f>
        <v>2.6000000000000002E-2</v>
      </c>
      <c r="H10" s="94">
        <f>IF($B10&gt;20,IF(EIOPA_RFR!H15*(1%+VLOOKUP($B$27,Int_Rate_Param,2,FALSE))&lt;1%+EIOPA_RFR!H15,1%+EIOPA_RFR!H15,EIOPA_RFR!H15*(1%+VLOOKUP($B$27,Int_Rate_Param,2,FALSE))),IF(EIOPA_RFR!H15*(1%+VLOOKUP($B10,Int_Rate_Param,2,FALSE))&lt;1%+EIOPA_RFR!H15,1%+EIOPA_RFR!H15,EIOPA_RFR!H15*(1%+VLOOKUP($B10,Int_Rate_Param,2,FALSE))))</f>
        <v>8.6099999999999996E-3</v>
      </c>
      <c r="I10" s="94">
        <f>IF($B10&gt;20,IF(EIOPA_RFR!I15*(1%+VLOOKUP($B$27,Int_Rate_Param,2,FALSE))&lt;1%+EIOPA_RFR!I15,1%+EIOPA_RFR!I15,EIOPA_RFR!I15*(1%+VLOOKUP($B$27,Int_Rate_Param,2,FALSE))),IF(EIOPA_RFR!I15*(1%+VLOOKUP($B10,Int_Rate_Param,2,FALSE))&lt;1%+EIOPA_RFR!I15,1%+EIOPA_RFR!I15,EIOPA_RFR!I15*(1%+VLOOKUP($B10,Int_Rate_Param,2,FALSE))))</f>
        <v>1.434E-2</v>
      </c>
      <c r="J10" s="94">
        <f>IF($B10&gt;20,IF(EIOPA_RFR!J15*(1%+VLOOKUP($B$27,Int_Rate_Param,2,FALSE))&lt;1%+EIOPA_RFR!J15,1%+EIOPA_RFR!J15,EIOPA_RFR!J15*(1%+VLOOKUP($B$27,Int_Rate_Param,2,FALSE))),IF(EIOPA_RFR!J15*(1%+VLOOKUP($B10,Int_Rate_Param,2,FALSE))&lt;1%+EIOPA_RFR!J15,1%+EIOPA_RFR!J15,EIOPA_RFR!J15*(1%+VLOOKUP($B10,Int_Rate_Param,2,FALSE))))</f>
        <v>8.5100000000000002E-3</v>
      </c>
      <c r="K10" s="94">
        <f>IF($B10&gt;20,IF(EIOPA_RFR!K15*(1%+VLOOKUP($B$27,Int_Rate_Param,2,FALSE))&lt;1%+EIOPA_RFR!K15,1%+EIOPA_RFR!K15,EIOPA_RFR!K15*(1%+VLOOKUP($B$27,Int_Rate_Param,2,FALSE))),IF(EIOPA_RFR!K15*(1%+VLOOKUP($B10,Int_Rate_Param,2,FALSE))&lt;1%+EIOPA_RFR!K15,1%+EIOPA_RFR!K15,EIOPA_RFR!K15*(1%+VLOOKUP($B10,Int_Rate_Param,2,FALSE))))</f>
        <v>8.6099999999999996E-3</v>
      </c>
      <c r="L10" s="94">
        <f>IF($B10&gt;20,IF(EIOPA_RFR!L15*(1%+VLOOKUP($B$27,Int_Rate_Param,2,FALSE))&lt;1%+EIOPA_RFR!L15,1%+EIOPA_RFR!L15,EIOPA_RFR!L15*(1%+VLOOKUP($B$27,Int_Rate_Param,2,FALSE))),IF(EIOPA_RFR!L15*(1%+VLOOKUP($B10,Int_Rate_Param,2,FALSE))&lt;1%+EIOPA_RFR!L15,1%+EIOPA_RFR!L15,EIOPA_RFR!L15*(1%+VLOOKUP($B10,Int_Rate_Param,2,FALSE))))</f>
        <v>8.6099999999999996E-3</v>
      </c>
      <c r="M10" s="94">
        <f>IF($B10&gt;20,IF(EIOPA_RFR!M15*(1%+VLOOKUP($B$27,Int_Rate_Param,2,FALSE))&lt;1%+EIOPA_RFR!M15,1%+EIOPA_RFR!M15,EIOPA_RFR!M15*(1%+VLOOKUP($B$27,Int_Rate_Param,2,FALSE))),IF(EIOPA_RFR!M15*(1%+VLOOKUP($B10,Int_Rate_Param,2,FALSE))&lt;1%+EIOPA_RFR!M15,1%+EIOPA_RFR!M15,EIOPA_RFR!M15*(1%+VLOOKUP($B10,Int_Rate_Param,2,FALSE))))</f>
        <v>8.6099999999999996E-3</v>
      </c>
      <c r="N10" s="94">
        <f>IF($B10&gt;20,IF(EIOPA_RFR!N15*(1%+VLOOKUP($B$27,Int_Rate_Param,2,FALSE))&lt;1%+EIOPA_RFR!N15,1%+EIOPA_RFR!N15,EIOPA_RFR!N15*(1%+VLOOKUP($B$27,Int_Rate_Param,2,FALSE))),IF(EIOPA_RFR!N15*(1%+VLOOKUP($B10,Int_Rate_Param,2,FALSE))&lt;1%+EIOPA_RFR!N15,1%+EIOPA_RFR!N15,EIOPA_RFR!N15*(1%+VLOOKUP($B10,Int_Rate_Param,2,FALSE))))</f>
        <v>8.6099999999999996E-3</v>
      </c>
      <c r="O10" s="94">
        <f>IF($B10&gt;20,IF(EIOPA_RFR!O15*(1%+VLOOKUP($B$27,Int_Rate_Param,2,FALSE))&lt;1%+EIOPA_RFR!O15,1%+EIOPA_RFR!O15,EIOPA_RFR!O15*(1%+VLOOKUP($B$27,Int_Rate_Param,2,FALSE))),IF(EIOPA_RFR!O15*(1%+VLOOKUP($B10,Int_Rate_Param,2,FALSE))&lt;1%+EIOPA_RFR!O15,1%+EIOPA_RFR!O15,EIOPA_RFR!O15*(1%+VLOOKUP($B10,Int_Rate_Param,2,FALSE))))</f>
        <v>8.6099999999999996E-3</v>
      </c>
      <c r="P10" s="94">
        <f>IF($B10&gt;20,IF(EIOPA_RFR!P15*(1%+VLOOKUP($B$27,Int_Rate_Param,2,FALSE))&lt;1%+EIOPA_RFR!P15,1%+EIOPA_RFR!P15,EIOPA_RFR!P15*(1%+VLOOKUP($B$27,Int_Rate_Param,2,FALSE))),IF(EIOPA_RFR!P15*(1%+VLOOKUP($B10,Int_Rate_Param,2,FALSE))&lt;1%+EIOPA_RFR!P15,1%+EIOPA_RFR!P15,EIOPA_RFR!P15*(1%+VLOOKUP($B10,Int_Rate_Param,2,FALSE))))</f>
        <v>1.9599999999999999E-2</v>
      </c>
      <c r="Q10" s="94">
        <f>IF($B10&gt;20,IF(EIOPA_RFR!Q15*(1%+VLOOKUP($B$27,Int_Rate_Param,2,FALSE))&lt;1%+EIOPA_RFR!Q15,1%+EIOPA_RFR!Q15,EIOPA_RFR!Q15*(1%+VLOOKUP($B$27,Int_Rate_Param,2,FALSE))),IF(EIOPA_RFR!Q15*(1%+VLOOKUP($B10,Int_Rate_Param,2,FALSE))&lt;1%+EIOPA_RFR!Q15,1%+EIOPA_RFR!Q15,EIOPA_RFR!Q15*(1%+VLOOKUP($B10,Int_Rate_Param,2,FALSE))))</f>
        <v>5.8400000000000001E-2</v>
      </c>
      <c r="R10" s="94">
        <f>IF($B10&gt;20,IF(EIOPA_RFR!R15*(1%+VLOOKUP($B$27,Int_Rate_Param,2,FALSE))&lt;1%+EIOPA_RFR!R15,1%+EIOPA_RFR!R15,EIOPA_RFR!R15*(1%+VLOOKUP($B$27,Int_Rate_Param,2,FALSE))),IF(EIOPA_RFR!R15*(1%+VLOOKUP($B10,Int_Rate_Param,2,FALSE))&lt;1%+EIOPA_RFR!R15,1%+EIOPA_RFR!R15,EIOPA_RFR!R15*(1%+VLOOKUP($B10,Int_Rate_Param,2,FALSE))))</f>
        <v>8.6099999999999996E-3</v>
      </c>
      <c r="S10" s="94">
        <f>IF($B10&gt;20,IF(EIOPA_RFR!S15*(1%+VLOOKUP($B$27,Int_Rate_Param,2,FALSE))&lt;1%+EIOPA_RFR!S15,1%+EIOPA_RFR!S15,EIOPA_RFR!S15*(1%+VLOOKUP($B$27,Int_Rate_Param,2,FALSE))),IF(EIOPA_RFR!S15*(1%+VLOOKUP($B10,Int_Rate_Param,2,FALSE))&lt;1%+EIOPA_RFR!S15,1%+EIOPA_RFR!S15,EIOPA_RFR!S15*(1%+VLOOKUP($B10,Int_Rate_Param,2,FALSE))))</f>
        <v>8.6099999999999996E-3</v>
      </c>
      <c r="T10" s="94">
        <f>IF($B10&gt;20,IF(EIOPA_RFR!T15*(1%+VLOOKUP($B$27,Int_Rate_Param,2,FALSE))&lt;1%+EIOPA_RFR!T15,1%+EIOPA_RFR!T15,EIOPA_RFR!T15*(1%+VLOOKUP($B$27,Int_Rate_Param,2,FALSE))),IF(EIOPA_RFR!T15*(1%+VLOOKUP($B10,Int_Rate_Param,2,FALSE))&lt;1%+EIOPA_RFR!T15,1%+EIOPA_RFR!T15,EIOPA_RFR!T15*(1%+VLOOKUP($B10,Int_Rate_Param,2,FALSE))))</f>
        <v>8.6099999999999996E-3</v>
      </c>
      <c r="U10" s="94">
        <f>IF($B10&gt;20,IF(EIOPA_RFR!U15*(1%+VLOOKUP($B$27,Int_Rate_Param,2,FALSE))&lt;1%+EIOPA_RFR!U15,1%+EIOPA_RFR!U15,EIOPA_RFR!U15*(1%+VLOOKUP($B$27,Int_Rate_Param,2,FALSE))),IF(EIOPA_RFR!U15*(1%+VLOOKUP($B10,Int_Rate_Param,2,FALSE))&lt;1%+EIOPA_RFR!U15,1%+EIOPA_RFR!U15,EIOPA_RFR!U15*(1%+VLOOKUP($B10,Int_Rate_Param,2,FALSE))))</f>
        <v>3.5200000000000006E-3</v>
      </c>
      <c r="V10" s="94">
        <f>IF($B10&gt;20,IF(EIOPA_RFR!V15*(1%+VLOOKUP($B$27,Int_Rate_Param,2,FALSE))&lt;1%+EIOPA_RFR!V15,1%+EIOPA_RFR!V15,EIOPA_RFR!V15*(1%+VLOOKUP($B$27,Int_Rate_Param,2,FALSE))),IF(EIOPA_RFR!V15*(1%+VLOOKUP($B10,Int_Rate_Param,2,FALSE))&lt;1%+EIOPA_RFR!V15,1%+EIOPA_RFR!V15,EIOPA_RFR!V15*(1%+VLOOKUP($B10,Int_Rate_Param,2,FALSE))))</f>
        <v>8.6099999999999996E-3</v>
      </c>
      <c r="W10" s="94">
        <f>IF($B10&gt;20,IF(EIOPA_RFR!W15*(1%+VLOOKUP($B$27,Int_Rate_Param,2,FALSE))&lt;1%+EIOPA_RFR!W15,1%+EIOPA_RFR!W15,EIOPA_RFR!W15*(1%+VLOOKUP($B$27,Int_Rate_Param,2,FALSE))),IF(EIOPA_RFR!W15*(1%+VLOOKUP($B10,Int_Rate_Param,2,FALSE))&lt;1%+EIOPA_RFR!W15,1%+EIOPA_RFR!W15,EIOPA_RFR!W15*(1%+VLOOKUP($B10,Int_Rate_Param,2,FALSE))))</f>
        <v>8.6099999999999996E-3</v>
      </c>
      <c r="X10" s="94">
        <f>IF($B10&gt;20,IF(EIOPA_RFR!X15*(1%+VLOOKUP($B$27,Int_Rate_Param,2,FALSE))&lt;1%+EIOPA_RFR!X15,1%+EIOPA_RFR!X15,EIOPA_RFR!X15*(1%+VLOOKUP($B$27,Int_Rate_Param,2,FALSE))),IF(EIOPA_RFR!X15*(1%+VLOOKUP($B10,Int_Rate_Param,2,FALSE))&lt;1%+EIOPA_RFR!X15,1%+EIOPA_RFR!X15,EIOPA_RFR!X15*(1%+VLOOKUP($B10,Int_Rate_Param,2,FALSE))))</f>
        <v>8.6099999999999996E-3</v>
      </c>
      <c r="Y10" s="94">
        <f>IF($B10&gt;20,IF(EIOPA_RFR!Y15*(1%+VLOOKUP($B$27,Int_Rate_Param,2,FALSE))&lt;1%+EIOPA_RFR!Y15,1%+EIOPA_RFR!Y15,EIOPA_RFR!Y15*(1%+VLOOKUP($B$27,Int_Rate_Param,2,FALSE))),IF(EIOPA_RFR!Y15*(1%+VLOOKUP($B10,Int_Rate_Param,2,FALSE))&lt;1%+EIOPA_RFR!Y15,1%+EIOPA_RFR!Y15,EIOPA_RFR!Y15*(1%+VLOOKUP($B10,Int_Rate_Param,2,FALSE))))</f>
        <v>8.6099999999999996E-3</v>
      </c>
      <c r="Z10" s="94">
        <f>IF($B10&gt;20,IF(EIOPA_RFR!Z15*(1%+VLOOKUP($B$27,Int_Rate_Param,2,FALSE))&lt;1%+EIOPA_RFR!Z15,1%+EIOPA_RFR!Z15,EIOPA_RFR!Z15*(1%+VLOOKUP($B$27,Int_Rate_Param,2,FALSE))),IF(EIOPA_RFR!Z15*(1%+VLOOKUP($B10,Int_Rate_Param,2,FALSE))&lt;1%+EIOPA_RFR!Z15,1%+EIOPA_RFR!Z15,EIOPA_RFR!Z15*(1%+VLOOKUP($B10,Int_Rate_Param,2,FALSE))))</f>
        <v>2.1819999999999999E-2</v>
      </c>
      <c r="AA10" s="94">
        <f>IF($B10&gt;20,IF(EIOPA_RFR!AA15*(1%+VLOOKUP($B$27,Int_Rate_Param,2,FALSE))&lt;1%+EIOPA_RFR!AA15,1%+EIOPA_RFR!AA15,EIOPA_RFR!AA15*(1%+VLOOKUP($B$27,Int_Rate_Param,2,FALSE))),IF(EIOPA_RFR!AA15*(1%+VLOOKUP($B10,Int_Rate_Param,2,FALSE))&lt;1%+EIOPA_RFR!AA15,1%+EIOPA_RFR!AA15,EIOPA_RFR!AA15*(1%+VLOOKUP($B10,Int_Rate_Param,2,FALSE))))</f>
        <v>3.1980000000000001E-2</v>
      </c>
      <c r="AB10" s="94">
        <f>IF($B10&gt;20,IF(EIOPA_RFR!AB15*(1%+VLOOKUP($B$27,Int_Rate_Param,2,FALSE))&lt;1%+EIOPA_RFR!AB15,1%+EIOPA_RFR!AB15,EIOPA_RFR!AB15*(1%+VLOOKUP($B$27,Int_Rate_Param,2,FALSE))),IF(EIOPA_RFR!AB15*(1%+VLOOKUP($B10,Int_Rate_Param,2,FALSE))&lt;1%+EIOPA_RFR!AB15,1%+EIOPA_RFR!AB15,EIOPA_RFR!AB15*(1%+VLOOKUP($B10,Int_Rate_Param,2,FALSE))))</f>
        <v>8.6099999999999996E-3</v>
      </c>
      <c r="AC10" s="94">
        <f>IF($B10&gt;20,IF(EIOPA_RFR!AC15*(1%+VLOOKUP($B$27,Int_Rate_Param,2,FALSE))&lt;1%+EIOPA_RFR!AC15,1%+EIOPA_RFR!AC15,EIOPA_RFR!AC15*(1%+VLOOKUP($B$27,Int_Rate_Param,2,FALSE))),IF(EIOPA_RFR!AC15*(1%+VLOOKUP($B10,Int_Rate_Param,2,FALSE))&lt;1%+EIOPA_RFR!AC15,1%+EIOPA_RFR!AC15,EIOPA_RFR!AC15*(1%+VLOOKUP($B10,Int_Rate_Param,2,FALSE))))</f>
        <v>2.9409999999999999E-2</v>
      </c>
      <c r="AD10" s="94">
        <f>IF($B10&gt;20,IF(EIOPA_RFR!AD15*(1%+VLOOKUP($B$27,Int_Rate_Param,2,FALSE))&lt;1%+EIOPA_RFR!AD15,1%+EIOPA_RFR!AD15,EIOPA_RFR!AD15*(1%+VLOOKUP($B$27,Int_Rate_Param,2,FALSE))),IF(EIOPA_RFR!AD15*(1%+VLOOKUP($B10,Int_Rate_Param,2,FALSE))&lt;1%+EIOPA_RFR!AD15,1%+EIOPA_RFR!AD15,EIOPA_RFR!AD15*(1%+VLOOKUP($B10,Int_Rate_Param,2,FALSE))))</f>
        <v>9.418E-2</v>
      </c>
      <c r="AE10" s="94">
        <f>IF($B10&gt;20,IF(EIOPA_RFR!AE15*(1%+VLOOKUP($B$27,Int_Rate_Param,2,FALSE))&lt;1%+EIOPA_RFR!AE15,1%+EIOPA_RFR!AE15,EIOPA_RFR!AE15*(1%+VLOOKUP($B$27,Int_Rate_Param,2,FALSE))),IF(EIOPA_RFR!AE15*(1%+VLOOKUP($B10,Int_Rate_Param,2,FALSE))&lt;1%+EIOPA_RFR!AE15,1%+EIOPA_RFR!AE15,EIOPA_RFR!AE15*(1%+VLOOKUP($B10,Int_Rate_Param,2,FALSE))))</f>
        <v>8.6099999999999996E-3</v>
      </c>
      <c r="AF10" s="94">
        <f>IF($B10&gt;20,IF(EIOPA_RFR!AF15*(1%+VLOOKUP($B$27,Int_Rate_Param,2,FALSE))&lt;1%+EIOPA_RFR!AF15,1%+EIOPA_RFR!AF15,EIOPA_RFR!AF15*(1%+VLOOKUP($B$27,Int_Rate_Param,2,FALSE))),IF(EIOPA_RFR!AF15*(1%+VLOOKUP($B10,Int_Rate_Param,2,FALSE))&lt;1%+EIOPA_RFR!AF15,1%+EIOPA_RFR!AF15,EIOPA_RFR!AF15*(1%+VLOOKUP($B10,Int_Rate_Param,2,FALSE))))</f>
        <v>8.6099999999999996E-3</v>
      </c>
      <c r="AG10" s="94">
        <f>IF($B10&gt;20,IF(EIOPA_RFR!AG15*(1%+VLOOKUP($B$27,Int_Rate_Param,2,FALSE))&lt;1%+EIOPA_RFR!AG15,1%+EIOPA_RFR!AG15,EIOPA_RFR!AG15*(1%+VLOOKUP($B$27,Int_Rate_Param,2,FALSE))),IF(EIOPA_RFR!AG15*(1%+VLOOKUP($B10,Int_Rate_Param,2,FALSE))&lt;1%+EIOPA_RFR!AG15,1%+EIOPA_RFR!AG15,EIOPA_RFR!AG15*(1%+VLOOKUP($B10,Int_Rate_Param,2,FALSE))))</f>
        <v>8.6099999999999996E-3</v>
      </c>
      <c r="AH10" s="94">
        <f>IF($B10&gt;20,IF(EIOPA_RFR!AH15*(1%+VLOOKUP($B$27,Int_Rate_Param,2,FALSE))&lt;1%+EIOPA_RFR!AH15,1%+EIOPA_RFR!AH15,EIOPA_RFR!AH15*(1%+VLOOKUP($B$27,Int_Rate_Param,2,FALSE))),IF(EIOPA_RFR!AH15*(1%+VLOOKUP($B10,Int_Rate_Param,2,FALSE))&lt;1%+EIOPA_RFR!AH15,1%+EIOPA_RFR!AH15,EIOPA_RFR!AH15*(1%+VLOOKUP($B10,Int_Rate_Param,2,FALSE))))</f>
        <v>8.3800000000000003E-3</v>
      </c>
      <c r="AI10" s="94">
        <f>IF($B10&gt;20,IF(EIOPA_RFR!AI15*(1%+VLOOKUP($B$27,Int_Rate_Param,2,FALSE))&lt;1%+EIOPA_RFR!AI15,1%+EIOPA_RFR!AI15,EIOPA_RFR!AI15*(1%+VLOOKUP($B$27,Int_Rate_Param,2,FALSE))),IF(EIOPA_RFR!AI15*(1%+VLOOKUP($B10,Int_Rate_Param,2,FALSE))&lt;1%+EIOPA_RFR!AI15,1%+EIOPA_RFR!AI15,EIOPA_RFR!AI15*(1%+VLOOKUP($B10,Int_Rate_Param,2,FALSE))))</f>
        <v>3.5200000000000006E-3</v>
      </c>
      <c r="AJ10" s="94">
        <f>IF($B10&gt;20,IF(EIOPA_RFR!AJ15*(1%+VLOOKUP($B$27,Int_Rate_Param,2,FALSE))&lt;1%+EIOPA_RFR!AJ15,1%+EIOPA_RFR!AJ15,EIOPA_RFR!AJ15*(1%+VLOOKUP($B$27,Int_Rate_Param,2,FALSE))),IF(EIOPA_RFR!AJ15*(1%+VLOOKUP($B10,Int_Rate_Param,2,FALSE))&lt;1%+EIOPA_RFR!AJ15,1%+EIOPA_RFR!AJ15,EIOPA_RFR!AJ15*(1%+VLOOKUP($B10,Int_Rate_Param,2,FALSE))))</f>
        <v>1.533E-2</v>
      </c>
      <c r="AK10" s="94">
        <f>IF($B10&gt;20,IF(EIOPA_RFR!AK15*(1%+VLOOKUP($B$27,Int_Rate_Param,2,FALSE))&lt;1%+EIOPA_RFR!AK15,1%+EIOPA_RFR!AK15,EIOPA_RFR!AK15*(1%+VLOOKUP($B$27,Int_Rate_Param,2,FALSE))),IF(EIOPA_RFR!AK15*(1%+VLOOKUP($B10,Int_Rate_Param,2,FALSE))&lt;1%+EIOPA_RFR!AK15,1%+EIOPA_RFR!AK15,EIOPA_RFR!AK15*(1%+VLOOKUP($B10,Int_Rate_Param,2,FALSE))))</f>
        <v>3.0879999999999998E-2</v>
      </c>
      <c r="AL10" s="94">
        <f>IF($B10&gt;20,IF(EIOPA_RFR!AL15*(1%+VLOOKUP($B$27,Int_Rate_Param,2,FALSE))&lt;1%+EIOPA_RFR!AL15,1%+EIOPA_RFR!AL15,EIOPA_RFR!AL15*(1%+VLOOKUP($B$27,Int_Rate_Param,2,FALSE))),IF(EIOPA_RFR!AL15*(1%+VLOOKUP($B10,Int_Rate_Param,2,FALSE))&lt;1%+EIOPA_RFR!AL15,1%+EIOPA_RFR!AL15,EIOPA_RFR!AL15*(1%+VLOOKUP($B10,Int_Rate_Param,2,FALSE))))</f>
        <v>0.10038</v>
      </c>
      <c r="AM10" s="94">
        <f>IF($B10&gt;20,IF(EIOPA_RFR!AM15*(1%+VLOOKUP($B$27,Int_Rate_Param,2,FALSE))&lt;1%+EIOPA_RFR!AM15,1%+EIOPA_RFR!AM15,EIOPA_RFR!AM15*(1%+VLOOKUP($B$27,Int_Rate_Param,2,FALSE))),IF(EIOPA_RFR!AM15*(1%+VLOOKUP($B10,Int_Rate_Param,2,FALSE))&lt;1%+EIOPA_RFR!AM15,1%+EIOPA_RFR!AM15,EIOPA_RFR!AM15*(1%+VLOOKUP($B10,Int_Rate_Param,2,FALSE))))</f>
        <v>2.0410000000000001E-2</v>
      </c>
      <c r="AN10" s="94">
        <f>IF($B10&gt;20,IF(EIOPA_RFR!AN15*(1%+VLOOKUP($B$27,Int_Rate_Param,2,FALSE))&lt;1%+EIOPA_RFR!AN15,1%+EIOPA_RFR!AN15,EIOPA_RFR!AN15*(1%+VLOOKUP($B$27,Int_Rate_Param,2,FALSE))),IF(EIOPA_RFR!AN15*(1%+VLOOKUP($B10,Int_Rate_Param,2,FALSE))&lt;1%+EIOPA_RFR!AN15,1%+EIOPA_RFR!AN15,EIOPA_RFR!AN15*(1%+VLOOKUP($B10,Int_Rate_Param,2,FALSE))))</f>
        <v>3.8800000000000001E-2</v>
      </c>
      <c r="AO10" s="94">
        <f>IF($B10&gt;20,IF(EIOPA_RFR!AO15*(1%+VLOOKUP($B$27,Int_Rate_Param,2,FALSE))&lt;1%+EIOPA_RFR!AO15,1%+EIOPA_RFR!AO15,EIOPA_RFR!AO15*(1%+VLOOKUP($B$27,Int_Rate_Param,2,FALSE))),IF(EIOPA_RFR!AO15*(1%+VLOOKUP($B10,Int_Rate_Param,2,FALSE))&lt;1%+EIOPA_RFR!AO15,1%+EIOPA_RFR!AO15,EIOPA_RFR!AO15*(1%+VLOOKUP($B10,Int_Rate_Param,2,FALSE))))</f>
        <v>4.4520000000000004E-2</v>
      </c>
      <c r="AP10" s="94">
        <f>IF($B10&gt;20,IF(EIOPA_RFR!AP15*(1%+VLOOKUP($B$27,Int_Rate_Param,2,FALSE))&lt;1%+EIOPA_RFR!AP15,1%+EIOPA_RFR!AP15,EIOPA_RFR!AP15*(1%+VLOOKUP($B$27,Int_Rate_Param,2,FALSE))),IF(EIOPA_RFR!AP15*(1%+VLOOKUP($B10,Int_Rate_Param,2,FALSE))&lt;1%+EIOPA_RFR!AP15,1%+EIOPA_RFR!AP15,EIOPA_RFR!AP15*(1%+VLOOKUP($B10,Int_Rate_Param,2,FALSE))))</f>
        <v>6.4860000000000001E-2</v>
      </c>
      <c r="AQ10" s="94">
        <f>IF($B10&gt;20,IF(EIOPA_RFR!AQ15*(1%+VLOOKUP($B$27,Int_Rate_Param,2,FALSE))&lt;1%+EIOPA_RFR!AQ15,1%+EIOPA_RFR!AQ15,EIOPA_RFR!AQ15*(1%+VLOOKUP($B$27,Int_Rate_Param,2,FALSE))),IF(EIOPA_RFR!AQ15*(1%+VLOOKUP($B10,Int_Rate_Param,2,FALSE))&lt;1%+EIOPA_RFR!AQ15,1%+EIOPA_RFR!AQ15,EIOPA_RFR!AQ15*(1%+VLOOKUP($B10,Int_Rate_Param,2,FALSE))))</f>
        <v>2.5640000000000003E-2</v>
      </c>
      <c r="AR10" s="94">
        <f>IF($B10&gt;20,IF(EIOPA_RFR!AR15*(1%+VLOOKUP($B$27,Int_Rate_Param,2,FALSE))&lt;1%+EIOPA_RFR!AR15,1%+EIOPA_RFR!AR15,EIOPA_RFR!AR15*(1%+VLOOKUP($B$27,Int_Rate_Param,2,FALSE))),IF(EIOPA_RFR!AR15*(1%+VLOOKUP($B10,Int_Rate_Param,2,FALSE))&lt;1%+EIOPA_RFR!AR15,1%+EIOPA_RFR!AR15,EIOPA_RFR!AR15*(1%+VLOOKUP($B10,Int_Rate_Param,2,FALSE))))</f>
        <v>7.1719999999999992E-2</v>
      </c>
      <c r="AS10" s="94">
        <f>IF($B10&gt;20,IF(EIOPA_RFR!AS15*(1%+VLOOKUP($B$27,Int_Rate_Param,2,FALSE))&lt;1%+EIOPA_RFR!AS15,1%+EIOPA_RFR!AS15,EIOPA_RFR!AS15*(1%+VLOOKUP($B$27,Int_Rate_Param,2,FALSE))),IF(EIOPA_RFR!AS15*(1%+VLOOKUP($B10,Int_Rate_Param,2,FALSE))&lt;1%+EIOPA_RFR!AS15,1%+EIOPA_RFR!AS15,EIOPA_RFR!AS15*(1%+VLOOKUP($B10,Int_Rate_Param,2,FALSE))))</f>
        <v>9.640000000000001E-3</v>
      </c>
      <c r="AT10" s="94">
        <f>IF($B10&gt;20,IF(EIOPA_RFR!AT15*(1%+VLOOKUP($B$27,Int_Rate_Param,2,FALSE))&lt;1%+EIOPA_RFR!AT15,1%+EIOPA_RFR!AT15,EIOPA_RFR!AT15*(1%+VLOOKUP($B$27,Int_Rate_Param,2,FALSE))),IF(EIOPA_RFR!AT15*(1%+VLOOKUP($B10,Int_Rate_Param,2,FALSE))&lt;1%+EIOPA_RFR!AT15,1%+EIOPA_RFR!AT15,EIOPA_RFR!AT15*(1%+VLOOKUP($B10,Int_Rate_Param,2,FALSE))))</f>
        <v>4.5540000000000004E-2</v>
      </c>
      <c r="AU10" s="94">
        <f>IF($B10&gt;20,IF(EIOPA_RFR!AU15*(1%+VLOOKUP($B$27,Int_Rate_Param,2,FALSE))&lt;1%+EIOPA_RFR!AU15,1%+EIOPA_RFR!AU15,EIOPA_RFR!AU15*(1%+VLOOKUP($B$27,Int_Rate_Param,2,FALSE))),IF(EIOPA_RFR!AU15*(1%+VLOOKUP($B10,Int_Rate_Param,2,FALSE))&lt;1%+EIOPA_RFR!AU15,1%+EIOPA_RFR!AU15,EIOPA_RFR!AU15*(1%+VLOOKUP($B10,Int_Rate_Param,2,FALSE))))</f>
        <v>8.0269999999999994E-2</v>
      </c>
      <c r="AV10" s="94">
        <f>IF($B10&gt;20,IF(EIOPA_RFR!AV15*(1%+VLOOKUP($B$27,Int_Rate_Param,2,FALSE))&lt;1%+EIOPA_RFR!AV15,1%+EIOPA_RFR!AV15,EIOPA_RFR!AV15*(1%+VLOOKUP($B$27,Int_Rate_Param,2,FALSE))),IF(EIOPA_RFR!AV15*(1%+VLOOKUP($B10,Int_Rate_Param,2,FALSE))&lt;1%+EIOPA_RFR!AV15,1%+EIOPA_RFR!AV15,EIOPA_RFR!AV15*(1%+VLOOKUP($B10,Int_Rate_Param,2,FALSE))))</f>
        <v>3.347E-2</v>
      </c>
      <c r="AW10" s="94">
        <f>IF($B10&gt;20,IF(EIOPA_RFR!AW15*(1%+VLOOKUP($B$27,Int_Rate_Param,2,FALSE))&lt;1%+EIOPA_RFR!AW15,1%+EIOPA_RFR!AW15,EIOPA_RFR!AW15*(1%+VLOOKUP($B$27,Int_Rate_Param,2,FALSE))),IF(EIOPA_RFR!AW15*(1%+VLOOKUP($B10,Int_Rate_Param,2,FALSE))&lt;1%+EIOPA_RFR!AW15,1%+EIOPA_RFR!AW15,EIOPA_RFR!AW15*(1%+VLOOKUP($B10,Int_Rate_Param,2,FALSE))))</f>
        <v>2.6090000000000002E-2</v>
      </c>
      <c r="AX10" s="94">
        <f>IF($B10&gt;20,IF(EIOPA_RFR!AX15*(1%+VLOOKUP($B$27,Int_Rate_Param,2,FALSE))&lt;1%+EIOPA_RFR!AX15,1%+EIOPA_RFR!AX15,EIOPA_RFR!AX15*(1%+VLOOKUP($B$27,Int_Rate_Param,2,FALSE))),IF(EIOPA_RFR!AX15*(1%+VLOOKUP($B10,Int_Rate_Param,2,FALSE))&lt;1%+EIOPA_RFR!AX15,1%+EIOPA_RFR!AX15,EIOPA_RFR!AX15*(1%+VLOOKUP($B10,Int_Rate_Param,2,FALSE))))</f>
        <v>8.2779999999999992E-2</v>
      </c>
      <c r="AY10" s="94">
        <f>IF($B10&gt;20,IF(EIOPA_RFR!AY15*(1%+VLOOKUP($B$27,Int_Rate_Param,2,FALSE))&lt;1%+EIOPA_RFR!AY15,1%+EIOPA_RFR!AY15,EIOPA_RFR!AY15*(1%+VLOOKUP($B$27,Int_Rate_Param,2,FALSE))),IF(EIOPA_RFR!AY15*(1%+VLOOKUP($B10,Int_Rate_Param,2,FALSE))&lt;1%+EIOPA_RFR!AY15,1%+EIOPA_RFR!AY15,EIOPA_RFR!AY15*(1%+VLOOKUP($B10,Int_Rate_Param,2,FALSE))))</f>
        <v>2.495E-2</v>
      </c>
      <c r="AZ10" s="94">
        <f>IF($B10&gt;20,IF(EIOPA_RFR!AZ15*(1%+VLOOKUP($B$27,Int_Rate_Param,2,FALSE))&lt;1%+EIOPA_RFR!AZ15,1%+EIOPA_RFR!AZ15,EIOPA_RFR!AZ15*(1%+VLOOKUP($B$27,Int_Rate_Param,2,FALSE))),IF(EIOPA_RFR!AZ15*(1%+VLOOKUP($B10,Int_Rate_Param,2,FALSE))&lt;1%+EIOPA_RFR!AZ15,1%+EIOPA_RFR!AZ15,EIOPA_RFR!AZ15*(1%+VLOOKUP($B10,Int_Rate_Param,2,FALSE))))</f>
        <v>1.6289999999999999E-2</v>
      </c>
      <c r="BA10" s="94">
        <f>IF($B10&gt;20,IF(EIOPA_RFR!BA15*(1%+VLOOKUP($B$27,Int_Rate_Param,2,FALSE))&lt;1%+EIOPA_RFR!BA15,1%+EIOPA_RFR!BA15,EIOPA_RFR!BA15*(1%+VLOOKUP($B$27,Int_Rate_Param,2,FALSE))),IF(EIOPA_RFR!BA15*(1%+VLOOKUP($B10,Int_Rate_Param,2,FALSE))&lt;1%+EIOPA_RFR!BA15,1%+EIOPA_RFR!BA15,EIOPA_RFR!BA15*(1%+VLOOKUP($B10,Int_Rate_Param,2,FALSE))))</f>
        <v>2.7520000000000003E-2</v>
      </c>
      <c r="BB10" s="94">
        <f>IF($B10&gt;20,IF(EIOPA_RFR!BB15*(1%+VLOOKUP($B$27,Int_Rate_Param,2,FALSE))&lt;1%+EIOPA_RFR!BB15,1%+EIOPA_RFR!BB15,EIOPA_RFR!BB15*(1%+VLOOKUP($B$27,Int_Rate_Param,2,FALSE))),IF(EIOPA_RFR!BB15*(1%+VLOOKUP($B10,Int_Rate_Param,2,FALSE))&lt;1%+EIOPA_RFR!BB15,1%+EIOPA_RFR!BB15,EIOPA_RFR!BB15*(1%+VLOOKUP($B10,Int_Rate_Param,2,FALSE))))</f>
        <v>0.12714</v>
      </c>
      <c r="BC10" s="94">
        <f>IF($B10&gt;20,IF(EIOPA_RFR!BC15*(1%+VLOOKUP($B$27,Int_Rate_Param,2,FALSE))&lt;1%+EIOPA_RFR!BC15,1%+EIOPA_RFR!BC15,EIOPA_RFR!BC15*(1%+VLOOKUP($B$27,Int_Rate_Param,2,FALSE))),IF(EIOPA_RFR!BC15*(1%+VLOOKUP($B10,Int_Rate_Param,2,FALSE))&lt;1%+EIOPA_RFR!BC15,1%+EIOPA_RFR!BC15,EIOPA_RFR!BC15*(1%+VLOOKUP($B10,Int_Rate_Param,2,FALSE))))</f>
        <v>2.6590000000000003E-2</v>
      </c>
    </row>
    <row r="11" spans="1:55" x14ac:dyDescent="0.25">
      <c r="A11">
        <f t="shared" si="0"/>
        <v>6</v>
      </c>
      <c r="B11" s="95">
        <v>4</v>
      </c>
      <c r="C11" s="94">
        <f>IF($B11&gt;20,IF(EIOPA_RFR!C16*(1%+VLOOKUP($B$27,Int_Rate_Param,2,FALSE))&lt;1%+EIOPA_RFR!C16,1%+EIOPA_RFR!C16,EIOPA_RFR!C16*(1%+VLOOKUP($B$27,Int_Rate_Param,2,FALSE))),IF(EIOPA_RFR!C16*(1%+VLOOKUP($B11,Int_Rate_Param,2,FALSE))&lt;1%+EIOPA_RFR!C16,1%+EIOPA_RFR!C16,EIOPA_RFR!C16*(1%+VLOOKUP($B11,Int_Rate_Param,2,FALSE))))</f>
        <v>9.6799999999999994E-3</v>
      </c>
      <c r="D11" s="94">
        <f>IF($B11&gt;20,IF(EIOPA_RFR!D16*(1%+VLOOKUP($B$27,Int_Rate_Param,2,FALSE))&lt;1%+EIOPA_RFR!D16,1%+EIOPA_RFR!D16,EIOPA_RFR!D16*(1%+VLOOKUP($B$27,Int_Rate_Param,2,FALSE))),IF(EIOPA_RFR!D16*(1%+VLOOKUP($B11,Int_Rate_Param,2,FALSE))&lt;1%+EIOPA_RFR!D16,1%+EIOPA_RFR!D16,EIOPA_RFR!D16*(1%+VLOOKUP($B11,Int_Rate_Param,2,FALSE))))</f>
        <v>9.6799999999999994E-3</v>
      </c>
      <c r="E11" s="94">
        <f>IF($B11&gt;20,IF(EIOPA_RFR!E16*(1%+VLOOKUP($B$27,Int_Rate_Param,2,FALSE))&lt;1%+EIOPA_RFR!E16,1%+EIOPA_RFR!E16,EIOPA_RFR!E16*(1%+VLOOKUP($B$27,Int_Rate_Param,2,FALSE))),IF(EIOPA_RFR!E16*(1%+VLOOKUP($B11,Int_Rate_Param,2,FALSE))&lt;1%+EIOPA_RFR!E16,1%+EIOPA_RFR!E16,EIOPA_RFR!E16*(1%+VLOOKUP($B11,Int_Rate_Param,2,FALSE))))</f>
        <v>9.6799999999999994E-3</v>
      </c>
      <c r="F11" s="94">
        <f>IF($B11&gt;20,IF(EIOPA_RFR!F16*(1%+VLOOKUP($B$27,Int_Rate_Param,2,FALSE))&lt;1%+EIOPA_RFR!F16,1%+EIOPA_RFR!F16,EIOPA_RFR!F16*(1%+VLOOKUP($B$27,Int_Rate_Param,2,FALSE))),IF(EIOPA_RFR!F16*(1%+VLOOKUP($B11,Int_Rate_Param,2,FALSE))&lt;1%+EIOPA_RFR!F16,1%+EIOPA_RFR!F16,EIOPA_RFR!F16*(1%+VLOOKUP($B11,Int_Rate_Param,2,FALSE))))</f>
        <v>9.1800000000000007E-3</v>
      </c>
      <c r="G11" s="94">
        <f>IF($B11&gt;20,IF(EIOPA_RFR!G16*(1%+VLOOKUP($B$27,Int_Rate_Param,2,FALSE))&lt;1%+EIOPA_RFR!G16,1%+EIOPA_RFR!G16,EIOPA_RFR!G16*(1%+VLOOKUP($B$27,Int_Rate_Param,2,FALSE))),IF(EIOPA_RFR!G16*(1%+VLOOKUP($B11,Int_Rate_Param,2,FALSE))&lt;1%+EIOPA_RFR!G16,1%+EIOPA_RFR!G16,EIOPA_RFR!G16*(1%+VLOOKUP($B11,Int_Rate_Param,2,FALSE))))</f>
        <v>3.0530000000000002E-2</v>
      </c>
      <c r="H11" s="94">
        <f>IF($B11&gt;20,IF(EIOPA_RFR!H16*(1%+VLOOKUP($B$27,Int_Rate_Param,2,FALSE))&lt;1%+EIOPA_RFR!H16,1%+EIOPA_RFR!H16,EIOPA_RFR!H16*(1%+VLOOKUP($B$27,Int_Rate_Param,2,FALSE))),IF(EIOPA_RFR!H16*(1%+VLOOKUP($B11,Int_Rate_Param,2,FALSE))&lt;1%+EIOPA_RFR!H16,1%+EIOPA_RFR!H16,EIOPA_RFR!H16*(1%+VLOOKUP($B11,Int_Rate_Param,2,FALSE))))</f>
        <v>9.6799999999999994E-3</v>
      </c>
      <c r="I11" s="94">
        <f>IF($B11&gt;20,IF(EIOPA_RFR!I16*(1%+VLOOKUP($B$27,Int_Rate_Param,2,FALSE))&lt;1%+EIOPA_RFR!I16,1%+EIOPA_RFR!I16,EIOPA_RFR!I16*(1%+VLOOKUP($B$27,Int_Rate_Param,2,FALSE))),IF(EIOPA_RFR!I16*(1%+VLOOKUP($B11,Int_Rate_Param,2,FALSE))&lt;1%+EIOPA_RFR!I16,1%+EIOPA_RFR!I16,EIOPA_RFR!I16*(1%+VLOOKUP($B11,Int_Rate_Param,2,FALSE))))</f>
        <v>1.5169999999999999E-2</v>
      </c>
      <c r="J11" s="94">
        <f>IF($B11&gt;20,IF(EIOPA_RFR!J16*(1%+VLOOKUP($B$27,Int_Rate_Param,2,FALSE))&lt;1%+EIOPA_RFR!J16,1%+EIOPA_RFR!J16,EIOPA_RFR!J16*(1%+VLOOKUP($B$27,Int_Rate_Param,2,FALSE))),IF(EIOPA_RFR!J16*(1%+VLOOKUP($B11,Int_Rate_Param,2,FALSE))&lt;1%+EIOPA_RFR!J16,1%+EIOPA_RFR!J16,EIOPA_RFR!J16*(1%+VLOOKUP($B11,Int_Rate_Param,2,FALSE))))</f>
        <v>9.58E-3</v>
      </c>
      <c r="K11" s="94">
        <f>IF($B11&gt;20,IF(EIOPA_RFR!K16*(1%+VLOOKUP($B$27,Int_Rate_Param,2,FALSE))&lt;1%+EIOPA_RFR!K16,1%+EIOPA_RFR!K16,EIOPA_RFR!K16*(1%+VLOOKUP($B$27,Int_Rate_Param,2,FALSE))),IF(EIOPA_RFR!K16*(1%+VLOOKUP($B11,Int_Rate_Param,2,FALSE))&lt;1%+EIOPA_RFR!K16,1%+EIOPA_RFR!K16,EIOPA_RFR!K16*(1%+VLOOKUP($B11,Int_Rate_Param,2,FALSE))))</f>
        <v>9.6799999999999994E-3</v>
      </c>
      <c r="L11" s="94">
        <f>IF($B11&gt;20,IF(EIOPA_RFR!L16*(1%+VLOOKUP($B$27,Int_Rate_Param,2,FALSE))&lt;1%+EIOPA_RFR!L16,1%+EIOPA_RFR!L16,EIOPA_RFR!L16*(1%+VLOOKUP($B$27,Int_Rate_Param,2,FALSE))),IF(EIOPA_RFR!L16*(1%+VLOOKUP($B11,Int_Rate_Param,2,FALSE))&lt;1%+EIOPA_RFR!L16,1%+EIOPA_RFR!L16,EIOPA_RFR!L16*(1%+VLOOKUP($B11,Int_Rate_Param,2,FALSE))))</f>
        <v>9.6799999999999994E-3</v>
      </c>
      <c r="M11" s="94">
        <f>IF($B11&gt;20,IF(EIOPA_RFR!M16*(1%+VLOOKUP($B$27,Int_Rate_Param,2,FALSE))&lt;1%+EIOPA_RFR!M16,1%+EIOPA_RFR!M16,EIOPA_RFR!M16*(1%+VLOOKUP($B$27,Int_Rate_Param,2,FALSE))),IF(EIOPA_RFR!M16*(1%+VLOOKUP($B11,Int_Rate_Param,2,FALSE))&lt;1%+EIOPA_RFR!M16,1%+EIOPA_RFR!M16,EIOPA_RFR!M16*(1%+VLOOKUP($B11,Int_Rate_Param,2,FALSE))))</f>
        <v>9.6799999999999994E-3</v>
      </c>
      <c r="N11" s="94">
        <f>IF($B11&gt;20,IF(EIOPA_RFR!N16*(1%+VLOOKUP($B$27,Int_Rate_Param,2,FALSE))&lt;1%+EIOPA_RFR!N16,1%+EIOPA_RFR!N16,EIOPA_RFR!N16*(1%+VLOOKUP($B$27,Int_Rate_Param,2,FALSE))),IF(EIOPA_RFR!N16*(1%+VLOOKUP($B11,Int_Rate_Param,2,FALSE))&lt;1%+EIOPA_RFR!N16,1%+EIOPA_RFR!N16,EIOPA_RFR!N16*(1%+VLOOKUP($B11,Int_Rate_Param,2,FALSE))))</f>
        <v>9.6799999999999994E-3</v>
      </c>
      <c r="O11" s="94">
        <f>IF($B11&gt;20,IF(EIOPA_RFR!O16*(1%+VLOOKUP($B$27,Int_Rate_Param,2,FALSE))&lt;1%+EIOPA_RFR!O16,1%+EIOPA_RFR!O16,EIOPA_RFR!O16*(1%+VLOOKUP($B$27,Int_Rate_Param,2,FALSE))),IF(EIOPA_RFR!O16*(1%+VLOOKUP($B11,Int_Rate_Param,2,FALSE))&lt;1%+EIOPA_RFR!O16,1%+EIOPA_RFR!O16,EIOPA_RFR!O16*(1%+VLOOKUP($B11,Int_Rate_Param,2,FALSE))))</f>
        <v>9.6799999999999994E-3</v>
      </c>
      <c r="P11" s="94">
        <f>IF($B11&gt;20,IF(EIOPA_RFR!P16*(1%+VLOOKUP($B$27,Int_Rate_Param,2,FALSE))&lt;1%+EIOPA_RFR!P16,1%+EIOPA_RFR!P16,EIOPA_RFR!P16*(1%+VLOOKUP($B$27,Int_Rate_Param,2,FALSE))),IF(EIOPA_RFR!P16*(1%+VLOOKUP($B11,Int_Rate_Param,2,FALSE))&lt;1%+EIOPA_RFR!P16,1%+EIOPA_RFR!P16,EIOPA_RFR!P16*(1%+VLOOKUP($B11,Int_Rate_Param,2,FALSE))))</f>
        <v>2.3699999999999999E-2</v>
      </c>
      <c r="Q11" s="94">
        <f>IF($B11&gt;20,IF(EIOPA_RFR!Q16*(1%+VLOOKUP($B$27,Int_Rate_Param,2,FALSE))&lt;1%+EIOPA_RFR!Q16,1%+EIOPA_RFR!Q16,EIOPA_RFR!Q16*(1%+VLOOKUP($B$27,Int_Rate_Param,2,FALSE))),IF(EIOPA_RFR!Q16*(1%+VLOOKUP($B11,Int_Rate_Param,2,FALSE))&lt;1%+EIOPA_RFR!Q16,1%+EIOPA_RFR!Q16,EIOPA_RFR!Q16*(1%+VLOOKUP($B11,Int_Rate_Param,2,FALSE))))</f>
        <v>5.8200000000000002E-2</v>
      </c>
      <c r="R11" s="94">
        <f>IF($B11&gt;20,IF(EIOPA_RFR!R16*(1%+VLOOKUP($B$27,Int_Rate_Param,2,FALSE))&lt;1%+EIOPA_RFR!R16,1%+EIOPA_RFR!R16,EIOPA_RFR!R16*(1%+VLOOKUP($B$27,Int_Rate_Param,2,FALSE))),IF(EIOPA_RFR!R16*(1%+VLOOKUP($B11,Int_Rate_Param,2,FALSE))&lt;1%+EIOPA_RFR!R16,1%+EIOPA_RFR!R16,EIOPA_RFR!R16*(1%+VLOOKUP($B11,Int_Rate_Param,2,FALSE))))</f>
        <v>9.6799999999999994E-3</v>
      </c>
      <c r="S11" s="94">
        <f>IF($B11&gt;20,IF(EIOPA_RFR!S16*(1%+VLOOKUP($B$27,Int_Rate_Param,2,FALSE))&lt;1%+EIOPA_RFR!S16,1%+EIOPA_RFR!S16,EIOPA_RFR!S16*(1%+VLOOKUP($B$27,Int_Rate_Param,2,FALSE))),IF(EIOPA_RFR!S16*(1%+VLOOKUP($B11,Int_Rate_Param,2,FALSE))&lt;1%+EIOPA_RFR!S16,1%+EIOPA_RFR!S16,EIOPA_RFR!S16*(1%+VLOOKUP($B11,Int_Rate_Param,2,FALSE))))</f>
        <v>9.6799999999999994E-3</v>
      </c>
      <c r="T11" s="94">
        <f>IF($B11&gt;20,IF(EIOPA_RFR!T16*(1%+VLOOKUP($B$27,Int_Rate_Param,2,FALSE))&lt;1%+EIOPA_RFR!T16,1%+EIOPA_RFR!T16,EIOPA_RFR!T16*(1%+VLOOKUP($B$27,Int_Rate_Param,2,FALSE))),IF(EIOPA_RFR!T16*(1%+VLOOKUP($B11,Int_Rate_Param,2,FALSE))&lt;1%+EIOPA_RFR!T16,1%+EIOPA_RFR!T16,EIOPA_RFR!T16*(1%+VLOOKUP($B11,Int_Rate_Param,2,FALSE))))</f>
        <v>9.6799999999999994E-3</v>
      </c>
      <c r="U11" s="94">
        <f>IF($B11&gt;20,IF(EIOPA_RFR!U16*(1%+VLOOKUP($B$27,Int_Rate_Param,2,FALSE))&lt;1%+EIOPA_RFR!U16,1%+EIOPA_RFR!U16,EIOPA_RFR!U16*(1%+VLOOKUP($B$27,Int_Rate_Param,2,FALSE))),IF(EIOPA_RFR!U16*(1%+VLOOKUP($B11,Int_Rate_Param,2,FALSE))&lt;1%+EIOPA_RFR!U16,1%+EIOPA_RFR!U16,EIOPA_RFR!U16*(1%+VLOOKUP($B11,Int_Rate_Param,2,FALSE))))</f>
        <v>4.5500000000000002E-3</v>
      </c>
      <c r="V11" s="94">
        <f>IF($B11&gt;20,IF(EIOPA_RFR!V16*(1%+VLOOKUP($B$27,Int_Rate_Param,2,FALSE))&lt;1%+EIOPA_RFR!V16,1%+EIOPA_RFR!V16,EIOPA_RFR!V16*(1%+VLOOKUP($B$27,Int_Rate_Param,2,FALSE))),IF(EIOPA_RFR!V16*(1%+VLOOKUP($B11,Int_Rate_Param,2,FALSE))&lt;1%+EIOPA_RFR!V16,1%+EIOPA_RFR!V16,EIOPA_RFR!V16*(1%+VLOOKUP($B11,Int_Rate_Param,2,FALSE))))</f>
        <v>9.6799999999999994E-3</v>
      </c>
      <c r="W11" s="94">
        <f>IF($B11&gt;20,IF(EIOPA_RFR!W16*(1%+VLOOKUP($B$27,Int_Rate_Param,2,FALSE))&lt;1%+EIOPA_RFR!W16,1%+EIOPA_RFR!W16,EIOPA_RFR!W16*(1%+VLOOKUP($B$27,Int_Rate_Param,2,FALSE))),IF(EIOPA_RFR!W16*(1%+VLOOKUP($B11,Int_Rate_Param,2,FALSE))&lt;1%+EIOPA_RFR!W16,1%+EIOPA_RFR!W16,EIOPA_RFR!W16*(1%+VLOOKUP($B11,Int_Rate_Param,2,FALSE))))</f>
        <v>9.6799999999999994E-3</v>
      </c>
      <c r="X11" s="94">
        <f>IF($B11&gt;20,IF(EIOPA_RFR!X16*(1%+VLOOKUP($B$27,Int_Rate_Param,2,FALSE))&lt;1%+EIOPA_RFR!X16,1%+EIOPA_RFR!X16,EIOPA_RFR!X16*(1%+VLOOKUP($B$27,Int_Rate_Param,2,FALSE))),IF(EIOPA_RFR!X16*(1%+VLOOKUP($B11,Int_Rate_Param,2,FALSE))&lt;1%+EIOPA_RFR!X16,1%+EIOPA_RFR!X16,EIOPA_RFR!X16*(1%+VLOOKUP($B11,Int_Rate_Param,2,FALSE))))</f>
        <v>9.6799999999999994E-3</v>
      </c>
      <c r="Y11" s="94">
        <f>IF($B11&gt;20,IF(EIOPA_RFR!Y16*(1%+VLOOKUP($B$27,Int_Rate_Param,2,FALSE))&lt;1%+EIOPA_RFR!Y16,1%+EIOPA_RFR!Y16,EIOPA_RFR!Y16*(1%+VLOOKUP($B$27,Int_Rate_Param,2,FALSE))),IF(EIOPA_RFR!Y16*(1%+VLOOKUP($B11,Int_Rate_Param,2,FALSE))&lt;1%+EIOPA_RFR!Y16,1%+EIOPA_RFR!Y16,EIOPA_RFR!Y16*(1%+VLOOKUP($B11,Int_Rate_Param,2,FALSE))))</f>
        <v>9.6799999999999994E-3</v>
      </c>
      <c r="Z11" s="94">
        <f>IF($B11&gt;20,IF(EIOPA_RFR!Z16*(1%+VLOOKUP($B$27,Int_Rate_Param,2,FALSE))&lt;1%+EIOPA_RFR!Z16,1%+EIOPA_RFR!Z16,EIOPA_RFR!Z16*(1%+VLOOKUP($B$27,Int_Rate_Param,2,FALSE))),IF(EIOPA_RFR!Z16*(1%+VLOOKUP($B11,Int_Rate_Param,2,FALSE))&lt;1%+EIOPA_RFR!Z16,1%+EIOPA_RFR!Z16,EIOPA_RFR!Z16*(1%+VLOOKUP($B11,Int_Rate_Param,2,FALSE))))</f>
        <v>2.2890000000000001E-2</v>
      </c>
      <c r="AA11" s="94">
        <f>IF($B11&gt;20,IF(EIOPA_RFR!AA16*(1%+VLOOKUP($B$27,Int_Rate_Param,2,FALSE))&lt;1%+EIOPA_RFR!AA16,1%+EIOPA_RFR!AA16,EIOPA_RFR!AA16*(1%+VLOOKUP($B$27,Int_Rate_Param,2,FALSE))),IF(EIOPA_RFR!AA16*(1%+VLOOKUP($B11,Int_Rate_Param,2,FALSE))&lt;1%+EIOPA_RFR!AA16,1%+EIOPA_RFR!AA16,EIOPA_RFR!AA16*(1%+VLOOKUP($B11,Int_Rate_Param,2,FALSE))))</f>
        <v>3.5049999999999998E-2</v>
      </c>
      <c r="AB11" s="94">
        <f>IF($B11&gt;20,IF(EIOPA_RFR!AB16*(1%+VLOOKUP($B$27,Int_Rate_Param,2,FALSE))&lt;1%+EIOPA_RFR!AB16,1%+EIOPA_RFR!AB16,EIOPA_RFR!AB16*(1%+VLOOKUP($B$27,Int_Rate_Param,2,FALSE))),IF(EIOPA_RFR!AB16*(1%+VLOOKUP($B11,Int_Rate_Param,2,FALSE))&lt;1%+EIOPA_RFR!AB16,1%+EIOPA_RFR!AB16,EIOPA_RFR!AB16*(1%+VLOOKUP($B11,Int_Rate_Param,2,FALSE))))</f>
        <v>9.6799999999999994E-3</v>
      </c>
      <c r="AC11" s="94">
        <f>IF($B11&gt;20,IF(EIOPA_RFR!AC16*(1%+VLOOKUP($B$27,Int_Rate_Param,2,FALSE))&lt;1%+EIOPA_RFR!AC16,1%+EIOPA_RFR!AC16,EIOPA_RFR!AC16*(1%+VLOOKUP($B$27,Int_Rate_Param,2,FALSE))),IF(EIOPA_RFR!AC16*(1%+VLOOKUP($B11,Int_Rate_Param,2,FALSE))&lt;1%+EIOPA_RFR!AC16,1%+EIOPA_RFR!AC16,EIOPA_RFR!AC16*(1%+VLOOKUP($B11,Int_Rate_Param,2,FALSE))))</f>
        <v>3.3890000000000003E-2</v>
      </c>
      <c r="AD11" s="94">
        <f>IF($B11&gt;20,IF(EIOPA_RFR!AD16*(1%+VLOOKUP($B$27,Int_Rate_Param,2,FALSE))&lt;1%+EIOPA_RFR!AD16,1%+EIOPA_RFR!AD16,EIOPA_RFR!AD16*(1%+VLOOKUP($B$27,Int_Rate_Param,2,FALSE))),IF(EIOPA_RFR!AD16*(1%+VLOOKUP($B11,Int_Rate_Param,2,FALSE))&lt;1%+EIOPA_RFR!AD16,1%+EIOPA_RFR!AD16,EIOPA_RFR!AD16*(1%+VLOOKUP($B11,Int_Rate_Param,2,FALSE))))</f>
        <v>9.2399999999999996E-2</v>
      </c>
      <c r="AE11" s="94">
        <f>IF($B11&gt;20,IF(EIOPA_RFR!AE16*(1%+VLOOKUP($B$27,Int_Rate_Param,2,FALSE))&lt;1%+EIOPA_RFR!AE16,1%+EIOPA_RFR!AE16,EIOPA_RFR!AE16*(1%+VLOOKUP($B$27,Int_Rate_Param,2,FALSE))),IF(EIOPA_RFR!AE16*(1%+VLOOKUP($B11,Int_Rate_Param,2,FALSE))&lt;1%+EIOPA_RFR!AE16,1%+EIOPA_RFR!AE16,EIOPA_RFR!AE16*(1%+VLOOKUP($B11,Int_Rate_Param,2,FALSE))))</f>
        <v>9.6799999999999994E-3</v>
      </c>
      <c r="AF11" s="94">
        <f>IF($B11&gt;20,IF(EIOPA_RFR!AF16*(1%+VLOOKUP($B$27,Int_Rate_Param,2,FALSE))&lt;1%+EIOPA_RFR!AF16,1%+EIOPA_RFR!AF16,EIOPA_RFR!AF16*(1%+VLOOKUP($B$27,Int_Rate_Param,2,FALSE))),IF(EIOPA_RFR!AF16*(1%+VLOOKUP($B11,Int_Rate_Param,2,FALSE))&lt;1%+EIOPA_RFR!AF16,1%+EIOPA_RFR!AF16,EIOPA_RFR!AF16*(1%+VLOOKUP($B11,Int_Rate_Param,2,FALSE))))</f>
        <v>9.6799999999999994E-3</v>
      </c>
      <c r="AG11" s="94">
        <f>IF($B11&gt;20,IF(EIOPA_RFR!AG16*(1%+VLOOKUP($B$27,Int_Rate_Param,2,FALSE))&lt;1%+EIOPA_RFR!AG16,1%+EIOPA_RFR!AG16,EIOPA_RFR!AG16*(1%+VLOOKUP($B$27,Int_Rate_Param,2,FALSE))),IF(EIOPA_RFR!AG16*(1%+VLOOKUP($B11,Int_Rate_Param,2,FALSE))&lt;1%+EIOPA_RFR!AG16,1%+EIOPA_RFR!AG16,EIOPA_RFR!AG16*(1%+VLOOKUP($B11,Int_Rate_Param,2,FALSE))))</f>
        <v>9.6799999999999994E-3</v>
      </c>
      <c r="AH11" s="94">
        <f>IF($B11&gt;20,IF(EIOPA_RFR!AH16*(1%+VLOOKUP($B$27,Int_Rate_Param,2,FALSE))&lt;1%+EIOPA_RFR!AH16,1%+EIOPA_RFR!AH16,EIOPA_RFR!AH16*(1%+VLOOKUP($B$27,Int_Rate_Param,2,FALSE))),IF(EIOPA_RFR!AH16*(1%+VLOOKUP($B11,Int_Rate_Param,2,FALSE))&lt;1%+EIOPA_RFR!AH16,1%+EIOPA_RFR!AH16,EIOPA_RFR!AH16*(1%+VLOOKUP($B11,Int_Rate_Param,2,FALSE))))</f>
        <v>1.039E-2</v>
      </c>
      <c r="AI11" s="94">
        <f>IF($B11&gt;20,IF(EIOPA_RFR!AI16*(1%+VLOOKUP($B$27,Int_Rate_Param,2,FALSE))&lt;1%+EIOPA_RFR!AI16,1%+EIOPA_RFR!AI16,EIOPA_RFR!AI16*(1%+VLOOKUP($B$27,Int_Rate_Param,2,FALSE))),IF(EIOPA_RFR!AI16*(1%+VLOOKUP($B11,Int_Rate_Param,2,FALSE))&lt;1%+EIOPA_RFR!AI16,1%+EIOPA_RFR!AI16,EIOPA_RFR!AI16*(1%+VLOOKUP($B11,Int_Rate_Param,2,FALSE))))</f>
        <v>4.5500000000000002E-3</v>
      </c>
      <c r="AJ11" s="94">
        <f>IF($B11&gt;20,IF(EIOPA_RFR!AJ16*(1%+VLOOKUP($B$27,Int_Rate_Param,2,FALSE))&lt;1%+EIOPA_RFR!AJ16,1%+EIOPA_RFR!AJ16,EIOPA_RFR!AJ16*(1%+VLOOKUP($B$27,Int_Rate_Param,2,FALSE))),IF(EIOPA_RFR!AJ16*(1%+VLOOKUP($B11,Int_Rate_Param,2,FALSE))&lt;1%+EIOPA_RFR!AJ16,1%+EIOPA_RFR!AJ16,EIOPA_RFR!AJ16*(1%+VLOOKUP($B11,Int_Rate_Param,2,FALSE))))</f>
        <v>1.609E-2</v>
      </c>
      <c r="AK11" s="94">
        <f>IF($B11&gt;20,IF(EIOPA_RFR!AK16*(1%+VLOOKUP($B$27,Int_Rate_Param,2,FALSE))&lt;1%+EIOPA_RFR!AK16,1%+EIOPA_RFR!AK16,EIOPA_RFR!AK16*(1%+VLOOKUP($B$27,Int_Rate_Param,2,FALSE))),IF(EIOPA_RFR!AK16*(1%+VLOOKUP($B11,Int_Rate_Param,2,FALSE))&lt;1%+EIOPA_RFR!AK16,1%+EIOPA_RFR!AK16,EIOPA_RFR!AK16*(1%+VLOOKUP($B11,Int_Rate_Param,2,FALSE))))</f>
        <v>3.2280000000000003E-2</v>
      </c>
      <c r="AL11" s="94">
        <f>IF($B11&gt;20,IF(EIOPA_RFR!AL16*(1%+VLOOKUP($B$27,Int_Rate_Param,2,FALSE))&lt;1%+EIOPA_RFR!AL16,1%+EIOPA_RFR!AL16,EIOPA_RFR!AL16*(1%+VLOOKUP($B$27,Int_Rate_Param,2,FALSE))),IF(EIOPA_RFR!AL16*(1%+VLOOKUP($B11,Int_Rate_Param,2,FALSE))&lt;1%+EIOPA_RFR!AL16,1%+EIOPA_RFR!AL16,EIOPA_RFR!AL16*(1%+VLOOKUP($B11,Int_Rate_Param,2,FALSE))))</f>
        <v>0.10198</v>
      </c>
      <c r="AM11" s="94">
        <f>IF($B11&gt;20,IF(EIOPA_RFR!AM16*(1%+VLOOKUP($B$27,Int_Rate_Param,2,FALSE))&lt;1%+EIOPA_RFR!AM16,1%+EIOPA_RFR!AM16,EIOPA_RFR!AM16*(1%+VLOOKUP($B$27,Int_Rate_Param,2,FALSE))),IF(EIOPA_RFR!AM16*(1%+VLOOKUP($B11,Int_Rate_Param,2,FALSE))&lt;1%+EIOPA_RFR!AM16,1%+EIOPA_RFR!AM16,EIOPA_RFR!AM16*(1%+VLOOKUP($B11,Int_Rate_Param,2,FALSE))))</f>
        <v>2.1600000000000001E-2</v>
      </c>
      <c r="AN11" s="94">
        <f>IF($B11&gt;20,IF(EIOPA_RFR!AN16*(1%+VLOOKUP($B$27,Int_Rate_Param,2,FALSE))&lt;1%+EIOPA_RFR!AN16,1%+EIOPA_RFR!AN16,EIOPA_RFR!AN16*(1%+VLOOKUP($B$27,Int_Rate_Param,2,FALSE))),IF(EIOPA_RFR!AN16*(1%+VLOOKUP($B11,Int_Rate_Param,2,FALSE))&lt;1%+EIOPA_RFR!AN16,1%+EIOPA_RFR!AN16,EIOPA_RFR!AN16*(1%+VLOOKUP($B11,Int_Rate_Param,2,FALSE))))</f>
        <v>4.1119999999999997E-2</v>
      </c>
      <c r="AO11" s="94">
        <f>IF($B11&gt;20,IF(EIOPA_RFR!AO16*(1%+VLOOKUP($B$27,Int_Rate_Param,2,FALSE))&lt;1%+EIOPA_RFR!AO16,1%+EIOPA_RFR!AO16,EIOPA_RFR!AO16*(1%+VLOOKUP($B$27,Int_Rate_Param,2,FALSE))),IF(EIOPA_RFR!AO16*(1%+VLOOKUP($B11,Int_Rate_Param,2,FALSE))&lt;1%+EIOPA_RFR!AO16,1%+EIOPA_RFR!AO16,EIOPA_RFR!AO16*(1%+VLOOKUP($B11,Int_Rate_Param,2,FALSE))))</f>
        <v>4.53E-2</v>
      </c>
      <c r="AP11" s="94">
        <f>IF($B11&gt;20,IF(EIOPA_RFR!AP16*(1%+VLOOKUP($B$27,Int_Rate_Param,2,FALSE))&lt;1%+EIOPA_RFR!AP16,1%+EIOPA_RFR!AP16,EIOPA_RFR!AP16*(1%+VLOOKUP($B$27,Int_Rate_Param,2,FALSE))),IF(EIOPA_RFR!AP16*(1%+VLOOKUP($B11,Int_Rate_Param,2,FALSE))&lt;1%+EIOPA_RFR!AP16,1%+EIOPA_RFR!AP16,EIOPA_RFR!AP16*(1%+VLOOKUP($B11,Int_Rate_Param,2,FALSE))))</f>
        <v>6.6070000000000004E-2</v>
      </c>
      <c r="AQ11" s="94">
        <f>IF($B11&gt;20,IF(EIOPA_RFR!AQ16*(1%+VLOOKUP($B$27,Int_Rate_Param,2,FALSE))&lt;1%+EIOPA_RFR!AQ16,1%+EIOPA_RFR!AQ16,EIOPA_RFR!AQ16*(1%+VLOOKUP($B$27,Int_Rate_Param,2,FALSE))),IF(EIOPA_RFR!AQ16*(1%+VLOOKUP($B11,Int_Rate_Param,2,FALSE))&lt;1%+EIOPA_RFR!AQ16,1%+EIOPA_RFR!AQ16,EIOPA_RFR!AQ16*(1%+VLOOKUP($B11,Int_Rate_Param,2,FALSE))))</f>
        <v>2.751E-2</v>
      </c>
      <c r="AR11" s="94">
        <f>IF($B11&gt;20,IF(EIOPA_RFR!AR16*(1%+VLOOKUP($B$27,Int_Rate_Param,2,FALSE))&lt;1%+EIOPA_RFR!AR16,1%+EIOPA_RFR!AR16,EIOPA_RFR!AR16*(1%+VLOOKUP($B$27,Int_Rate_Param,2,FALSE))),IF(EIOPA_RFR!AR16*(1%+VLOOKUP($B11,Int_Rate_Param,2,FALSE))&lt;1%+EIOPA_RFR!AR16,1%+EIOPA_RFR!AR16,EIOPA_RFR!AR16*(1%+VLOOKUP($B11,Int_Rate_Param,2,FALSE))))</f>
        <v>7.286999999999999E-2</v>
      </c>
      <c r="AS11" s="94">
        <f>IF($B11&gt;20,IF(EIOPA_RFR!AS16*(1%+VLOOKUP($B$27,Int_Rate_Param,2,FALSE))&lt;1%+EIOPA_RFR!AS16,1%+EIOPA_RFR!AS16,EIOPA_RFR!AS16*(1%+VLOOKUP($B$27,Int_Rate_Param,2,FALSE))),IF(EIOPA_RFR!AS16*(1%+VLOOKUP($B11,Int_Rate_Param,2,FALSE))&lt;1%+EIOPA_RFR!AS16,1%+EIOPA_RFR!AS16,EIOPA_RFR!AS16*(1%+VLOOKUP($B11,Int_Rate_Param,2,FALSE))))</f>
        <v>9.8200000000000006E-3</v>
      </c>
      <c r="AT11" s="94">
        <f>IF($B11&gt;20,IF(EIOPA_RFR!AT16*(1%+VLOOKUP($B$27,Int_Rate_Param,2,FALSE))&lt;1%+EIOPA_RFR!AT16,1%+EIOPA_RFR!AT16,EIOPA_RFR!AT16*(1%+VLOOKUP($B$27,Int_Rate_Param,2,FALSE))),IF(EIOPA_RFR!AT16*(1%+VLOOKUP($B11,Int_Rate_Param,2,FALSE))&lt;1%+EIOPA_RFR!AT16,1%+EIOPA_RFR!AT16,EIOPA_RFR!AT16*(1%+VLOOKUP($B11,Int_Rate_Param,2,FALSE))))</f>
        <v>4.6249999999999999E-2</v>
      </c>
      <c r="AU11" s="94">
        <f>IF($B11&gt;20,IF(EIOPA_RFR!AU16*(1%+VLOOKUP($B$27,Int_Rate_Param,2,FALSE))&lt;1%+EIOPA_RFR!AU16,1%+EIOPA_RFR!AU16,EIOPA_RFR!AU16*(1%+VLOOKUP($B$27,Int_Rate_Param,2,FALSE))),IF(EIOPA_RFR!AU16*(1%+VLOOKUP($B11,Int_Rate_Param,2,FALSE))&lt;1%+EIOPA_RFR!AU16,1%+EIOPA_RFR!AU16,EIOPA_RFR!AU16*(1%+VLOOKUP($B11,Int_Rate_Param,2,FALSE))))</f>
        <v>8.047E-2</v>
      </c>
      <c r="AV11" s="94">
        <f>IF($B11&gt;20,IF(EIOPA_RFR!AV16*(1%+VLOOKUP($B$27,Int_Rate_Param,2,FALSE))&lt;1%+EIOPA_RFR!AV16,1%+EIOPA_RFR!AV16,EIOPA_RFR!AV16*(1%+VLOOKUP($B$27,Int_Rate_Param,2,FALSE))),IF(EIOPA_RFR!AV16*(1%+VLOOKUP($B11,Int_Rate_Param,2,FALSE))&lt;1%+EIOPA_RFR!AV16,1%+EIOPA_RFR!AV16,EIOPA_RFR!AV16*(1%+VLOOKUP($B11,Int_Rate_Param,2,FALSE))))</f>
        <v>3.5560000000000001E-2</v>
      </c>
      <c r="AW11" s="94">
        <f>IF($B11&gt;20,IF(EIOPA_RFR!AW16*(1%+VLOOKUP($B$27,Int_Rate_Param,2,FALSE))&lt;1%+EIOPA_RFR!AW16,1%+EIOPA_RFR!AW16,EIOPA_RFR!AW16*(1%+VLOOKUP($B$27,Int_Rate_Param,2,FALSE))),IF(EIOPA_RFR!AW16*(1%+VLOOKUP($B11,Int_Rate_Param,2,FALSE))&lt;1%+EIOPA_RFR!AW16,1%+EIOPA_RFR!AW16,EIOPA_RFR!AW16*(1%+VLOOKUP($B11,Int_Rate_Param,2,FALSE))))</f>
        <v>2.7869999999999999E-2</v>
      </c>
      <c r="AX11" s="94">
        <f>IF($B11&gt;20,IF(EIOPA_RFR!AX16*(1%+VLOOKUP($B$27,Int_Rate_Param,2,FALSE))&lt;1%+EIOPA_RFR!AX16,1%+EIOPA_RFR!AX16,EIOPA_RFR!AX16*(1%+VLOOKUP($B$27,Int_Rate_Param,2,FALSE))),IF(EIOPA_RFR!AX16*(1%+VLOOKUP($B11,Int_Rate_Param,2,FALSE))&lt;1%+EIOPA_RFR!AX16,1%+EIOPA_RFR!AX16,EIOPA_RFR!AX16*(1%+VLOOKUP($B11,Int_Rate_Param,2,FALSE))))</f>
        <v>8.4179999999999991E-2</v>
      </c>
      <c r="AY11" s="94">
        <f>IF($B11&gt;20,IF(EIOPA_RFR!AY16*(1%+VLOOKUP($B$27,Int_Rate_Param,2,FALSE))&lt;1%+EIOPA_RFR!AY16,1%+EIOPA_RFR!AY16,EIOPA_RFR!AY16*(1%+VLOOKUP($B$27,Int_Rate_Param,2,FALSE))),IF(EIOPA_RFR!AY16*(1%+VLOOKUP($B11,Int_Rate_Param,2,FALSE))&lt;1%+EIOPA_RFR!AY16,1%+EIOPA_RFR!AY16,EIOPA_RFR!AY16*(1%+VLOOKUP($B11,Int_Rate_Param,2,FALSE))))</f>
        <v>2.554E-2</v>
      </c>
      <c r="AZ11" s="94">
        <f>IF($B11&gt;20,IF(EIOPA_RFR!AZ16*(1%+VLOOKUP($B$27,Int_Rate_Param,2,FALSE))&lt;1%+EIOPA_RFR!AZ16,1%+EIOPA_RFR!AZ16,EIOPA_RFR!AZ16*(1%+VLOOKUP($B$27,Int_Rate_Param,2,FALSE))),IF(EIOPA_RFR!AZ16*(1%+VLOOKUP($B11,Int_Rate_Param,2,FALSE))&lt;1%+EIOPA_RFR!AZ16,1%+EIOPA_RFR!AZ16,EIOPA_RFR!AZ16*(1%+VLOOKUP($B11,Int_Rate_Param,2,FALSE))))</f>
        <v>1.7149999999999999E-2</v>
      </c>
      <c r="BA11" s="94">
        <f>IF($B11&gt;20,IF(EIOPA_RFR!BA16*(1%+VLOOKUP($B$27,Int_Rate_Param,2,FALSE))&lt;1%+EIOPA_RFR!BA16,1%+EIOPA_RFR!BA16,EIOPA_RFR!BA16*(1%+VLOOKUP($B$27,Int_Rate_Param,2,FALSE))),IF(EIOPA_RFR!BA16*(1%+VLOOKUP($B11,Int_Rate_Param,2,FALSE))&lt;1%+EIOPA_RFR!BA16,1%+EIOPA_RFR!BA16,EIOPA_RFR!BA16*(1%+VLOOKUP($B11,Int_Rate_Param,2,FALSE))))</f>
        <v>2.928E-2</v>
      </c>
      <c r="BB11" s="94">
        <f>IF($B11&gt;20,IF(EIOPA_RFR!BB16*(1%+VLOOKUP($B$27,Int_Rate_Param,2,FALSE))&lt;1%+EIOPA_RFR!BB16,1%+EIOPA_RFR!BB16,EIOPA_RFR!BB16*(1%+VLOOKUP($B$27,Int_Rate_Param,2,FALSE))),IF(EIOPA_RFR!BB16*(1%+VLOOKUP($B11,Int_Rate_Param,2,FALSE))&lt;1%+EIOPA_RFR!BB16,1%+EIOPA_RFR!BB16,EIOPA_RFR!BB16*(1%+VLOOKUP($B11,Int_Rate_Param,2,FALSE))))</f>
        <v>0.12605</v>
      </c>
      <c r="BC11" s="94">
        <f>IF($B11&gt;20,IF(EIOPA_RFR!BC16*(1%+VLOOKUP($B$27,Int_Rate_Param,2,FALSE))&lt;1%+EIOPA_RFR!BC16,1%+EIOPA_RFR!BC16,EIOPA_RFR!BC16*(1%+VLOOKUP($B$27,Int_Rate_Param,2,FALSE))),IF(EIOPA_RFR!BC16*(1%+VLOOKUP($B11,Int_Rate_Param,2,FALSE))&lt;1%+EIOPA_RFR!BC16,1%+EIOPA_RFR!BC16,EIOPA_RFR!BC16*(1%+VLOOKUP($B11,Int_Rate_Param,2,FALSE))))</f>
        <v>2.801E-2</v>
      </c>
    </row>
    <row r="12" spans="1:55" x14ac:dyDescent="0.25">
      <c r="A12">
        <f t="shared" si="0"/>
        <v>7</v>
      </c>
      <c r="B12" s="95">
        <v>5</v>
      </c>
      <c r="C12" s="94">
        <f>IF($B12&gt;20,IF(EIOPA_RFR!C17*(1%+VLOOKUP($B$27,Int_Rate_Param,2,FALSE))&lt;1%+EIOPA_RFR!C17,1%+EIOPA_RFR!C17,EIOPA_RFR!C17*(1%+VLOOKUP($B$27,Int_Rate_Param,2,FALSE))),IF(EIOPA_RFR!C17*(1%+VLOOKUP($B12,Int_Rate_Param,2,FALSE))&lt;1%+EIOPA_RFR!C17,1%+EIOPA_RFR!C17,EIOPA_RFR!C17*(1%+VLOOKUP($B12,Int_Rate_Param,2,FALSE))))</f>
        <v>1.082E-2</v>
      </c>
      <c r="D12" s="94">
        <f>IF($B12&gt;20,IF(EIOPA_RFR!D17*(1%+VLOOKUP($B$27,Int_Rate_Param,2,FALSE))&lt;1%+EIOPA_RFR!D17,1%+EIOPA_RFR!D17,EIOPA_RFR!D17*(1%+VLOOKUP($B$27,Int_Rate_Param,2,FALSE))),IF(EIOPA_RFR!D17*(1%+VLOOKUP($B12,Int_Rate_Param,2,FALSE))&lt;1%+EIOPA_RFR!D17,1%+EIOPA_RFR!D17,EIOPA_RFR!D17*(1%+VLOOKUP($B12,Int_Rate_Param,2,FALSE))))</f>
        <v>1.082E-2</v>
      </c>
      <c r="E12" s="94">
        <f>IF($B12&gt;20,IF(EIOPA_RFR!E17*(1%+VLOOKUP($B$27,Int_Rate_Param,2,FALSE))&lt;1%+EIOPA_RFR!E17,1%+EIOPA_RFR!E17,EIOPA_RFR!E17*(1%+VLOOKUP($B$27,Int_Rate_Param,2,FALSE))),IF(EIOPA_RFR!E17*(1%+VLOOKUP($B12,Int_Rate_Param,2,FALSE))&lt;1%+EIOPA_RFR!E17,1%+EIOPA_RFR!E17,EIOPA_RFR!E17*(1%+VLOOKUP($B12,Int_Rate_Param,2,FALSE))))</f>
        <v>1.082E-2</v>
      </c>
      <c r="F12" s="94">
        <f>IF($B12&gt;20,IF(EIOPA_RFR!F17*(1%+VLOOKUP($B$27,Int_Rate_Param,2,FALSE))&lt;1%+EIOPA_RFR!F17,1%+EIOPA_RFR!F17,EIOPA_RFR!F17*(1%+VLOOKUP($B$27,Int_Rate_Param,2,FALSE))),IF(EIOPA_RFR!F17*(1%+VLOOKUP($B12,Int_Rate_Param,2,FALSE))&lt;1%+EIOPA_RFR!F17,1%+EIOPA_RFR!F17,EIOPA_RFR!F17*(1%+VLOOKUP($B12,Int_Rate_Param,2,FALSE))))</f>
        <v>1.0320000000000001E-2</v>
      </c>
      <c r="G12" s="94">
        <f>IF($B12&gt;20,IF(EIOPA_RFR!G17*(1%+VLOOKUP($B$27,Int_Rate_Param,2,FALSE))&lt;1%+EIOPA_RFR!G17,1%+EIOPA_RFR!G17,EIOPA_RFR!G17*(1%+VLOOKUP($B$27,Int_Rate_Param,2,FALSE))),IF(EIOPA_RFR!G17*(1%+VLOOKUP($B12,Int_Rate_Param,2,FALSE))&lt;1%+EIOPA_RFR!G17,1%+EIOPA_RFR!G17,EIOPA_RFR!G17*(1%+VLOOKUP($B12,Int_Rate_Param,2,FALSE))))</f>
        <v>3.3309999999999999E-2</v>
      </c>
      <c r="H12" s="94">
        <f>IF($B12&gt;20,IF(EIOPA_RFR!H17*(1%+VLOOKUP($B$27,Int_Rate_Param,2,FALSE))&lt;1%+EIOPA_RFR!H17,1%+EIOPA_RFR!H17,EIOPA_RFR!H17*(1%+VLOOKUP($B$27,Int_Rate_Param,2,FALSE))),IF(EIOPA_RFR!H17*(1%+VLOOKUP($B12,Int_Rate_Param,2,FALSE))&lt;1%+EIOPA_RFR!H17,1%+EIOPA_RFR!H17,EIOPA_RFR!H17*(1%+VLOOKUP($B12,Int_Rate_Param,2,FALSE))))</f>
        <v>1.082E-2</v>
      </c>
      <c r="I12" s="94">
        <f>IF($B12&gt;20,IF(EIOPA_RFR!I17*(1%+VLOOKUP($B$27,Int_Rate_Param,2,FALSE))&lt;1%+EIOPA_RFR!I17,1%+EIOPA_RFR!I17,EIOPA_RFR!I17*(1%+VLOOKUP($B$27,Int_Rate_Param,2,FALSE))),IF(EIOPA_RFR!I17*(1%+VLOOKUP($B12,Int_Rate_Param,2,FALSE))&lt;1%+EIOPA_RFR!I17,1%+EIOPA_RFR!I17,EIOPA_RFR!I17*(1%+VLOOKUP($B12,Int_Rate_Param,2,FALSE))))</f>
        <v>1.602E-2</v>
      </c>
      <c r="J12" s="94">
        <f>IF($B12&gt;20,IF(EIOPA_RFR!J17*(1%+VLOOKUP($B$27,Int_Rate_Param,2,FALSE))&lt;1%+EIOPA_RFR!J17,1%+EIOPA_RFR!J17,EIOPA_RFR!J17*(1%+VLOOKUP($B$27,Int_Rate_Param,2,FALSE))),IF(EIOPA_RFR!J17*(1%+VLOOKUP($B12,Int_Rate_Param,2,FALSE))&lt;1%+EIOPA_RFR!J17,1%+EIOPA_RFR!J17,EIOPA_RFR!J17*(1%+VLOOKUP($B12,Int_Rate_Param,2,FALSE))))</f>
        <v>1.072E-2</v>
      </c>
      <c r="K12" s="94">
        <f>IF($B12&gt;20,IF(EIOPA_RFR!K17*(1%+VLOOKUP($B$27,Int_Rate_Param,2,FALSE))&lt;1%+EIOPA_RFR!K17,1%+EIOPA_RFR!K17,EIOPA_RFR!K17*(1%+VLOOKUP($B$27,Int_Rate_Param,2,FALSE))),IF(EIOPA_RFR!K17*(1%+VLOOKUP($B12,Int_Rate_Param,2,FALSE))&lt;1%+EIOPA_RFR!K17,1%+EIOPA_RFR!K17,EIOPA_RFR!K17*(1%+VLOOKUP($B12,Int_Rate_Param,2,FALSE))))</f>
        <v>1.082E-2</v>
      </c>
      <c r="L12" s="94">
        <f>IF($B12&gt;20,IF(EIOPA_RFR!L17*(1%+VLOOKUP($B$27,Int_Rate_Param,2,FALSE))&lt;1%+EIOPA_RFR!L17,1%+EIOPA_RFR!L17,EIOPA_RFR!L17*(1%+VLOOKUP($B$27,Int_Rate_Param,2,FALSE))),IF(EIOPA_RFR!L17*(1%+VLOOKUP($B12,Int_Rate_Param,2,FALSE))&lt;1%+EIOPA_RFR!L17,1%+EIOPA_RFR!L17,EIOPA_RFR!L17*(1%+VLOOKUP($B12,Int_Rate_Param,2,FALSE))))</f>
        <v>1.082E-2</v>
      </c>
      <c r="M12" s="94">
        <f>IF($B12&gt;20,IF(EIOPA_RFR!M17*(1%+VLOOKUP($B$27,Int_Rate_Param,2,FALSE))&lt;1%+EIOPA_RFR!M17,1%+EIOPA_RFR!M17,EIOPA_RFR!M17*(1%+VLOOKUP($B$27,Int_Rate_Param,2,FALSE))),IF(EIOPA_RFR!M17*(1%+VLOOKUP($B12,Int_Rate_Param,2,FALSE))&lt;1%+EIOPA_RFR!M17,1%+EIOPA_RFR!M17,EIOPA_RFR!M17*(1%+VLOOKUP($B12,Int_Rate_Param,2,FALSE))))</f>
        <v>1.082E-2</v>
      </c>
      <c r="N12" s="94">
        <f>IF($B12&gt;20,IF(EIOPA_RFR!N17*(1%+VLOOKUP($B$27,Int_Rate_Param,2,FALSE))&lt;1%+EIOPA_RFR!N17,1%+EIOPA_RFR!N17,EIOPA_RFR!N17*(1%+VLOOKUP($B$27,Int_Rate_Param,2,FALSE))),IF(EIOPA_RFR!N17*(1%+VLOOKUP($B12,Int_Rate_Param,2,FALSE))&lt;1%+EIOPA_RFR!N17,1%+EIOPA_RFR!N17,EIOPA_RFR!N17*(1%+VLOOKUP($B12,Int_Rate_Param,2,FALSE))))</f>
        <v>1.082E-2</v>
      </c>
      <c r="O12" s="94">
        <f>IF($B12&gt;20,IF(EIOPA_RFR!O17*(1%+VLOOKUP($B$27,Int_Rate_Param,2,FALSE))&lt;1%+EIOPA_RFR!O17,1%+EIOPA_RFR!O17,EIOPA_RFR!O17*(1%+VLOOKUP($B$27,Int_Rate_Param,2,FALSE))),IF(EIOPA_RFR!O17*(1%+VLOOKUP($B12,Int_Rate_Param,2,FALSE))&lt;1%+EIOPA_RFR!O17,1%+EIOPA_RFR!O17,EIOPA_RFR!O17*(1%+VLOOKUP($B12,Int_Rate_Param,2,FALSE))))</f>
        <v>1.082E-2</v>
      </c>
      <c r="P12" s="94">
        <f>IF($B12&gt;20,IF(EIOPA_RFR!P17*(1%+VLOOKUP($B$27,Int_Rate_Param,2,FALSE))&lt;1%+EIOPA_RFR!P17,1%+EIOPA_RFR!P17,EIOPA_RFR!P17*(1%+VLOOKUP($B$27,Int_Rate_Param,2,FALSE))),IF(EIOPA_RFR!P17*(1%+VLOOKUP($B12,Int_Rate_Param,2,FALSE))&lt;1%+EIOPA_RFR!P17,1%+EIOPA_RFR!P17,EIOPA_RFR!P17*(1%+VLOOKUP($B12,Int_Rate_Param,2,FALSE))))</f>
        <v>2.844E-2</v>
      </c>
      <c r="Q12" s="94">
        <f>IF($B12&gt;20,IF(EIOPA_RFR!Q17*(1%+VLOOKUP($B$27,Int_Rate_Param,2,FALSE))&lt;1%+EIOPA_RFR!Q17,1%+EIOPA_RFR!Q17,EIOPA_RFR!Q17*(1%+VLOOKUP($B$27,Int_Rate_Param,2,FALSE))),IF(EIOPA_RFR!Q17*(1%+VLOOKUP($B12,Int_Rate_Param,2,FALSE))&lt;1%+EIOPA_RFR!Q17,1%+EIOPA_RFR!Q17,EIOPA_RFR!Q17*(1%+VLOOKUP($B12,Int_Rate_Param,2,FALSE))))</f>
        <v>5.7960000000000005E-2</v>
      </c>
      <c r="R12" s="94">
        <f>IF($B12&gt;20,IF(EIOPA_RFR!R17*(1%+VLOOKUP($B$27,Int_Rate_Param,2,FALSE))&lt;1%+EIOPA_RFR!R17,1%+EIOPA_RFR!R17,EIOPA_RFR!R17*(1%+VLOOKUP($B$27,Int_Rate_Param,2,FALSE))),IF(EIOPA_RFR!R17*(1%+VLOOKUP($B12,Int_Rate_Param,2,FALSE))&lt;1%+EIOPA_RFR!R17,1%+EIOPA_RFR!R17,EIOPA_RFR!R17*(1%+VLOOKUP($B12,Int_Rate_Param,2,FALSE))))</f>
        <v>1.082E-2</v>
      </c>
      <c r="S12" s="94">
        <f>IF($B12&gt;20,IF(EIOPA_RFR!S17*(1%+VLOOKUP($B$27,Int_Rate_Param,2,FALSE))&lt;1%+EIOPA_RFR!S17,1%+EIOPA_RFR!S17,EIOPA_RFR!S17*(1%+VLOOKUP($B$27,Int_Rate_Param,2,FALSE))),IF(EIOPA_RFR!S17*(1%+VLOOKUP($B12,Int_Rate_Param,2,FALSE))&lt;1%+EIOPA_RFR!S17,1%+EIOPA_RFR!S17,EIOPA_RFR!S17*(1%+VLOOKUP($B12,Int_Rate_Param,2,FALSE))))</f>
        <v>1.082E-2</v>
      </c>
      <c r="T12" s="94">
        <f>IF($B12&gt;20,IF(EIOPA_RFR!T17*(1%+VLOOKUP($B$27,Int_Rate_Param,2,FALSE))&lt;1%+EIOPA_RFR!T17,1%+EIOPA_RFR!T17,EIOPA_RFR!T17*(1%+VLOOKUP($B$27,Int_Rate_Param,2,FALSE))),IF(EIOPA_RFR!T17*(1%+VLOOKUP($B12,Int_Rate_Param,2,FALSE))&lt;1%+EIOPA_RFR!T17,1%+EIOPA_RFR!T17,EIOPA_RFR!T17*(1%+VLOOKUP($B12,Int_Rate_Param,2,FALSE))))</f>
        <v>1.082E-2</v>
      </c>
      <c r="U12" s="94">
        <f>IF($B12&gt;20,IF(EIOPA_RFR!U17*(1%+VLOOKUP($B$27,Int_Rate_Param,2,FALSE))&lt;1%+EIOPA_RFR!U17,1%+EIOPA_RFR!U17,EIOPA_RFR!U17*(1%+VLOOKUP($B$27,Int_Rate_Param,2,FALSE))),IF(EIOPA_RFR!U17*(1%+VLOOKUP($B12,Int_Rate_Param,2,FALSE))&lt;1%+EIOPA_RFR!U17,1%+EIOPA_RFR!U17,EIOPA_RFR!U17*(1%+VLOOKUP($B12,Int_Rate_Param,2,FALSE))))</f>
        <v>5.62E-3</v>
      </c>
      <c r="V12" s="94">
        <f>IF($B12&gt;20,IF(EIOPA_RFR!V17*(1%+VLOOKUP($B$27,Int_Rate_Param,2,FALSE))&lt;1%+EIOPA_RFR!V17,1%+EIOPA_RFR!V17,EIOPA_RFR!V17*(1%+VLOOKUP($B$27,Int_Rate_Param,2,FALSE))),IF(EIOPA_RFR!V17*(1%+VLOOKUP($B12,Int_Rate_Param,2,FALSE))&lt;1%+EIOPA_RFR!V17,1%+EIOPA_RFR!V17,EIOPA_RFR!V17*(1%+VLOOKUP($B12,Int_Rate_Param,2,FALSE))))</f>
        <v>1.082E-2</v>
      </c>
      <c r="W12" s="94">
        <f>IF($B12&gt;20,IF(EIOPA_RFR!W17*(1%+VLOOKUP($B$27,Int_Rate_Param,2,FALSE))&lt;1%+EIOPA_RFR!W17,1%+EIOPA_RFR!W17,EIOPA_RFR!W17*(1%+VLOOKUP($B$27,Int_Rate_Param,2,FALSE))),IF(EIOPA_RFR!W17*(1%+VLOOKUP($B12,Int_Rate_Param,2,FALSE))&lt;1%+EIOPA_RFR!W17,1%+EIOPA_RFR!W17,EIOPA_RFR!W17*(1%+VLOOKUP($B12,Int_Rate_Param,2,FALSE))))</f>
        <v>1.082E-2</v>
      </c>
      <c r="X12" s="94">
        <f>IF($B12&gt;20,IF(EIOPA_RFR!X17*(1%+VLOOKUP($B$27,Int_Rate_Param,2,FALSE))&lt;1%+EIOPA_RFR!X17,1%+EIOPA_RFR!X17,EIOPA_RFR!X17*(1%+VLOOKUP($B$27,Int_Rate_Param,2,FALSE))),IF(EIOPA_RFR!X17*(1%+VLOOKUP($B12,Int_Rate_Param,2,FALSE))&lt;1%+EIOPA_RFR!X17,1%+EIOPA_RFR!X17,EIOPA_RFR!X17*(1%+VLOOKUP($B12,Int_Rate_Param,2,FALSE))))</f>
        <v>1.082E-2</v>
      </c>
      <c r="Y12" s="94">
        <f>IF($B12&gt;20,IF(EIOPA_RFR!Y17*(1%+VLOOKUP($B$27,Int_Rate_Param,2,FALSE))&lt;1%+EIOPA_RFR!Y17,1%+EIOPA_RFR!Y17,EIOPA_RFR!Y17*(1%+VLOOKUP($B$27,Int_Rate_Param,2,FALSE))),IF(EIOPA_RFR!Y17*(1%+VLOOKUP($B12,Int_Rate_Param,2,FALSE))&lt;1%+EIOPA_RFR!Y17,1%+EIOPA_RFR!Y17,EIOPA_RFR!Y17*(1%+VLOOKUP($B12,Int_Rate_Param,2,FALSE))))</f>
        <v>1.082E-2</v>
      </c>
      <c r="Z12" s="94">
        <f>IF($B12&gt;20,IF(EIOPA_RFR!Z17*(1%+VLOOKUP($B$27,Int_Rate_Param,2,FALSE))&lt;1%+EIOPA_RFR!Z17,1%+EIOPA_RFR!Z17,EIOPA_RFR!Z17*(1%+VLOOKUP($B$27,Int_Rate_Param,2,FALSE))),IF(EIOPA_RFR!Z17*(1%+VLOOKUP($B12,Int_Rate_Param,2,FALSE))&lt;1%+EIOPA_RFR!Z17,1%+EIOPA_RFR!Z17,EIOPA_RFR!Z17*(1%+VLOOKUP($B12,Int_Rate_Param,2,FALSE))))</f>
        <v>2.401E-2</v>
      </c>
      <c r="AA12" s="94">
        <f>IF($B12&gt;20,IF(EIOPA_RFR!AA17*(1%+VLOOKUP($B$27,Int_Rate_Param,2,FALSE))&lt;1%+EIOPA_RFR!AA17,1%+EIOPA_RFR!AA17,EIOPA_RFR!AA17*(1%+VLOOKUP($B$27,Int_Rate_Param,2,FALSE))),IF(EIOPA_RFR!AA17*(1%+VLOOKUP($B12,Int_Rate_Param,2,FALSE))&lt;1%+EIOPA_RFR!AA17,1%+EIOPA_RFR!AA17,EIOPA_RFR!AA17*(1%+VLOOKUP($B12,Int_Rate_Param,2,FALSE))))</f>
        <v>3.739E-2</v>
      </c>
      <c r="AB12" s="94">
        <f>IF($B12&gt;20,IF(EIOPA_RFR!AB17*(1%+VLOOKUP($B$27,Int_Rate_Param,2,FALSE))&lt;1%+EIOPA_RFR!AB17,1%+EIOPA_RFR!AB17,EIOPA_RFR!AB17*(1%+VLOOKUP($B$27,Int_Rate_Param,2,FALSE))),IF(EIOPA_RFR!AB17*(1%+VLOOKUP($B12,Int_Rate_Param,2,FALSE))&lt;1%+EIOPA_RFR!AB17,1%+EIOPA_RFR!AB17,EIOPA_RFR!AB17*(1%+VLOOKUP($B12,Int_Rate_Param,2,FALSE))))</f>
        <v>1.082E-2</v>
      </c>
      <c r="AC12" s="94">
        <f>IF($B12&gt;20,IF(EIOPA_RFR!AC17*(1%+VLOOKUP($B$27,Int_Rate_Param,2,FALSE))&lt;1%+EIOPA_RFR!AC17,1%+EIOPA_RFR!AC17,EIOPA_RFR!AC17*(1%+VLOOKUP($B$27,Int_Rate_Param,2,FALSE))),IF(EIOPA_RFR!AC17*(1%+VLOOKUP($B12,Int_Rate_Param,2,FALSE))&lt;1%+EIOPA_RFR!AC17,1%+EIOPA_RFR!AC17,EIOPA_RFR!AC17*(1%+VLOOKUP($B12,Int_Rate_Param,2,FALSE))))</f>
        <v>3.7879999999999997E-2</v>
      </c>
      <c r="AD12" s="94">
        <f>IF($B12&gt;20,IF(EIOPA_RFR!AD17*(1%+VLOOKUP($B$27,Int_Rate_Param,2,FALSE))&lt;1%+EIOPA_RFR!AD17,1%+EIOPA_RFR!AD17,EIOPA_RFR!AD17*(1%+VLOOKUP($B$27,Int_Rate_Param,2,FALSE))),IF(EIOPA_RFR!AD17*(1%+VLOOKUP($B12,Int_Rate_Param,2,FALSE))&lt;1%+EIOPA_RFR!AD17,1%+EIOPA_RFR!AD17,EIOPA_RFR!AD17*(1%+VLOOKUP($B12,Int_Rate_Param,2,FALSE))))</f>
        <v>9.1119999999999993E-2</v>
      </c>
      <c r="AE12" s="94">
        <f>IF($B12&gt;20,IF(EIOPA_RFR!AE17*(1%+VLOOKUP($B$27,Int_Rate_Param,2,FALSE))&lt;1%+EIOPA_RFR!AE17,1%+EIOPA_RFR!AE17,EIOPA_RFR!AE17*(1%+VLOOKUP($B$27,Int_Rate_Param,2,FALSE))),IF(EIOPA_RFR!AE17*(1%+VLOOKUP($B12,Int_Rate_Param,2,FALSE))&lt;1%+EIOPA_RFR!AE17,1%+EIOPA_RFR!AE17,EIOPA_RFR!AE17*(1%+VLOOKUP($B12,Int_Rate_Param,2,FALSE))))</f>
        <v>1.082E-2</v>
      </c>
      <c r="AF12" s="94">
        <f>IF($B12&gt;20,IF(EIOPA_RFR!AF17*(1%+VLOOKUP($B$27,Int_Rate_Param,2,FALSE))&lt;1%+EIOPA_RFR!AF17,1%+EIOPA_RFR!AF17,EIOPA_RFR!AF17*(1%+VLOOKUP($B$27,Int_Rate_Param,2,FALSE))),IF(EIOPA_RFR!AF17*(1%+VLOOKUP($B12,Int_Rate_Param,2,FALSE))&lt;1%+EIOPA_RFR!AF17,1%+EIOPA_RFR!AF17,EIOPA_RFR!AF17*(1%+VLOOKUP($B12,Int_Rate_Param,2,FALSE))))</f>
        <v>1.082E-2</v>
      </c>
      <c r="AG12" s="94">
        <f>IF($B12&gt;20,IF(EIOPA_RFR!AG17*(1%+VLOOKUP($B$27,Int_Rate_Param,2,FALSE))&lt;1%+EIOPA_RFR!AG17,1%+EIOPA_RFR!AG17,EIOPA_RFR!AG17*(1%+VLOOKUP($B$27,Int_Rate_Param,2,FALSE))),IF(EIOPA_RFR!AG17*(1%+VLOOKUP($B12,Int_Rate_Param,2,FALSE))&lt;1%+EIOPA_RFR!AG17,1%+EIOPA_RFR!AG17,EIOPA_RFR!AG17*(1%+VLOOKUP($B12,Int_Rate_Param,2,FALSE))))</f>
        <v>1.082E-2</v>
      </c>
      <c r="AH12" s="94">
        <f>IF($B12&gt;20,IF(EIOPA_RFR!AH17*(1%+VLOOKUP($B$27,Int_Rate_Param,2,FALSE))&lt;1%+EIOPA_RFR!AH17,1%+EIOPA_RFR!AH17,EIOPA_RFR!AH17*(1%+VLOOKUP($B$27,Int_Rate_Param,2,FALSE))),IF(EIOPA_RFR!AH17*(1%+VLOOKUP($B12,Int_Rate_Param,2,FALSE))&lt;1%+EIOPA_RFR!AH17,1%+EIOPA_RFR!AH17,EIOPA_RFR!AH17*(1%+VLOOKUP($B12,Int_Rate_Param,2,FALSE))))</f>
        <v>1.238E-2</v>
      </c>
      <c r="AI12" s="94">
        <f>IF($B12&gt;20,IF(EIOPA_RFR!AI17*(1%+VLOOKUP($B$27,Int_Rate_Param,2,FALSE))&lt;1%+EIOPA_RFR!AI17,1%+EIOPA_RFR!AI17,EIOPA_RFR!AI17*(1%+VLOOKUP($B$27,Int_Rate_Param,2,FALSE))),IF(EIOPA_RFR!AI17*(1%+VLOOKUP($B12,Int_Rate_Param,2,FALSE))&lt;1%+EIOPA_RFR!AI17,1%+EIOPA_RFR!AI17,EIOPA_RFR!AI17*(1%+VLOOKUP($B12,Int_Rate_Param,2,FALSE))))</f>
        <v>5.62E-3</v>
      </c>
      <c r="AJ12" s="94">
        <f>IF($B12&gt;20,IF(EIOPA_RFR!AJ17*(1%+VLOOKUP($B$27,Int_Rate_Param,2,FALSE))&lt;1%+EIOPA_RFR!AJ17,1%+EIOPA_RFR!AJ17,EIOPA_RFR!AJ17*(1%+VLOOKUP($B$27,Int_Rate_Param,2,FALSE))),IF(EIOPA_RFR!AJ17*(1%+VLOOKUP($B12,Int_Rate_Param,2,FALSE))&lt;1%+EIOPA_RFR!AJ17,1%+EIOPA_RFR!AJ17,EIOPA_RFR!AJ17*(1%+VLOOKUP($B12,Int_Rate_Param,2,FALSE))))</f>
        <v>1.6840000000000001E-2</v>
      </c>
      <c r="AK12" s="94">
        <f>IF($B12&gt;20,IF(EIOPA_RFR!AK17*(1%+VLOOKUP($B$27,Int_Rate_Param,2,FALSE))&lt;1%+EIOPA_RFR!AK17,1%+EIOPA_RFR!AK17,EIOPA_RFR!AK17*(1%+VLOOKUP($B$27,Int_Rate_Param,2,FALSE))),IF(EIOPA_RFR!AK17*(1%+VLOOKUP($B12,Int_Rate_Param,2,FALSE))&lt;1%+EIOPA_RFR!AK17,1%+EIOPA_RFR!AK17,EIOPA_RFR!AK17*(1%+VLOOKUP($B12,Int_Rate_Param,2,FALSE))))</f>
        <v>3.3619999999999997E-2</v>
      </c>
      <c r="AL12" s="94">
        <f>IF($B12&gt;20,IF(EIOPA_RFR!AL17*(1%+VLOOKUP($B$27,Int_Rate_Param,2,FALSE))&lt;1%+EIOPA_RFR!AL17,1%+EIOPA_RFR!AL17,EIOPA_RFR!AL17*(1%+VLOOKUP($B$27,Int_Rate_Param,2,FALSE))),IF(EIOPA_RFR!AL17*(1%+VLOOKUP($B12,Int_Rate_Param,2,FALSE))&lt;1%+EIOPA_RFR!AL17,1%+EIOPA_RFR!AL17,EIOPA_RFR!AL17*(1%+VLOOKUP($B12,Int_Rate_Param,2,FALSE))))</f>
        <v>0.10285999999999999</v>
      </c>
      <c r="AM12" s="94">
        <f>IF($B12&gt;20,IF(EIOPA_RFR!AM17*(1%+VLOOKUP($B$27,Int_Rate_Param,2,FALSE))&lt;1%+EIOPA_RFR!AM17,1%+EIOPA_RFR!AM17,EIOPA_RFR!AM17*(1%+VLOOKUP($B$27,Int_Rate_Param,2,FALSE))),IF(EIOPA_RFR!AM17*(1%+VLOOKUP($B12,Int_Rate_Param,2,FALSE))&lt;1%+EIOPA_RFR!AM17,1%+EIOPA_RFR!AM17,EIOPA_RFR!AM17*(1%+VLOOKUP($B12,Int_Rate_Param,2,FALSE))))</f>
        <v>2.265E-2</v>
      </c>
      <c r="AN12" s="94">
        <f>IF($B12&gt;20,IF(EIOPA_RFR!AN17*(1%+VLOOKUP($B$27,Int_Rate_Param,2,FALSE))&lt;1%+EIOPA_RFR!AN17,1%+EIOPA_RFR!AN17,EIOPA_RFR!AN17*(1%+VLOOKUP($B$27,Int_Rate_Param,2,FALSE))),IF(EIOPA_RFR!AN17*(1%+VLOOKUP($B12,Int_Rate_Param,2,FALSE))&lt;1%+EIOPA_RFR!AN17,1%+EIOPA_RFR!AN17,EIOPA_RFR!AN17*(1%+VLOOKUP($B12,Int_Rate_Param,2,FALSE))))</f>
        <v>4.3270000000000003E-2</v>
      </c>
      <c r="AO12" s="94">
        <f>IF($B12&gt;20,IF(EIOPA_RFR!AO17*(1%+VLOOKUP($B$27,Int_Rate_Param,2,FALSE))&lt;1%+EIOPA_RFR!AO17,1%+EIOPA_RFR!AO17,EIOPA_RFR!AO17*(1%+VLOOKUP($B$27,Int_Rate_Param,2,FALSE))),IF(EIOPA_RFR!AO17*(1%+VLOOKUP($B12,Int_Rate_Param,2,FALSE))&lt;1%+EIOPA_RFR!AO17,1%+EIOPA_RFR!AO17,EIOPA_RFR!AO17*(1%+VLOOKUP($B12,Int_Rate_Param,2,FALSE))))</f>
        <v>4.6339999999999999E-2</v>
      </c>
      <c r="AP12" s="94">
        <f>IF($B12&gt;20,IF(EIOPA_RFR!AP17*(1%+VLOOKUP($B$27,Int_Rate_Param,2,FALSE))&lt;1%+EIOPA_RFR!AP17,1%+EIOPA_RFR!AP17,EIOPA_RFR!AP17*(1%+VLOOKUP($B$27,Int_Rate_Param,2,FALSE))),IF(EIOPA_RFR!AP17*(1%+VLOOKUP($B12,Int_Rate_Param,2,FALSE))&lt;1%+EIOPA_RFR!AP17,1%+EIOPA_RFR!AP17,EIOPA_RFR!AP17*(1%+VLOOKUP($B12,Int_Rate_Param,2,FALSE))))</f>
        <v>6.6930000000000003E-2</v>
      </c>
      <c r="AQ12" s="94">
        <f>IF($B12&gt;20,IF(EIOPA_RFR!AQ17*(1%+VLOOKUP($B$27,Int_Rate_Param,2,FALSE))&lt;1%+EIOPA_RFR!AQ17,1%+EIOPA_RFR!AQ17,EIOPA_RFR!AQ17*(1%+VLOOKUP($B$27,Int_Rate_Param,2,FALSE))),IF(EIOPA_RFR!AQ17*(1%+VLOOKUP($B12,Int_Rate_Param,2,FALSE))&lt;1%+EIOPA_RFR!AQ17,1%+EIOPA_RFR!AQ17,EIOPA_RFR!AQ17*(1%+VLOOKUP($B12,Int_Rate_Param,2,FALSE))))</f>
        <v>2.8700000000000003E-2</v>
      </c>
      <c r="AR12" s="94">
        <f>IF($B12&gt;20,IF(EIOPA_RFR!AR17*(1%+VLOOKUP($B$27,Int_Rate_Param,2,FALSE))&lt;1%+EIOPA_RFR!AR17,1%+EIOPA_RFR!AR17,EIOPA_RFR!AR17*(1%+VLOOKUP($B$27,Int_Rate_Param,2,FALSE))),IF(EIOPA_RFR!AR17*(1%+VLOOKUP($B12,Int_Rate_Param,2,FALSE))&lt;1%+EIOPA_RFR!AR17,1%+EIOPA_RFR!AR17,EIOPA_RFR!AR17*(1%+VLOOKUP($B12,Int_Rate_Param,2,FALSE))))</f>
        <v>7.3899999999999993E-2</v>
      </c>
      <c r="AS12" s="94">
        <f>IF($B12&gt;20,IF(EIOPA_RFR!AS17*(1%+VLOOKUP($B$27,Int_Rate_Param,2,FALSE))&lt;1%+EIOPA_RFR!AS17,1%+EIOPA_RFR!AS17,EIOPA_RFR!AS17*(1%+VLOOKUP($B$27,Int_Rate_Param,2,FALSE))),IF(EIOPA_RFR!AS17*(1%+VLOOKUP($B12,Int_Rate_Param,2,FALSE))&lt;1%+EIOPA_RFR!AS17,1%+EIOPA_RFR!AS17,EIOPA_RFR!AS17*(1%+VLOOKUP($B12,Int_Rate_Param,2,FALSE))))</f>
        <v>1.0059999999999999E-2</v>
      </c>
      <c r="AT12" s="94">
        <f>IF($B12&gt;20,IF(EIOPA_RFR!AT17*(1%+VLOOKUP($B$27,Int_Rate_Param,2,FALSE))&lt;1%+EIOPA_RFR!AT17,1%+EIOPA_RFR!AT17,EIOPA_RFR!AT17*(1%+VLOOKUP($B$27,Int_Rate_Param,2,FALSE))),IF(EIOPA_RFR!AT17*(1%+VLOOKUP($B12,Int_Rate_Param,2,FALSE))&lt;1%+EIOPA_RFR!AT17,1%+EIOPA_RFR!AT17,EIOPA_RFR!AT17*(1%+VLOOKUP($B12,Int_Rate_Param,2,FALSE))))</f>
        <v>4.7039999999999998E-2</v>
      </c>
      <c r="AU12" s="94">
        <f>IF($B12&gt;20,IF(EIOPA_RFR!AU17*(1%+VLOOKUP($B$27,Int_Rate_Param,2,FALSE))&lt;1%+EIOPA_RFR!AU17,1%+EIOPA_RFR!AU17,EIOPA_RFR!AU17*(1%+VLOOKUP($B$27,Int_Rate_Param,2,FALSE))),IF(EIOPA_RFR!AU17*(1%+VLOOKUP($B12,Int_Rate_Param,2,FALSE))&lt;1%+EIOPA_RFR!AU17,1%+EIOPA_RFR!AU17,EIOPA_RFR!AU17*(1%+VLOOKUP($B12,Int_Rate_Param,2,FALSE))))</f>
        <v>8.0839999999999995E-2</v>
      </c>
      <c r="AV12" s="94">
        <f>IF($B12&gt;20,IF(EIOPA_RFR!AV17*(1%+VLOOKUP($B$27,Int_Rate_Param,2,FALSE))&lt;1%+EIOPA_RFR!AV17,1%+EIOPA_RFR!AV17,EIOPA_RFR!AV17*(1%+VLOOKUP($B$27,Int_Rate_Param,2,FALSE))),IF(EIOPA_RFR!AV17*(1%+VLOOKUP($B12,Int_Rate_Param,2,FALSE))&lt;1%+EIOPA_RFR!AV17,1%+EIOPA_RFR!AV17,EIOPA_RFR!AV17*(1%+VLOOKUP($B12,Int_Rate_Param,2,FALSE))))</f>
        <v>3.7350000000000001E-2</v>
      </c>
      <c r="AW12" s="94">
        <f>IF($B12&gt;20,IF(EIOPA_RFR!AW17*(1%+VLOOKUP($B$27,Int_Rate_Param,2,FALSE))&lt;1%+EIOPA_RFR!AW17,1%+EIOPA_RFR!AW17,EIOPA_RFR!AW17*(1%+VLOOKUP($B$27,Int_Rate_Param,2,FALSE))),IF(EIOPA_RFR!AW17*(1%+VLOOKUP($B12,Int_Rate_Param,2,FALSE))&lt;1%+EIOPA_RFR!AW17,1%+EIOPA_RFR!AW17,EIOPA_RFR!AW17*(1%+VLOOKUP($B12,Int_Rate_Param,2,FALSE))))</f>
        <v>2.9269999999999997E-2</v>
      </c>
      <c r="AX12" s="94">
        <f>IF($B12&gt;20,IF(EIOPA_RFR!AX17*(1%+VLOOKUP($B$27,Int_Rate_Param,2,FALSE))&lt;1%+EIOPA_RFR!AX17,1%+EIOPA_RFR!AX17,EIOPA_RFR!AX17*(1%+VLOOKUP($B$27,Int_Rate_Param,2,FALSE))),IF(EIOPA_RFR!AX17*(1%+VLOOKUP($B12,Int_Rate_Param,2,FALSE))&lt;1%+EIOPA_RFR!AX17,1%+EIOPA_RFR!AX17,EIOPA_RFR!AX17*(1%+VLOOKUP($B12,Int_Rate_Param,2,FALSE))))</f>
        <v>8.5800000000000001E-2</v>
      </c>
      <c r="AY12" s="94">
        <f>IF($B12&gt;20,IF(EIOPA_RFR!AY17*(1%+VLOOKUP($B$27,Int_Rate_Param,2,FALSE))&lt;1%+EIOPA_RFR!AY17,1%+EIOPA_RFR!AY17,EIOPA_RFR!AY17*(1%+VLOOKUP($B$27,Int_Rate_Param,2,FALSE))),IF(EIOPA_RFR!AY17*(1%+VLOOKUP($B12,Int_Rate_Param,2,FALSE))&lt;1%+EIOPA_RFR!AY17,1%+EIOPA_RFR!AY17,EIOPA_RFR!AY17*(1%+VLOOKUP($B12,Int_Rate_Param,2,FALSE))))</f>
        <v>2.6079999999999999E-2</v>
      </c>
      <c r="AZ12" s="94">
        <f>IF($B12&gt;20,IF(EIOPA_RFR!AZ17*(1%+VLOOKUP($B$27,Int_Rate_Param,2,FALSE))&lt;1%+EIOPA_RFR!AZ17,1%+EIOPA_RFR!AZ17,EIOPA_RFR!AZ17*(1%+VLOOKUP($B$27,Int_Rate_Param,2,FALSE))),IF(EIOPA_RFR!AZ17*(1%+VLOOKUP($B12,Int_Rate_Param,2,FALSE))&lt;1%+EIOPA_RFR!AZ17,1%+EIOPA_RFR!AZ17,EIOPA_RFR!AZ17*(1%+VLOOKUP($B12,Int_Rate_Param,2,FALSE))))</f>
        <v>1.789E-2</v>
      </c>
      <c r="BA12" s="94">
        <f>IF($B12&gt;20,IF(EIOPA_RFR!BA17*(1%+VLOOKUP($B$27,Int_Rate_Param,2,FALSE))&lt;1%+EIOPA_RFR!BA17,1%+EIOPA_RFR!BA17,EIOPA_RFR!BA17*(1%+VLOOKUP($B$27,Int_Rate_Param,2,FALSE))),IF(EIOPA_RFR!BA17*(1%+VLOOKUP($B12,Int_Rate_Param,2,FALSE))&lt;1%+EIOPA_RFR!BA17,1%+EIOPA_RFR!BA17,EIOPA_RFR!BA17*(1%+VLOOKUP($B12,Int_Rate_Param,2,FALSE))))</f>
        <v>3.0899999999999997E-2</v>
      </c>
      <c r="BB12" s="94">
        <f>IF($B12&gt;20,IF(EIOPA_RFR!BB17*(1%+VLOOKUP($B$27,Int_Rate_Param,2,FALSE))&lt;1%+EIOPA_RFR!BB17,1%+EIOPA_RFR!BB17,EIOPA_RFR!BB17*(1%+VLOOKUP($B$27,Int_Rate_Param,2,FALSE))),IF(EIOPA_RFR!BB17*(1%+VLOOKUP($B12,Int_Rate_Param,2,FALSE))&lt;1%+EIOPA_RFR!BB17,1%+EIOPA_RFR!BB17,EIOPA_RFR!BB17*(1%+VLOOKUP($B12,Int_Rate_Param,2,FALSE))))</f>
        <v>0.12497999999999999</v>
      </c>
      <c r="BC12" s="94">
        <f>IF($B12&gt;20,IF(EIOPA_RFR!BC17*(1%+VLOOKUP($B$27,Int_Rate_Param,2,FALSE))&lt;1%+EIOPA_RFR!BC17,1%+EIOPA_RFR!BC17,EIOPA_RFR!BC17*(1%+VLOOKUP($B$27,Int_Rate_Param,2,FALSE))),IF(EIOPA_RFR!BC17*(1%+VLOOKUP($B12,Int_Rate_Param,2,FALSE))&lt;1%+EIOPA_RFR!BC17,1%+EIOPA_RFR!BC17,EIOPA_RFR!BC17*(1%+VLOOKUP($B12,Int_Rate_Param,2,FALSE))))</f>
        <v>2.912E-2</v>
      </c>
    </row>
    <row r="13" spans="1:55" x14ac:dyDescent="0.25">
      <c r="A13">
        <f t="shared" si="0"/>
        <v>8</v>
      </c>
      <c r="B13" s="95">
        <v>6</v>
      </c>
      <c r="C13" s="94">
        <f>IF($B13&gt;20,IF(EIOPA_RFR!C18*(1%+VLOOKUP($B$27,Int_Rate_Param,2,FALSE))&lt;1%+EIOPA_RFR!C18,1%+EIOPA_RFR!C18,EIOPA_RFR!C18*(1%+VLOOKUP($B$27,Int_Rate_Param,2,FALSE))),IF(EIOPA_RFR!C18*(1%+VLOOKUP($B13,Int_Rate_Param,2,FALSE))&lt;1%+EIOPA_RFR!C18,1%+EIOPA_RFR!C18,EIOPA_RFR!C18*(1%+VLOOKUP($B13,Int_Rate_Param,2,FALSE))))</f>
        <v>1.205E-2</v>
      </c>
      <c r="D13" s="94">
        <f>IF($B13&gt;20,IF(EIOPA_RFR!D18*(1%+VLOOKUP($B$27,Int_Rate_Param,2,FALSE))&lt;1%+EIOPA_RFR!D18,1%+EIOPA_RFR!D18,EIOPA_RFR!D18*(1%+VLOOKUP($B$27,Int_Rate_Param,2,FALSE))),IF(EIOPA_RFR!D18*(1%+VLOOKUP($B13,Int_Rate_Param,2,FALSE))&lt;1%+EIOPA_RFR!D18,1%+EIOPA_RFR!D18,EIOPA_RFR!D18*(1%+VLOOKUP($B13,Int_Rate_Param,2,FALSE))))</f>
        <v>1.205E-2</v>
      </c>
      <c r="E13" s="94">
        <f>IF($B13&gt;20,IF(EIOPA_RFR!E18*(1%+VLOOKUP($B$27,Int_Rate_Param,2,FALSE))&lt;1%+EIOPA_RFR!E18,1%+EIOPA_RFR!E18,EIOPA_RFR!E18*(1%+VLOOKUP($B$27,Int_Rate_Param,2,FALSE))),IF(EIOPA_RFR!E18*(1%+VLOOKUP($B13,Int_Rate_Param,2,FALSE))&lt;1%+EIOPA_RFR!E18,1%+EIOPA_RFR!E18,EIOPA_RFR!E18*(1%+VLOOKUP($B13,Int_Rate_Param,2,FALSE))))</f>
        <v>1.205E-2</v>
      </c>
      <c r="F13" s="94">
        <f>IF($B13&gt;20,IF(EIOPA_RFR!F18*(1%+VLOOKUP($B$27,Int_Rate_Param,2,FALSE))&lt;1%+EIOPA_RFR!F18,1%+EIOPA_RFR!F18,EIOPA_RFR!F18*(1%+VLOOKUP($B$27,Int_Rate_Param,2,FALSE))),IF(EIOPA_RFR!F18*(1%+VLOOKUP($B13,Int_Rate_Param,2,FALSE))&lt;1%+EIOPA_RFR!F18,1%+EIOPA_RFR!F18,EIOPA_RFR!F18*(1%+VLOOKUP($B13,Int_Rate_Param,2,FALSE))))</f>
        <v>1.155E-2</v>
      </c>
      <c r="G13" s="94">
        <f>IF($B13&gt;20,IF(EIOPA_RFR!G18*(1%+VLOOKUP($B$27,Int_Rate_Param,2,FALSE))&lt;1%+EIOPA_RFR!G18,1%+EIOPA_RFR!G18,EIOPA_RFR!G18*(1%+VLOOKUP($B$27,Int_Rate_Param,2,FALSE))),IF(EIOPA_RFR!G18*(1%+VLOOKUP($B13,Int_Rate_Param,2,FALSE))&lt;1%+EIOPA_RFR!G18,1%+EIOPA_RFR!G18,EIOPA_RFR!G18*(1%+VLOOKUP($B13,Int_Rate_Param,2,FALSE))))</f>
        <v>3.5060000000000001E-2</v>
      </c>
      <c r="H13" s="94">
        <f>IF($B13&gt;20,IF(EIOPA_RFR!H18*(1%+VLOOKUP($B$27,Int_Rate_Param,2,FALSE))&lt;1%+EIOPA_RFR!H18,1%+EIOPA_RFR!H18,EIOPA_RFR!H18*(1%+VLOOKUP($B$27,Int_Rate_Param,2,FALSE))),IF(EIOPA_RFR!H18*(1%+VLOOKUP($B13,Int_Rate_Param,2,FALSE))&lt;1%+EIOPA_RFR!H18,1%+EIOPA_RFR!H18,EIOPA_RFR!H18*(1%+VLOOKUP($B13,Int_Rate_Param,2,FALSE))))</f>
        <v>1.205E-2</v>
      </c>
      <c r="I13" s="94">
        <f>IF($B13&gt;20,IF(EIOPA_RFR!I18*(1%+VLOOKUP($B$27,Int_Rate_Param,2,FALSE))&lt;1%+EIOPA_RFR!I18,1%+EIOPA_RFR!I18,EIOPA_RFR!I18*(1%+VLOOKUP($B$27,Int_Rate_Param,2,FALSE))),IF(EIOPA_RFR!I18*(1%+VLOOKUP($B13,Int_Rate_Param,2,FALSE))&lt;1%+EIOPA_RFR!I18,1%+EIOPA_RFR!I18,EIOPA_RFR!I18*(1%+VLOOKUP($B13,Int_Rate_Param,2,FALSE))))</f>
        <v>1.6799999999999999E-2</v>
      </c>
      <c r="J13" s="94">
        <f>IF($B13&gt;20,IF(EIOPA_RFR!J18*(1%+VLOOKUP($B$27,Int_Rate_Param,2,FALSE))&lt;1%+EIOPA_RFR!J18,1%+EIOPA_RFR!J18,EIOPA_RFR!J18*(1%+VLOOKUP($B$27,Int_Rate_Param,2,FALSE))),IF(EIOPA_RFR!J18*(1%+VLOOKUP($B13,Int_Rate_Param,2,FALSE))&lt;1%+EIOPA_RFR!J18,1%+EIOPA_RFR!J18,EIOPA_RFR!J18*(1%+VLOOKUP($B13,Int_Rate_Param,2,FALSE))))</f>
        <v>1.1950000000000001E-2</v>
      </c>
      <c r="K13" s="94">
        <f>IF($B13&gt;20,IF(EIOPA_RFR!K18*(1%+VLOOKUP($B$27,Int_Rate_Param,2,FALSE))&lt;1%+EIOPA_RFR!K18,1%+EIOPA_RFR!K18,EIOPA_RFR!K18*(1%+VLOOKUP($B$27,Int_Rate_Param,2,FALSE))),IF(EIOPA_RFR!K18*(1%+VLOOKUP($B13,Int_Rate_Param,2,FALSE))&lt;1%+EIOPA_RFR!K18,1%+EIOPA_RFR!K18,EIOPA_RFR!K18*(1%+VLOOKUP($B13,Int_Rate_Param,2,FALSE))))</f>
        <v>1.205E-2</v>
      </c>
      <c r="L13" s="94">
        <f>IF($B13&gt;20,IF(EIOPA_RFR!L18*(1%+VLOOKUP($B$27,Int_Rate_Param,2,FALSE))&lt;1%+EIOPA_RFR!L18,1%+EIOPA_RFR!L18,EIOPA_RFR!L18*(1%+VLOOKUP($B$27,Int_Rate_Param,2,FALSE))),IF(EIOPA_RFR!L18*(1%+VLOOKUP($B13,Int_Rate_Param,2,FALSE))&lt;1%+EIOPA_RFR!L18,1%+EIOPA_RFR!L18,EIOPA_RFR!L18*(1%+VLOOKUP($B13,Int_Rate_Param,2,FALSE))))</f>
        <v>1.205E-2</v>
      </c>
      <c r="M13" s="94">
        <f>IF($B13&gt;20,IF(EIOPA_RFR!M18*(1%+VLOOKUP($B$27,Int_Rate_Param,2,FALSE))&lt;1%+EIOPA_RFR!M18,1%+EIOPA_RFR!M18,EIOPA_RFR!M18*(1%+VLOOKUP($B$27,Int_Rate_Param,2,FALSE))),IF(EIOPA_RFR!M18*(1%+VLOOKUP($B13,Int_Rate_Param,2,FALSE))&lt;1%+EIOPA_RFR!M18,1%+EIOPA_RFR!M18,EIOPA_RFR!M18*(1%+VLOOKUP($B13,Int_Rate_Param,2,FALSE))))</f>
        <v>1.205E-2</v>
      </c>
      <c r="N13" s="94">
        <f>IF($B13&gt;20,IF(EIOPA_RFR!N18*(1%+VLOOKUP($B$27,Int_Rate_Param,2,FALSE))&lt;1%+EIOPA_RFR!N18,1%+EIOPA_RFR!N18,EIOPA_RFR!N18*(1%+VLOOKUP($B$27,Int_Rate_Param,2,FALSE))),IF(EIOPA_RFR!N18*(1%+VLOOKUP($B13,Int_Rate_Param,2,FALSE))&lt;1%+EIOPA_RFR!N18,1%+EIOPA_RFR!N18,EIOPA_RFR!N18*(1%+VLOOKUP($B13,Int_Rate_Param,2,FALSE))))</f>
        <v>1.205E-2</v>
      </c>
      <c r="O13" s="94">
        <f>IF($B13&gt;20,IF(EIOPA_RFR!O18*(1%+VLOOKUP($B$27,Int_Rate_Param,2,FALSE))&lt;1%+EIOPA_RFR!O18,1%+EIOPA_RFR!O18,EIOPA_RFR!O18*(1%+VLOOKUP($B$27,Int_Rate_Param,2,FALSE))),IF(EIOPA_RFR!O18*(1%+VLOOKUP($B13,Int_Rate_Param,2,FALSE))&lt;1%+EIOPA_RFR!O18,1%+EIOPA_RFR!O18,EIOPA_RFR!O18*(1%+VLOOKUP($B13,Int_Rate_Param,2,FALSE))))</f>
        <v>1.205E-2</v>
      </c>
      <c r="P13" s="94">
        <f>IF($B13&gt;20,IF(EIOPA_RFR!P18*(1%+VLOOKUP($B$27,Int_Rate_Param,2,FALSE))&lt;1%+EIOPA_RFR!P18,1%+EIOPA_RFR!P18,EIOPA_RFR!P18*(1%+VLOOKUP($B$27,Int_Rate_Param,2,FALSE))),IF(EIOPA_RFR!P18*(1%+VLOOKUP($B13,Int_Rate_Param,2,FALSE))&lt;1%+EIOPA_RFR!P18,1%+EIOPA_RFR!P18,EIOPA_RFR!P18*(1%+VLOOKUP($B13,Int_Rate_Param,2,FALSE))))</f>
        <v>3.2199999999999999E-2</v>
      </c>
      <c r="Q13" s="94">
        <f>IF($B13&gt;20,IF(EIOPA_RFR!Q18*(1%+VLOOKUP($B$27,Int_Rate_Param,2,FALSE))&lt;1%+EIOPA_RFR!Q18,1%+EIOPA_RFR!Q18,EIOPA_RFR!Q18*(1%+VLOOKUP($B$27,Int_Rate_Param,2,FALSE))),IF(EIOPA_RFR!Q18*(1%+VLOOKUP($B13,Int_Rate_Param,2,FALSE))&lt;1%+EIOPA_RFR!Q18,1%+EIOPA_RFR!Q18,EIOPA_RFR!Q18*(1%+VLOOKUP($B13,Int_Rate_Param,2,FALSE))))</f>
        <v>5.7800000000000004E-2</v>
      </c>
      <c r="R13" s="94">
        <f>IF($B13&gt;20,IF(EIOPA_RFR!R18*(1%+VLOOKUP($B$27,Int_Rate_Param,2,FALSE))&lt;1%+EIOPA_RFR!R18,1%+EIOPA_RFR!R18,EIOPA_RFR!R18*(1%+VLOOKUP($B$27,Int_Rate_Param,2,FALSE))),IF(EIOPA_RFR!R18*(1%+VLOOKUP($B13,Int_Rate_Param,2,FALSE))&lt;1%+EIOPA_RFR!R18,1%+EIOPA_RFR!R18,EIOPA_RFR!R18*(1%+VLOOKUP($B13,Int_Rate_Param,2,FALSE))))</f>
        <v>1.205E-2</v>
      </c>
      <c r="S13" s="94">
        <f>IF($B13&gt;20,IF(EIOPA_RFR!S18*(1%+VLOOKUP($B$27,Int_Rate_Param,2,FALSE))&lt;1%+EIOPA_RFR!S18,1%+EIOPA_RFR!S18,EIOPA_RFR!S18*(1%+VLOOKUP($B$27,Int_Rate_Param,2,FALSE))),IF(EIOPA_RFR!S18*(1%+VLOOKUP($B13,Int_Rate_Param,2,FALSE))&lt;1%+EIOPA_RFR!S18,1%+EIOPA_RFR!S18,EIOPA_RFR!S18*(1%+VLOOKUP($B13,Int_Rate_Param,2,FALSE))))</f>
        <v>1.205E-2</v>
      </c>
      <c r="T13" s="94">
        <f>IF($B13&gt;20,IF(EIOPA_RFR!T18*(1%+VLOOKUP($B$27,Int_Rate_Param,2,FALSE))&lt;1%+EIOPA_RFR!T18,1%+EIOPA_RFR!T18,EIOPA_RFR!T18*(1%+VLOOKUP($B$27,Int_Rate_Param,2,FALSE))),IF(EIOPA_RFR!T18*(1%+VLOOKUP($B13,Int_Rate_Param,2,FALSE))&lt;1%+EIOPA_RFR!T18,1%+EIOPA_RFR!T18,EIOPA_RFR!T18*(1%+VLOOKUP($B13,Int_Rate_Param,2,FALSE))))</f>
        <v>1.205E-2</v>
      </c>
      <c r="U13" s="94">
        <f>IF($B13&gt;20,IF(EIOPA_RFR!U18*(1%+VLOOKUP($B$27,Int_Rate_Param,2,FALSE))&lt;1%+EIOPA_RFR!U18,1%+EIOPA_RFR!U18,EIOPA_RFR!U18*(1%+VLOOKUP($B$27,Int_Rate_Param,2,FALSE))),IF(EIOPA_RFR!U18*(1%+VLOOKUP($B13,Int_Rate_Param,2,FALSE))&lt;1%+EIOPA_RFR!U18,1%+EIOPA_RFR!U18,EIOPA_RFR!U18*(1%+VLOOKUP($B13,Int_Rate_Param,2,FALSE))))</f>
        <v>6.7299999999999999E-3</v>
      </c>
      <c r="V13" s="94">
        <f>IF($B13&gt;20,IF(EIOPA_RFR!V18*(1%+VLOOKUP($B$27,Int_Rate_Param,2,FALSE))&lt;1%+EIOPA_RFR!V18,1%+EIOPA_RFR!V18,EIOPA_RFR!V18*(1%+VLOOKUP($B$27,Int_Rate_Param,2,FALSE))),IF(EIOPA_RFR!V18*(1%+VLOOKUP($B13,Int_Rate_Param,2,FALSE))&lt;1%+EIOPA_RFR!V18,1%+EIOPA_RFR!V18,EIOPA_RFR!V18*(1%+VLOOKUP($B13,Int_Rate_Param,2,FALSE))))</f>
        <v>1.205E-2</v>
      </c>
      <c r="W13" s="94">
        <f>IF($B13&gt;20,IF(EIOPA_RFR!W18*(1%+VLOOKUP($B$27,Int_Rate_Param,2,FALSE))&lt;1%+EIOPA_RFR!W18,1%+EIOPA_RFR!W18,EIOPA_RFR!W18*(1%+VLOOKUP($B$27,Int_Rate_Param,2,FALSE))),IF(EIOPA_RFR!W18*(1%+VLOOKUP($B13,Int_Rate_Param,2,FALSE))&lt;1%+EIOPA_RFR!W18,1%+EIOPA_RFR!W18,EIOPA_RFR!W18*(1%+VLOOKUP($B13,Int_Rate_Param,2,FALSE))))</f>
        <v>1.205E-2</v>
      </c>
      <c r="X13" s="94">
        <f>IF($B13&gt;20,IF(EIOPA_RFR!X18*(1%+VLOOKUP($B$27,Int_Rate_Param,2,FALSE))&lt;1%+EIOPA_RFR!X18,1%+EIOPA_RFR!X18,EIOPA_RFR!X18*(1%+VLOOKUP($B$27,Int_Rate_Param,2,FALSE))),IF(EIOPA_RFR!X18*(1%+VLOOKUP($B13,Int_Rate_Param,2,FALSE))&lt;1%+EIOPA_RFR!X18,1%+EIOPA_RFR!X18,EIOPA_RFR!X18*(1%+VLOOKUP($B13,Int_Rate_Param,2,FALSE))))</f>
        <v>1.205E-2</v>
      </c>
      <c r="Y13" s="94">
        <f>IF($B13&gt;20,IF(EIOPA_RFR!Y18*(1%+VLOOKUP($B$27,Int_Rate_Param,2,FALSE))&lt;1%+EIOPA_RFR!Y18,1%+EIOPA_RFR!Y18,EIOPA_RFR!Y18*(1%+VLOOKUP($B$27,Int_Rate_Param,2,FALSE))),IF(EIOPA_RFR!Y18*(1%+VLOOKUP($B13,Int_Rate_Param,2,FALSE))&lt;1%+EIOPA_RFR!Y18,1%+EIOPA_RFR!Y18,EIOPA_RFR!Y18*(1%+VLOOKUP($B13,Int_Rate_Param,2,FALSE))))</f>
        <v>1.205E-2</v>
      </c>
      <c r="Z13" s="94">
        <f>IF($B13&gt;20,IF(EIOPA_RFR!Z18*(1%+VLOOKUP($B$27,Int_Rate_Param,2,FALSE))&lt;1%+EIOPA_RFR!Z18,1%+EIOPA_RFR!Z18,EIOPA_RFR!Z18*(1%+VLOOKUP($B$27,Int_Rate_Param,2,FALSE))),IF(EIOPA_RFR!Z18*(1%+VLOOKUP($B13,Int_Rate_Param,2,FALSE))&lt;1%+EIOPA_RFR!Z18,1%+EIOPA_RFR!Z18,EIOPA_RFR!Z18*(1%+VLOOKUP($B13,Int_Rate_Param,2,FALSE))))</f>
        <v>2.5149999999999999E-2</v>
      </c>
      <c r="AA13" s="94">
        <f>IF($B13&gt;20,IF(EIOPA_RFR!AA18*(1%+VLOOKUP($B$27,Int_Rate_Param,2,FALSE))&lt;1%+EIOPA_RFR!AA18,1%+EIOPA_RFR!AA18,EIOPA_RFR!AA18*(1%+VLOOKUP($B$27,Int_Rate_Param,2,FALSE))),IF(EIOPA_RFR!AA18*(1%+VLOOKUP($B13,Int_Rate_Param,2,FALSE))&lt;1%+EIOPA_RFR!AA18,1%+EIOPA_RFR!AA18,EIOPA_RFR!AA18*(1%+VLOOKUP($B13,Int_Rate_Param,2,FALSE))))</f>
        <v>3.8980000000000001E-2</v>
      </c>
      <c r="AB13" s="94">
        <f>IF($B13&gt;20,IF(EIOPA_RFR!AB18*(1%+VLOOKUP($B$27,Int_Rate_Param,2,FALSE))&lt;1%+EIOPA_RFR!AB18,1%+EIOPA_RFR!AB18,EIOPA_RFR!AB18*(1%+VLOOKUP($B$27,Int_Rate_Param,2,FALSE))),IF(EIOPA_RFR!AB18*(1%+VLOOKUP($B13,Int_Rate_Param,2,FALSE))&lt;1%+EIOPA_RFR!AB18,1%+EIOPA_RFR!AB18,EIOPA_RFR!AB18*(1%+VLOOKUP($B13,Int_Rate_Param,2,FALSE))))</f>
        <v>1.205E-2</v>
      </c>
      <c r="AC13" s="94">
        <f>IF($B13&gt;20,IF(EIOPA_RFR!AC18*(1%+VLOOKUP($B$27,Int_Rate_Param,2,FALSE))&lt;1%+EIOPA_RFR!AC18,1%+EIOPA_RFR!AC18,EIOPA_RFR!AC18*(1%+VLOOKUP($B$27,Int_Rate_Param,2,FALSE))),IF(EIOPA_RFR!AC18*(1%+VLOOKUP($B13,Int_Rate_Param,2,FALSE))&lt;1%+EIOPA_RFR!AC18,1%+EIOPA_RFR!AC18,EIOPA_RFR!AC18*(1%+VLOOKUP($B13,Int_Rate_Param,2,FALSE))))</f>
        <v>4.1260000000000005E-2</v>
      </c>
      <c r="AD13" s="94">
        <f>IF($B13&gt;20,IF(EIOPA_RFR!AD18*(1%+VLOOKUP($B$27,Int_Rate_Param,2,FALSE))&lt;1%+EIOPA_RFR!AD18,1%+EIOPA_RFR!AD18,EIOPA_RFR!AD18*(1%+VLOOKUP($B$27,Int_Rate_Param,2,FALSE))),IF(EIOPA_RFR!AD18*(1%+VLOOKUP($B13,Int_Rate_Param,2,FALSE))&lt;1%+EIOPA_RFR!AD18,1%+EIOPA_RFR!AD18,EIOPA_RFR!AD18*(1%+VLOOKUP($B13,Int_Rate_Param,2,FALSE))))</f>
        <v>9.0019999999999989E-2</v>
      </c>
      <c r="AE13" s="94">
        <f>IF($B13&gt;20,IF(EIOPA_RFR!AE18*(1%+VLOOKUP($B$27,Int_Rate_Param,2,FALSE))&lt;1%+EIOPA_RFR!AE18,1%+EIOPA_RFR!AE18,EIOPA_RFR!AE18*(1%+VLOOKUP($B$27,Int_Rate_Param,2,FALSE))),IF(EIOPA_RFR!AE18*(1%+VLOOKUP($B13,Int_Rate_Param,2,FALSE))&lt;1%+EIOPA_RFR!AE18,1%+EIOPA_RFR!AE18,EIOPA_RFR!AE18*(1%+VLOOKUP($B13,Int_Rate_Param,2,FALSE))))</f>
        <v>1.205E-2</v>
      </c>
      <c r="AF13" s="94">
        <f>IF($B13&gt;20,IF(EIOPA_RFR!AF18*(1%+VLOOKUP($B$27,Int_Rate_Param,2,FALSE))&lt;1%+EIOPA_RFR!AF18,1%+EIOPA_RFR!AF18,EIOPA_RFR!AF18*(1%+VLOOKUP($B$27,Int_Rate_Param,2,FALSE))),IF(EIOPA_RFR!AF18*(1%+VLOOKUP($B13,Int_Rate_Param,2,FALSE))&lt;1%+EIOPA_RFR!AF18,1%+EIOPA_RFR!AF18,EIOPA_RFR!AF18*(1%+VLOOKUP($B13,Int_Rate_Param,2,FALSE))))</f>
        <v>1.205E-2</v>
      </c>
      <c r="AG13" s="94">
        <f>IF($B13&gt;20,IF(EIOPA_RFR!AG18*(1%+VLOOKUP($B$27,Int_Rate_Param,2,FALSE))&lt;1%+EIOPA_RFR!AG18,1%+EIOPA_RFR!AG18,EIOPA_RFR!AG18*(1%+VLOOKUP($B$27,Int_Rate_Param,2,FALSE))),IF(EIOPA_RFR!AG18*(1%+VLOOKUP($B13,Int_Rate_Param,2,FALSE))&lt;1%+EIOPA_RFR!AG18,1%+EIOPA_RFR!AG18,EIOPA_RFR!AG18*(1%+VLOOKUP($B13,Int_Rate_Param,2,FALSE))))</f>
        <v>1.205E-2</v>
      </c>
      <c r="AH13" s="94">
        <f>IF($B13&gt;20,IF(EIOPA_RFR!AH18*(1%+VLOOKUP($B$27,Int_Rate_Param,2,FALSE))&lt;1%+EIOPA_RFR!AH18,1%+EIOPA_RFR!AH18,EIOPA_RFR!AH18*(1%+VLOOKUP($B$27,Int_Rate_Param,2,FALSE))),IF(EIOPA_RFR!AH18*(1%+VLOOKUP($B13,Int_Rate_Param,2,FALSE))&lt;1%+EIOPA_RFR!AH18,1%+EIOPA_RFR!AH18,EIOPA_RFR!AH18*(1%+VLOOKUP($B13,Int_Rate_Param,2,FALSE))))</f>
        <v>1.4270000000000001E-2</v>
      </c>
      <c r="AI13" s="94">
        <f>IF($B13&gt;20,IF(EIOPA_RFR!AI18*(1%+VLOOKUP($B$27,Int_Rate_Param,2,FALSE))&lt;1%+EIOPA_RFR!AI18,1%+EIOPA_RFR!AI18,EIOPA_RFR!AI18*(1%+VLOOKUP($B$27,Int_Rate_Param,2,FALSE))),IF(EIOPA_RFR!AI18*(1%+VLOOKUP($B13,Int_Rate_Param,2,FALSE))&lt;1%+EIOPA_RFR!AI18,1%+EIOPA_RFR!AI18,EIOPA_RFR!AI18*(1%+VLOOKUP($B13,Int_Rate_Param,2,FALSE))))</f>
        <v>6.7299999999999999E-3</v>
      </c>
      <c r="AJ13" s="94">
        <f>IF($B13&gt;20,IF(EIOPA_RFR!AJ18*(1%+VLOOKUP($B$27,Int_Rate_Param,2,FALSE))&lt;1%+EIOPA_RFR!AJ18,1%+EIOPA_RFR!AJ18,EIOPA_RFR!AJ18*(1%+VLOOKUP($B$27,Int_Rate_Param,2,FALSE))),IF(EIOPA_RFR!AJ18*(1%+VLOOKUP($B13,Int_Rate_Param,2,FALSE))&lt;1%+EIOPA_RFR!AJ18,1%+EIOPA_RFR!AJ18,EIOPA_RFR!AJ18*(1%+VLOOKUP($B13,Int_Rate_Param,2,FALSE))))</f>
        <v>1.762E-2</v>
      </c>
      <c r="AK13" s="94">
        <f>IF($B13&gt;20,IF(EIOPA_RFR!AK18*(1%+VLOOKUP($B$27,Int_Rate_Param,2,FALSE))&lt;1%+EIOPA_RFR!AK18,1%+EIOPA_RFR!AK18,EIOPA_RFR!AK18*(1%+VLOOKUP($B$27,Int_Rate_Param,2,FALSE))),IF(EIOPA_RFR!AK18*(1%+VLOOKUP($B13,Int_Rate_Param,2,FALSE))&lt;1%+EIOPA_RFR!AK18,1%+EIOPA_RFR!AK18,EIOPA_RFR!AK18*(1%+VLOOKUP($B13,Int_Rate_Param,2,FALSE))))</f>
        <v>3.4860000000000002E-2</v>
      </c>
      <c r="AL13" s="94">
        <f>IF($B13&gt;20,IF(EIOPA_RFR!AL18*(1%+VLOOKUP($B$27,Int_Rate_Param,2,FALSE))&lt;1%+EIOPA_RFR!AL18,1%+EIOPA_RFR!AL18,EIOPA_RFR!AL18*(1%+VLOOKUP($B$27,Int_Rate_Param,2,FALSE))),IF(EIOPA_RFR!AL18*(1%+VLOOKUP($B13,Int_Rate_Param,2,FALSE))&lt;1%+EIOPA_RFR!AL18,1%+EIOPA_RFR!AL18,EIOPA_RFR!AL18*(1%+VLOOKUP($B13,Int_Rate_Param,2,FALSE))))</f>
        <v>0.10335</v>
      </c>
      <c r="AM13" s="94">
        <f>IF($B13&gt;20,IF(EIOPA_RFR!AM18*(1%+VLOOKUP($B$27,Int_Rate_Param,2,FALSE))&lt;1%+EIOPA_RFR!AM18,1%+EIOPA_RFR!AM18,EIOPA_RFR!AM18*(1%+VLOOKUP($B$27,Int_Rate_Param,2,FALSE))),IF(EIOPA_RFR!AM18*(1%+VLOOKUP($B13,Int_Rate_Param,2,FALSE))&lt;1%+EIOPA_RFR!AM18,1%+EIOPA_RFR!AM18,EIOPA_RFR!AM18*(1%+VLOOKUP($B13,Int_Rate_Param,2,FALSE))))</f>
        <v>2.358E-2</v>
      </c>
      <c r="AN13" s="94">
        <f>IF($B13&gt;20,IF(EIOPA_RFR!AN18*(1%+VLOOKUP($B$27,Int_Rate_Param,2,FALSE))&lt;1%+EIOPA_RFR!AN18,1%+EIOPA_RFR!AN18,EIOPA_RFR!AN18*(1%+VLOOKUP($B$27,Int_Rate_Param,2,FALSE))),IF(EIOPA_RFR!AN18*(1%+VLOOKUP($B13,Int_Rate_Param,2,FALSE))&lt;1%+EIOPA_RFR!AN18,1%+EIOPA_RFR!AN18,EIOPA_RFR!AN18*(1%+VLOOKUP($B13,Int_Rate_Param,2,FALSE))))</f>
        <v>4.5200000000000004E-2</v>
      </c>
      <c r="AO13" s="94">
        <f>IF($B13&gt;20,IF(EIOPA_RFR!AO18*(1%+VLOOKUP($B$27,Int_Rate_Param,2,FALSE))&lt;1%+EIOPA_RFR!AO18,1%+EIOPA_RFR!AO18,EIOPA_RFR!AO18*(1%+VLOOKUP($B$27,Int_Rate_Param,2,FALSE))),IF(EIOPA_RFR!AO18*(1%+VLOOKUP($B13,Int_Rate_Param,2,FALSE))&lt;1%+EIOPA_RFR!AO18,1%+EIOPA_RFR!AO18,EIOPA_RFR!AO18*(1%+VLOOKUP($B13,Int_Rate_Param,2,FALSE))))</f>
        <v>4.7879999999999999E-2</v>
      </c>
      <c r="AP13" s="94">
        <f>IF($B13&gt;20,IF(EIOPA_RFR!AP18*(1%+VLOOKUP($B$27,Int_Rate_Param,2,FALSE))&lt;1%+EIOPA_RFR!AP18,1%+EIOPA_RFR!AP18,EIOPA_RFR!AP18*(1%+VLOOKUP($B$27,Int_Rate_Param,2,FALSE))),IF(EIOPA_RFR!AP18*(1%+VLOOKUP($B13,Int_Rate_Param,2,FALSE))&lt;1%+EIOPA_RFR!AP18,1%+EIOPA_RFR!AP18,EIOPA_RFR!AP18*(1%+VLOOKUP($B13,Int_Rate_Param,2,FALSE))))</f>
        <v>6.8379999999999996E-2</v>
      </c>
      <c r="AQ13" s="94">
        <f>IF($B13&gt;20,IF(EIOPA_RFR!AQ18*(1%+VLOOKUP($B$27,Int_Rate_Param,2,FALSE))&lt;1%+EIOPA_RFR!AQ18,1%+EIOPA_RFR!AQ18,EIOPA_RFR!AQ18*(1%+VLOOKUP($B$27,Int_Rate_Param,2,FALSE))),IF(EIOPA_RFR!AQ18*(1%+VLOOKUP($B13,Int_Rate_Param,2,FALSE))&lt;1%+EIOPA_RFR!AQ18,1%+EIOPA_RFR!AQ18,EIOPA_RFR!AQ18*(1%+VLOOKUP($B13,Int_Rate_Param,2,FALSE))))</f>
        <v>2.9690000000000001E-2</v>
      </c>
      <c r="AR13" s="94">
        <f>IF($B13&gt;20,IF(EIOPA_RFR!AR18*(1%+VLOOKUP($B$27,Int_Rate_Param,2,FALSE))&lt;1%+EIOPA_RFR!AR18,1%+EIOPA_RFR!AR18,EIOPA_RFR!AR18*(1%+VLOOKUP($B$27,Int_Rate_Param,2,FALSE))),IF(EIOPA_RFR!AR18*(1%+VLOOKUP($B13,Int_Rate_Param,2,FALSE))&lt;1%+EIOPA_RFR!AR18,1%+EIOPA_RFR!AR18,EIOPA_RFR!AR18*(1%+VLOOKUP($B13,Int_Rate_Param,2,FALSE))))</f>
        <v>7.492E-2</v>
      </c>
      <c r="AS13" s="94">
        <f>IF($B13&gt;20,IF(EIOPA_RFR!AS18*(1%+VLOOKUP($B$27,Int_Rate_Param,2,FALSE))&lt;1%+EIOPA_RFR!AS18,1%+EIOPA_RFR!AS18,EIOPA_RFR!AS18*(1%+VLOOKUP($B$27,Int_Rate_Param,2,FALSE))),IF(EIOPA_RFR!AS18*(1%+VLOOKUP($B13,Int_Rate_Param,2,FALSE))&lt;1%+EIOPA_RFR!AS18,1%+EIOPA_RFR!AS18,EIOPA_RFR!AS18*(1%+VLOOKUP($B13,Int_Rate_Param,2,FALSE))))</f>
        <v>1.0330000000000001E-2</v>
      </c>
      <c r="AT13" s="94">
        <f>IF($B13&gt;20,IF(EIOPA_RFR!AT18*(1%+VLOOKUP($B$27,Int_Rate_Param,2,FALSE))&lt;1%+EIOPA_RFR!AT18,1%+EIOPA_RFR!AT18,EIOPA_RFR!AT18*(1%+VLOOKUP($B$27,Int_Rate_Param,2,FALSE))),IF(EIOPA_RFR!AT18*(1%+VLOOKUP($B13,Int_Rate_Param,2,FALSE))&lt;1%+EIOPA_RFR!AT18,1%+EIOPA_RFR!AT18,EIOPA_RFR!AT18*(1%+VLOOKUP($B13,Int_Rate_Param,2,FALSE))))</f>
        <v>4.759E-2</v>
      </c>
      <c r="AU13" s="94">
        <f>IF($B13&gt;20,IF(EIOPA_RFR!AU18*(1%+VLOOKUP($B$27,Int_Rate_Param,2,FALSE))&lt;1%+EIOPA_RFR!AU18,1%+EIOPA_RFR!AU18,EIOPA_RFR!AU18*(1%+VLOOKUP($B$27,Int_Rate_Param,2,FALSE))),IF(EIOPA_RFR!AU18*(1%+VLOOKUP($B13,Int_Rate_Param,2,FALSE))&lt;1%+EIOPA_RFR!AU18,1%+EIOPA_RFR!AU18,EIOPA_RFR!AU18*(1%+VLOOKUP($B13,Int_Rate_Param,2,FALSE))))</f>
        <v>8.1529999999999991E-2</v>
      </c>
      <c r="AV13" s="94">
        <f>IF($B13&gt;20,IF(EIOPA_RFR!AV18*(1%+VLOOKUP($B$27,Int_Rate_Param,2,FALSE))&lt;1%+EIOPA_RFR!AV18,1%+EIOPA_RFR!AV18,EIOPA_RFR!AV18*(1%+VLOOKUP($B$27,Int_Rate_Param,2,FALSE))),IF(EIOPA_RFR!AV18*(1%+VLOOKUP($B13,Int_Rate_Param,2,FALSE))&lt;1%+EIOPA_RFR!AV18,1%+EIOPA_RFR!AV18,EIOPA_RFR!AV18*(1%+VLOOKUP($B13,Int_Rate_Param,2,FALSE))))</f>
        <v>3.8940000000000002E-2</v>
      </c>
      <c r="AW13" s="94">
        <f>IF($B13&gt;20,IF(EIOPA_RFR!AW18*(1%+VLOOKUP($B$27,Int_Rate_Param,2,FALSE))&lt;1%+EIOPA_RFR!AW18,1%+EIOPA_RFR!AW18,EIOPA_RFR!AW18*(1%+VLOOKUP($B$27,Int_Rate_Param,2,FALSE))),IF(EIOPA_RFR!AW18*(1%+VLOOKUP($B13,Int_Rate_Param,2,FALSE))&lt;1%+EIOPA_RFR!AW18,1%+EIOPA_RFR!AW18,EIOPA_RFR!AW18*(1%+VLOOKUP($B13,Int_Rate_Param,2,FALSE))))</f>
        <v>3.0469999999999997E-2</v>
      </c>
      <c r="AX13" s="94">
        <f>IF($B13&gt;20,IF(EIOPA_RFR!AX18*(1%+VLOOKUP($B$27,Int_Rate_Param,2,FALSE))&lt;1%+EIOPA_RFR!AX18,1%+EIOPA_RFR!AX18,EIOPA_RFR!AX18*(1%+VLOOKUP($B$27,Int_Rate_Param,2,FALSE))),IF(EIOPA_RFR!AX18*(1%+VLOOKUP($B13,Int_Rate_Param,2,FALSE))&lt;1%+EIOPA_RFR!AX18,1%+EIOPA_RFR!AX18,EIOPA_RFR!AX18*(1%+VLOOKUP($B13,Int_Rate_Param,2,FALSE))))</f>
        <v>8.7319999999999995E-2</v>
      </c>
      <c r="AY13" s="94">
        <f>IF($B13&gt;20,IF(EIOPA_RFR!AY18*(1%+VLOOKUP($B$27,Int_Rate_Param,2,FALSE))&lt;1%+EIOPA_RFR!AY18,1%+EIOPA_RFR!AY18,EIOPA_RFR!AY18*(1%+VLOOKUP($B$27,Int_Rate_Param,2,FALSE))),IF(EIOPA_RFR!AY18*(1%+VLOOKUP($B13,Int_Rate_Param,2,FALSE))&lt;1%+EIOPA_RFR!AY18,1%+EIOPA_RFR!AY18,EIOPA_RFR!AY18*(1%+VLOOKUP($B13,Int_Rate_Param,2,FALSE))))</f>
        <v>2.649E-2</v>
      </c>
      <c r="AZ13" s="94">
        <f>IF($B13&gt;20,IF(EIOPA_RFR!AZ18*(1%+VLOOKUP($B$27,Int_Rate_Param,2,FALSE))&lt;1%+EIOPA_RFR!AZ18,1%+EIOPA_RFR!AZ18,EIOPA_RFR!AZ18*(1%+VLOOKUP($B$27,Int_Rate_Param,2,FALSE))),IF(EIOPA_RFR!AZ18*(1%+VLOOKUP($B13,Int_Rate_Param,2,FALSE))&lt;1%+EIOPA_RFR!AZ18,1%+EIOPA_RFR!AZ18,EIOPA_RFR!AZ18*(1%+VLOOKUP($B13,Int_Rate_Param,2,FALSE))))</f>
        <v>1.865E-2</v>
      </c>
      <c r="BA13" s="94">
        <f>IF($B13&gt;20,IF(EIOPA_RFR!BA18*(1%+VLOOKUP($B$27,Int_Rate_Param,2,FALSE))&lt;1%+EIOPA_RFR!BA18,1%+EIOPA_RFR!BA18,EIOPA_RFR!BA18*(1%+VLOOKUP($B$27,Int_Rate_Param,2,FALSE))),IF(EIOPA_RFR!BA18*(1%+VLOOKUP($B13,Int_Rate_Param,2,FALSE))&lt;1%+EIOPA_RFR!BA18,1%+EIOPA_RFR!BA18,EIOPA_RFR!BA18*(1%+VLOOKUP($B13,Int_Rate_Param,2,FALSE))))</f>
        <v>3.218E-2</v>
      </c>
      <c r="BB13" s="94">
        <f>IF($B13&gt;20,IF(EIOPA_RFR!BB18*(1%+VLOOKUP($B$27,Int_Rate_Param,2,FALSE))&lt;1%+EIOPA_RFR!BB18,1%+EIOPA_RFR!BB18,EIOPA_RFR!BB18*(1%+VLOOKUP($B$27,Int_Rate_Param,2,FALSE))),IF(EIOPA_RFR!BB18*(1%+VLOOKUP($B13,Int_Rate_Param,2,FALSE))&lt;1%+EIOPA_RFR!BB18,1%+EIOPA_RFR!BB18,EIOPA_RFR!BB18*(1%+VLOOKUP($B13,Int_Rate_Param,2,FALSE))))</f>
        <v>0.12298999999999999</v>
      </c>
      <c r="BC13" s="94">
        <f>IF($B13&gt;20,IF(EIOPA_RFR!BC18*(1%+VLOOKUP($B$27,Int_Rate_Param,2,FALSE))&lt;1%+EIOPA_RFR!BC18,1%+EIOPA_RFR!BC18,EIOPA_RFR!BC18*(1%+VLOOKUP($B$27,Int_Rate_Param,2,FALSE))),IF(EIOPA_RFR!BC18*(1%+VLOOKUP($B13,Int_Rate_Param,2,FALSE))&lt;1%+EIOPA_RFR!BC18,1%+EIOPA_RFR!BC18,EIOPA_RFR!BC18*(1%+VLOOKUP($B13,Int_Rate_Param,2,FALSE))))</f>
        <v>3.0060000000000003E-2</v>
      </c>
    </row>
    <row r="14" spans="1:55" x14ac:dyDescent="0.25">
      <c r="A14">
        <f t="shared" si="0"/>
        <v>9</v>
      </c>
      <c r="B14" s="95">
        <v>7</v>
      </c>
      <c r="C14" s="94">
        <f>IF($B14&gt;20,IF(EIOPA_RFR!C19*(1%+VLOOKUP($B$27,Int_Rate_Param,2,FALSE))&lt;1%+EIOPA_RFR!C19,1%+EIOPA_RFR!C19,EIOPA_RFR!C19*(1%+VLOOKUP($B$27,Int_Rate_Param,2,FALSE))),IF(EIOPA_RFR!C19*(1%+VLOOKUP($B14,Int_Rate_Param,2,FALSE))&lt;1%+EIOPA_RFR!C19,1%+EIOPA_RFR!C19,EIOPA_RFR!C19*(1%+VLOOKUP($B14,Int_Rate_Param,2,FALSE))))</f>
        <v>1.328E-2</v>
      </c>
      <c r="D14" s="94">
        <f>IF($B14&gt;20,IF(EIOPA_RFR!D19*(1%+VLOOKUP($B$27,Int_Rate_Param,2,FALSE))&lt;1%+EIOPA_RFR!D19,1%+EIOPA_RFR!D19,EIOPA_RFR!D19*(1%+VLOOKUP($B$27,Int_Rate_Param,2,FALSE))),IF(EIOPA_RFR!D19*(1%+VLOOKUP($B14,Int_Rate_Param,2,FALSE))&lt;1%+EIOPA_RFR!D19,1%+EIOPA_RFR!D19,EIOPA_RFR!D19*(1%+VLOOKUP($B14,Int_Rate_Param,2,FALSE))))</f>
        <v>1.328E-2</v>
      </c>
      <c r="E14" s="94">
        <f>IF($B14&gt;20,IF(EIOPA_RFR!E19*(1%+VLOOKUP($B$27,Int_Rate_Param,2,FALSE))&lt;1%+EIOPA_RFR!E19,1%+EIOPA_RFR!E19,EIOPA_RFR!E19*(1%+VLOOKUP($B$27,Int_Rate_Param,2,FALSE))),IF(EIOPA_RFR!E19*(1%+VLOOKUP($B14,Int_Rate_Param,2,FALSE))&lt;1%+EIOPA_RFR!E19,1%+EIOPA_RFR!E19,EIOPA_RFR!E19*(1%+VLOOKUP($B14,Int_Rate_Param,2,FALSE))))</f>
        <v>1.328E-2</v>
      </c>
      <c r="F14" s="94">
        <f>IF($B14&gt;20,IF(EIOPA_RFR!F19*(1%+VLOOKUP($B$27,Int_Rate_Param,2,FALSE))&lt;1%+EIOPA_RFR!F19,1%+EIOPA_RFR!F19,EIOPA_RFR!F19*(1%+VLOOKUP($B$27,Int_Rate_Param,2,FALSE))),IF(EIOPA_RFR!F19*(1%+VLOOKUP($B14,Int_Rate_Param,2,FALSE))&lt;1%+EIOPA_RFR!F19,1%+EIOPA_RFR!F19,EIOPA_RFR!F19*(1%+VLOOKUP($B14,Int_Rate_Param,2,FALSE))))</f>
        <v>1.278E-2</v>
      </c>
      <c r="G14" s="94">
        <f>IF($B14&gt;20,IF(EIOPA_RFR!G19*(1%+VLOOKUP($B$27,Int_Rate_Param,2,FALSE))&lt;1%+EIOPA_RFR!G19,1%+EIOPA_RFR!G19,EIOPA_RFR!G19*(1%+VLOOKUP($B$27,Int_Rate_Param,2,FALSE))),IF(EIOPA_RFR!G19*(1%+VLOOKUP($B14,Int_Rate_Param,2,FALSE))&lt;1%+EIOPA_RFR!G19,1%+EIOPA_RFR!G19,EIOPA_RFR!G19*(1%+VLOOKUP($B14,Int_Rate_Param,2,FALSE))))</f>
        <v>3.6310000000000002E-2</v>
      </c>
      <c r="H14" s="94">
        <f>IF($B14&gt;20,IF(EIOPA_RFR!H19*(1%+VLOOKUP($B$27,Int_Rate_Param,2,FALSE))&lt;1%+EIOPA_RFR!H19,1%+EIOPA_RFR!H19,EIOPA_RFR!H19*(1%+VLOOKUP($B$27,Int_Rate_Param,2,FALSE))),IF(EIOPA_RFR!H19*(1%+VLOOKUP($B14,Int_Rate_Param,2,FALSE))&lt;1%+EIOPA_RFR!H19,1%+EIOPA_RFR!H19,EIOPA_RFR!H19*(1%+VLOOKUP($B14,Int_Rate_Param,2,FALSE))))</f>
        <v>1.328E-2</v>
      </c>
      <c r="I14" s="94">
        <f>IF($B14&gt;20,IF(EIOPA_RFR!I19*(1%+VLOOKUP($B$27,Int_Rate_Param,2,FALSE))&lt;1%+EIOPA_RFR!I19,1%+EIOPA_RFR!I19,EIOPA_RFR!I19*(1%+VLOOKUP($B$27,Int_Rate_Param,2,FALSE))),IF(EIOPA_RFR!I19*(1%+VLOOKUP($B14,Int_Rate_Param,2,FALSE))&lt;1%+EIOPA_RFR!I19,1%+EIOPA_RFR!I19,EIOPA_RFR!I19*(1%+VLOOKUP($B14,Int_Rate_Param,2,FALSE))))</f>
        <v>1.7489999999999999E-2</v>
      </c>
      <c r="J14" s="94">
        <f>IF($B14&gt;20,IF(EIOPA_RFR!J19*(1%+VLOOKUP($B$27,Int_Rate_Param,2,FALSE))&lt;1%+EIOPA_RFR!J19,1%+EIOPA_RFR!J19,EIOPA_RFR!J19*(1%+VLOOKUP($B$27,Int_Rate_Param,2,FALSE))),IF(EIOPA_RFR!J19*(1%+VLOOKUP($B14,Int_Rate_Param,2,FALSE))&lt;1%+EIOPA_RFR!J19,1%+EIOPA_RFR!J19,EIOPA_RFR!J19*(1%+VLOOKUP($B14,Int_Rate_Param,2,FALSE))))</f>
        <v>1.3180000000000001E-2</v>
      </c>
      <c r="K14" s="94">
        <f>IF($B14&gt;20,IF(EIOPA_RFR!K19*(1%+VLOOKUP($B$27,Int_Rate_Param,2,FALSE))&lt;1%+EIOPA_RFR!K19,1%+EIOPA_RFR!K19,EIOPA_RFR!K19*(1%+VLOOKUP($B$27,Int_Rate_Param,2,FALSE))),IF(EIOPA_RFR!K19*(1%+VLOOKUP($B14,Int_Rate_Param,2,FALSE))&lt;1%+EIOPA_RFR!K19,1%+EIOPA_RFR!K19,EIOPA_RFR!K19*(1%+VLOOKUP($B14,Int_Rate_Param,2,FALSE))))</f>
        <v>1.328E-2</v>
      </c>
      <c r="L14" s="94">
        <f>IF($B14&gt;20,IF(EIOPA_RFR!L19*(1%+VLOOKUP($B$27,Int_Rate_Param,2,FALSE))&lt;1%+EIOPA_RFR!L19,1%+EIOPA_RFR!L19,EIOPA_RFR!L19*(1%+VLOOKUP($B$27,Int_Rate_Param,2,FALSE))),IF(EIOPA_RFR!L19*(1%+VLOOKUP($B14,Int_Rate_Param,2,FALSE))&lt;1%+EIOPA_RFR!L19,1%+EIOPA_RFR!L19,EIOPA_RFR!L19*(1%+VLOOKUP($B14,Int_Rate_Param,2,FALSE))))</f>
        <v>1.328E-2</v>
      </c>
      <c r="M14" s="94">
        <f>IF($B14&gt;20,IF(EIOPA_RFR!M19*(1%+VLOOKUP($B$27,Int_Rate_Param,2,FALSE))&lt;1%+EIOPA_RFR!M19,1%+EIOPA_RFR!M19,EIOPA_RFR!M19*(1%+VLOOKUP($B$27,Int_Rate_Param,2,FALSE))),IF(EIOPA_RFR!M19*(1%+VLOOKUP($B14,Int_Rate_Param,2,FALSE))&lt;1%+EIOPA_RFR!M19,1%+EIOPA_RFR!M19,EIOPA_RFR!M19*(1%+VLOOKUP($B14,Int_Rate_Param,2,FALSE))))</f>
        <v>1.328E-2</v>
      </c>
      <c r="N14" s="94">
        <f>IF($B14&gt;20,IF(EIOPA_RFR!N19*(1%+VLOOKUP($B$27,Int_Rate_Param,2,FALSE))&lt;1%+EIOPA_RFR!N19,1%+EIOPA_RFR!N19,EIOPA_RFR!N19*(1%+VLOOKUP($B$27,Int_Rate_Param,2,FALSE))),IF(EIOPA_RFR!N19*(1%+VLOOKUP($B14,Int_Rate_Param,2,FALSE))&lt;1%+EIOPA_RFR!N19,1%+EIOPA_RFR!N19,EIOPA_RFR!N19*(1%+VLOOKUP($B14,Int_Rate_Param,2,FALSE))))</f>
        <v>1.328E-2</v>
      </c>
      <c r="O14" s="94">
        <f>IF($B14&gt;20,IF(EIOPA_RFR!O19*(1%+VLOOKUP($B$27,Int_Rate_Param,2,FALSE))&lt;1%+EIOPA_RFR!O19,1%+EIOPA_RFR!O19,EIOPA_RFR!O19*(1%+VLOOKUP($B$27,Int_Rate_Param,2,FALSE))),IF(EIOPA_RFR!O19*(1%+VLOOKUP($B14,Int_Rate_Param,2,FALSE))&lt;1%+EIOPA_RFR!O19,1%+EIOPA_RFR!O19,EIOPA_RFR!O19*(1%+VLOOKUP($B14,Int_Rate_Param,2,FALSE))))</f>
        <v>1.328E-2</v>
      </c>
      <c r="P14" s="94">
        <f>IF($B14&gt;20,IF(EIOPA_RFR!P19*(1%+VLOOKUP($B$27,Int_Rate_Param,2,FALSE))&lt;1%+EIOPA_RFR!P19,1%+EIOPA_RFR!P19,EIOPA_RFR!P19*(1%+VLOOKUP($B$27,Int_Rate_Param,2,FALSE))),IF(EIOPA_RFR!P19*(1%+VLOOKUP($B14,Int_Rate_Param,2,FALSE))&lt;1%+EIOPA_RFR!P19,1%+EIOPA_RFR!P19,EIOPA_RFR!P19*(1%+VLOOKUP($B14,Int_Rate_Param,2,FALSE))))</f>
        <v>3.5610000000000003E-2</v>
      </c>
      <c r="Q14" s="94">
        <f>IF($B14&gt;20,IF(EIOPA_RFR!Q19*(1%+VLOOKUP($B$27,Int_Rate_Param,2,FALSE))&lt;1%+EIOPA_RFR!Q19,1%+EIOPA_RFR!Q19,EIOPA_RFR!Q19*(1%+VLOOKUP($B$27,Int_Rate_Param,2,FALSE))),IF(EIOPA_RFR!Q19*(1%+VLOOKUP($B14,Int_Rate_Param,2,FALSE))&lt;1%+EIOPA_RFR!Q19,1%+EIOPA_RFR!Q19,EIOPA_RFR!Q19*(1%+VLOOKUP($B14,Int_Rate_Param,2,FALSE))))</f>
        <v>5.774E-2</v>
      </c>
      <c r="R14" s="94">
        <f>IF($B14&gt;20,IF(EIOPA_RFR!R19*(1%+VLOOKUP($B$27,Int_Rate_Param,2,FALSE))&lt;1%+EIOPA_RFR!R19,1%+EIOPA_RFR!R19,EIOPA_RFR!R19*(1%+VLOOKUP($B$27,Int_Rate_Param,2,FALSE))),IF(EIOPA_RFR!R19*(1%+VLOOKUP($B14,Int_Rate_Param,2,FALSE))&lt;1%+EIOPA_RFR!R19,1%+EIOPA_RFR!R19,EIOPA_RFR!R19*(1%+VLOOKUP($B14,Int_Rate_Param,2,FALSE))))</f>
        <v>1.328E-2</v>
      </c>
      <c r="S14" s="94">
        <f>IF($B14&gt;20,IF(EIOPA_RFR!S19*(1%+VLOOKUP($B$27,Int_Rate_Param,2,FALSE))&lt;1%+EIOPA_RFR!S19,1%+EIOPA_RFR!S19,EIOPA_RFR!S19*(1%+VLOOKUP($B$27,Int_Rate_Param,2,FALSE))),IF(EIOPA_RFR!S19*(1%+VLOOKUP($B14,Int_Rate_Param,2,FALSE))&lt;1%+EIOPA_RFR!S19,1%+EIOPA_RFR!S19,EIOPA_RFR!S19*(1%+VLOOKUP($B14,Int_Rate_Param,2,FALSE))))</f>
        <v>1.328E-2</v>
      </c>
      <c r="T14" s="94">
        <f>IF($B14&gt;20,IF(EIOPA_RFR!T19*(1%+VLOOKUP($B$27,Int_Rate_Param,2,FALSE))&lt;1%+EIOPA_RFR!T19,1%+EIOPA_RFR!T19,EIOPA_RFR!T19*(1%+VLOOKUP($B$27,Int_Rate_Param,2,FALSE))),IF(EIOPA_RFR!T19*(1%+VLOOKUP($B14,Int_Rate_Param,2,FALSE))&lt;1%+EIOPA_RFR!T19,1%+EIOPA_RFR!T19,EIOPA_RFR!T19*(1%+VLOOKUP($B14,Int_Rate_Param,2,FALSE))))</f>
        <v>1.328E-2</v>
      </c>
      <c r="U14" s="94">
        <f>IF($B14&gt;20,IF(EIOPA_RFR!U19*(1%+VLOOKUP($B$27,Int_Rate_Param,2,FALSE))&lt;1%+EIOPA_RFR!U19,1%+EIOPA_RFR!U19,EIOPA_RFR!U19*(1%+VLOOKUP($B$27,Int_Rate_Param,2,FALSE))),IF(EIOPA_RFR!U19*(1%+VLOOKUP($B14,Int_Rate_Param,2,FALSE))&lt;1%+EIOPA_RFR!U19,1%+EIOPA_RFR!U19,EIOPA_RFR!U19*(1%+VLOOKUP($B14,Int_Rate_Param,2,FALSE))))</f>
        <v>7.8200000000000006E-3</v>
      </c>
      <c r="V14" s="94">
        <f>IF($B14&gt;20,IF(EIOPA_RFR!V19*(1%+VLOOKUP($B$27,Int_Rate_Param,2,FALSE))&lt;1%+EIOPA_RFR!V19,1%+EIOPA_RFR!V19,EIOPA_RFR!V19*(1%+VLOOKUP($B$27,Int_Rate_Param,2,FALSE))),IF(EIOPA_RFR!V19*(1%+VLOOKUP($B14,Int_Rate_Param,2,FALSE))&lt;1%+EIOPA_RFR!V19,1%+EIOPA_RFR!V19,EIOPA_RFR!V19*(1%+VLOOKUP($B14,Int_Rate_Param,2,FALSE))))</f>
        <v>1.328E-2</v>
      </c>
      <c r="W14" s="94">
        <f>IF($B14&gt;20,IF(EIOPA_RFR!W19*(1%+VLOOKUP($B$27,Int_Rate_Param,2,FALSE))&lt;1%+EIOPA_RFR!W19,1%+EIOPA_RFR!W19,EIOPA_RFR!W19*(1%+VLOOKUP($B$27,Int_Rate_Param,2,FALSE))),IF(EIOPA_RFR!W19*(1%+VLOOKUP($B14,Int_Rate_Param,2,FALSE))&lt;1%+EIOPA_RFR!W19,1%+EIOPA_RFR!W19,EIOPA_RFR!W19*(1%+VLOOKUP($B14,Int_Rate_Param,2,FALSE))))</f>
        <v>1.328E-2</v>
      </c>
      <c r="X14" s="94">
        <f>IF($B14&gt;20,IF(EIOPA_RFR!X19*(1%+VLOOKUP($B$27,Int_Rate_Param,2,FALSE))&lt;1%+EIOPA_RFR!X19,1%+EIOPA_RFR!X19,EIOPA_RFR!X19*(1%+VLOOKUP($B$27,Int_Rate_Param,2,FALSE))),IF(EIOPA_RFR!X19*(1%+VLOOKUP($B14,Int_Rate_Param,2,FALSE))&lt;1%+EIOPA_RFR!X19,1%+EIOPA_RFR!X19,EIOPA_RFR!X19*(1%+VLOOKUP($B14,Int_Rate_Param,2,FALSE))))</f>
        <v>1.328E-2</v>
      </c>
      <c r="Y14" s="94">
        <f>IF($B14&gt;20,IF(EIOPA_RFR!Y19*(1%+VLOOKUP($B$27,Int_Rate_Param,2,FALSE))&lt;1%+EIOPA_RFR!Y19,1%+EIOPA_RFR!Y19,EIOPA_RFR!Y19*(1%+VLOOKUP($B$27,Int_Rate_Param,2,FALSE))),IF(EIOPA_RFR!Y19*(1%+VLOOKUP($B14,Int_Rate_Param,2,FALSE))&lt;1%+EIOPA_RFR!Y19,1%+EIOPA_RFR!Y19,EIOPA_RFR!Y19*(1%+VLOOKUP($B14,Int_Rate_Param,2,FALSE))))</f>
        <v>1.328E-2</v>
      </c>
      <c r="Z14" s="94">
        <f>IF($B14&gt;20,IF(EIOPA_RFR!Z19*(1%+VLOOKUP($B$27,Int_Rate_Param,2,FALSE))&lt;1%+EIOPA_RFR!Z19,1%+EIOPA_RFR!Z19,EIOPA_RFR!Z19*(1%+VLOOKUP($B$27,Int_Rate_Param,2,FALSE))),IF(EIOPA_RFR!Z19*(1%+VLOOKUP($B14,Int_Rate_Param,2,FALSE))&lt;1%+EIOPA_RFR!Z19,1%+EIOPA_RFR!Z19,EIOPA_RFR!Z19*(1%+VLOOKUP($B14,Int_Rate_Param,2,FALSE))))</f>
        <v>2.6189999999999998E-2</v>
      </c>
      <c r="AA14" s="94">
        <f>IF($B14&gt;20,IF(EIOPA_RFR!AA19*(1%+VLOOKUP($B$27,Int_Rate_Param,2,FALSE))&lt;1%+EIOPA_RFR!AA19,1%+EIOPA_RFR!AA19,EIOPA_RFR!AA19*(1%+VLOOKUP($B$27,Int_Rate_Param,2,FALSE))),IF(EIOPA_RFR!AA19*(1%+VLOOKUP($B14,Int_Rate_Param,2,FALSE))&lt;1%+EIOPA_RFR!AA19,1%+EIOPA_RFR!AA19,EIOPA_RFR!AA19*(1%+VLOOKUP($B14,Int_Rate_Param,2,FALSE))))</f>
        <v>4.0129999999999999E-2</v>
      </c>
      <c r="AB14" s="94">
        <f>IF($B14&gt;20,IF(EIOPA_RFR!AB19*(1%+VLOOKUP($B$27,Int_Rate_Param,2,FALSE))&lt;1%+EIOPA_RFR!AB19,1%+EIOPA_RFR!AB19,EIOPA_RFR!AB19*(1%+VLOOKUP($B$27,Int_Rate_Param,2,FALSE))),IF(EIOPA_RFR!AB19*(1%+VLOOKUP($B14,Int_Rate_Param,2,FALSE))&lt;1%+EIOPA_RFR!AB19,1%+EIOPA_RFR!AB19,EIOPA_RFR!AB19*(1%+VLOOKUP($B14,Int_Rate_Param,2,FALSE))))</f>
        <v>1.328E-2</v>
      </c>
      <c r="AC14" s="94">
        <f>IF($B14&gt;20,IF(EIOPA_RFR!AC19*(1%+VLOOKUP($B$27,Int_Rate_Param,2,FALSE))&lt;1%+EIOPA_RFR!AC19,1%+EIOPA_RFR!AC19,EIOPA_RFR!AC19*(1%+VLOOKUP($B$27,Int_Rate_Param,2,FALSE))),IF(EIOPA_RFR!AC19*(1%+VLOOKUP($B14,Int_Rate_Param,2,FALSE))&lt;1%+EIOPA_RFR!AC19,1%+EIOPA_RFR!AC19,EIOPA_RFR!AC19*(1%+VLOOKUP($B14,Int_Rate_Param,2,FALSE))))</f>
        <v>4.3900000000000002E-2</v>
      </c>
      <c r="AD14" s="94">
        <f>IF($B14&gt;20,IF(EIOPA_RFR!AD19*(1%+VLOOKUP($B$27,Int_Rate_Param,2,FALSE))&lt;1%+EIOPA_RFR!AD19,1%+EIOPA_RFR!AD19,EIOPA_RFR!AD19*(1%+VLOOKUP($B$27,Int_Rate_Param,2,FALSE))),IF(EIOPA_RFR!AD19*(1%+VLOOKUP($B14,Int_Rate_Param,2,FALSE))&lt;1%+EIOPA_RFR!AD19,1%+EIOPA_RFR!AD19,EIOPA_RFR!AD19*(1%+VLOOKUP($B14,Int_Rate_Param,2,FALSE))))</f>
        <v>8.906E-2</v>
      </c>
      <c r="AE14" s="94">
        <f>IF($B14&gt;20,IF(EIOPA_RFR!AE19*(1%+VLOOKUP($B$27,Int_Rate_Param,2,FALSE))&lt;1%+EIOPA_RFR!AE19,1%+EIOPA_RFR!AE19,EIOPA_RFR!AE19*(1%+VLOOKUP($B$27,Int_Rate_Param,2,FALSE))),IF(EIOPA_RFR!AE19*(1%+VLOOKUP($B14,Int_Rate_Param,2,FALSE))&lt;1%+EIOPA_RFR!AE19,1%+EIOPA_RFR!AE19,EIOPA_RFR!AE19*(1%+VLOOKUP($B14,Int_Rate_Param,2,FALSE))))</f>
        <v>1.328E-2</v>
      </c>
      <c r="AF14" s="94">
        <f>IF($B14&gt;20,IF(EIOPA_RFR!AF19*(1%+VLOOKUP($B$27,Int_Rate_Param,2,FALSE))&lt;1%+EIOPA_RFR!AF19,1%+EIOPA_RFR!AF19,EIOPA_RFR!AF19*(1%+VLOOKUP($B$27,Int_Rate_Param,2,FALSE))),IF(EIOPA_RFR!AF19*(1%+VLOOKUP($B14,Int_Rate_Param,2,FALSE))&lt;1%+EIOPA_RFR!AF19,1%+EIOPA_RFR!AF19,EIOPA_RFR!AF19*(1%+VLOOKUP($B14,Int_Rate_Param,2,FALSE))))</f>
        <v>1.328E-2</v>
      </c>
      <c r="AG14" s="94">
        <f>IF($B14&gt;20,IF(EIOPA_RFR!AG19*(1%+VLOOKUP($B$27,Int_Rate_Param,2,FALSE))&lt;1%+EIOPA_RFR!AG19,1%+EIOPA_RFR!AG19,EIOPA_RFR!AG19*(1%+VLOOKUP($B$27,Int_Rate_Param,2,FALSE))),IF(EIOPA_RFR!AG19*(1%+VLOOKUP($B14,Int_Rate_Param,2,FALSE))&lt;1%+EIOPA_RFR!AG19,1%+EIOPA_RFR!AG19,EIOPA_RFR!AG19*(1%+VLOOKUP($B14,Int_Rate_Param,2,FALSE))))</f>
        <v>1.328E-2</v>
      </c>
      <c r="AH14" s="94">
        <f>IF($B14&gt;20,IF(EIOPA_RFR!AH19*(1%+VLOOKUP($B$27,Int_Rate_Param,2,FALSE))&lt;1%+EIOPA_RFR!AH19,1%+EIOPA_RFR!AH19,EIOPA_RFR!AH19*(1%+VLOOKUP($B$27,Int_Rate_Param,2,FALSE))),IF(EIOPA_RFR!AH19*(1%+VLOOKUP($B14,Int_Rate_Param,2,FALSE))&lt;1%+EIOPA_RFR!AH19,1%+EIOPA_RFR!AH19,EIOPA_RFR!AH19*(1%+VLOOKUP($B14,Int_Rate_Param,2,FALSE))))</f>
        <v>1.61E-2</v>
      </c>
      <c r="AI14" s="94">
        <f>IF($B14&gt;20,IF(EIOPA_RFR!AI19*(1%+VLOOKUP($B$27,Int_Rate_Param,2,FALSE))&lt;1%+EIOPA_RFR!AI19,1%+EIOPA_RFR!AI19,EIOPA_RFR!AI19*(1%+VLOOKUP($B$27,Int_Rate_Param,2,FALSE))),IF(EIOPA_RFR!AI19*(1%+VLOOKUP($B14,Int_Rate_Param,2,FALSE))&lt;1%+EIOPA_RFR!AI19,1%+EIOPA_RFR!AI19,EIOPA_RFR!AI19*(1%+VLOOKUP($B14,Int_Rate_Param,2,FALSE))))</f>
        <v>7.8200000000000006E-3</v>
      </c>
      <c r="AJ14" s="94">
        <f>IF($B14&gt;20,IF(EIOPA_RFR!AJ19*(1%+VLOOKUP($B$27,Int_Rate_Param,2,FALSE))&lt;1%+EIOPA_RFR!AJ19,1%+EIOPA_RFR!AJ19,EIOPA_RFR!AJ19*(1%+VLOOKUP($B$27,Int_Rate_Param,2,FALSE))),IF(EIOPA_RFR!AJ19*(1%+VLOOKUP($B14,Int_Rate_Param,2,FALSE))&lt;1%+EIOPA_RFR!AJ19,1%+EIOPA_RFR!AJ19,EIOPA_RFR!AJ19*(1%+VLOOKUP($B14,Int_Rate_Param,2,FALSE))))</f>
        <v>1.8370000000000001E-2</v>
      </c>
      <c r="AK14" s="94">
        <f>IF($B14&gt;20,IF(EIOPA_RFR!AK19*(1%+VLOOKUP($B$27,Int_Rate_Param,2,FALSE))&lt;1%+EIOPA_RFR!AK19,1%+EIOPA_RFR!AK19,EIOPA_RFR!AK19*(1%+VLOOKUP($B$27,Int_Rate_Param,2,FALSE))),IF(EIOPA_RFR!AK19*(1%+VLOOKUP($B14,Int_Rate_Param,2,FALSE))&lt;1%+EIOPA_RFR!AK19,1%+EIOPA_RFR!AK19,EIOPA_RFR!AK19*(1%+VLOOKUP($B14,Int_Rate_Param,2,FALSE))))</f>
        <v>3.5839999999999997E-2</v>
      </c>
      <c r="AL14" s="94">
        <f>IF($B14&gt;20,IF(EIOPA_RFR!AL19*(1%+VLOOKUP($B$27,Int_Rate_Param,2,FALSE))&lt;1%+EIOPA_RFR!AL19,1%+EIOPA_RFR!AL19,EIOPA_RFR!AL19*(1%+VLOOKUP($B$27,Int_Rate_Param,2,FALSE))),IF(EIOPA_RFR!AL19*(1%+VLOOKUP($B14,Int_Rate_Param,2,FALSE))&lt;1%+EIOPA_RFR!AL19,1%+EIOPA_RFR!AL19,EIOPA_RFR!AL19*(1%+VLOOKUP($B14,Int_Rate_Param,2,FALSE))))</f>
        <v>0.10343999999999999</v>
      </c>
      <c r="AM14" s="94">
        <f>IF($B14&gt;20,IF(EIOPA_RFR!AM19*(1%+VLOOKUP($B$27,Int_Rate_Param,2,FALSE))&lt;1%+EIOPA_RFR!AM19,1%+EIOPA_RFR!AM19,EIOPA_RFR!AM19*(1%+VLOOKUP($B$27,Int_Rate_Param,2,FALSE))),IF(EIOPA_RFR!AM19*(1%+VLOOKUP($B14,Int_Rate_Param,2,FALSE))&lt;1%+EIOPA_RFR!AM19,1%+EIOPA_RFR!AM19,EIOPA_RFR!AM19*(1%+VLOOKUP($B14,Int_Rate_Param,2,FALSE))))</f>
        <v>2.453E-2</v>
      </c>
      <c r="AN14" s="94">
        <f>IF($B14&gt;20,IF(EIOPA_RFR!AN19*(1%+VLOOKUP($B$27,Int_Rate_Param,2,FALSE))&lt;1%+EIOPA_RFR!AN19,1%+EIOPA_RFR!AN19,EIOPA_RFR!AN19*(1%+VLOOKUP($B$27,Int_Rate_Param,2,FALSE))),IF(EIOPA_RFR!AN19*(1%+VLOOKUP($B14,Int_Rate_Param,2,FALSE))&lt;1%+EIOPA_RFR!AN19,1%+EIOPA_RFR!AN19,EIOPA_RFR!AN19*(1%+VLOOKUP($B14,Int_Rate_Param,2,FALSE))))</f>
        <v>4.6780000000000002E-2</v>
      </c>
      <c r="AO14" s="94">
        <f>IF($B14&gt;20,IF(EIOPA_RFR!AO19*(1%+VLOOKUP($B$27,Int_Rate_Param,2,FALSE))&lt;1%+EIOPA_RFR!AO19,1%+EIOPA_RFR!AO19,EIOPA_RFR!AO19*(1%+VLOOKUP($B$27,Int_Rate_Param,2,FALSE))),IF(EIOPA_RFR!AO19*(1%+VLOOKUP($B14,Int_Rate_Param,2,FALSE))&lt;1%+EIOPA_RFR!AO19,1%+EIOPA_RFR!AO19,EIOPA_RFR!AO19*(1%+VLOOKUP($B14,Int_Rate_Param,2,FALSE))))</f>
        <v>4.9410000000000003E-2</v>
      </c>
      <c r="AP14" s="94">
        <f>IF($B14&gt;20,IF(EIOPA_RFR!AP19*(1%+VLOOKUP($B$27,Int_Rate_Param,2,FALSE))&lt;1%+EIOPA_RFR!AP19,1%+EIOPA_RFR!AP19,EIOPA_RFR!AP19*(1%+VLOOKUP($B$27,Int_Rate_Param,2,FALSE))),IF(EIOPA_RFR!AP19*(1%+VLOOKUP($B14,Int_Rate_Param,2,FALSE))&lt;1%+EIOPA_RFR!AP19,1%+EIOPA_RFR!AP19,EIOPA_RFR!AP19*(1%+VLOOKUP($B14,Int_Rate_Param,2,FALSE))))</f>
        <v>6.9499999999999992E-2</v>
      </c>
      <c r="AQ14" s="94">
        <f>IF($B14&gt;20,IF(EIOPA_RFR!AQ19*(1%+VLOOKUP($B$27,Int_Rate_Param,2,FALSE))&lt;1%+EIOPA_RFR!AQ19,1%+EIOPA_RFR!AQ19,EIOPA_RFR!AQ19*(1%+VLOOKUP($B$27,Int_Rate_Param,2,FALSE))),IF(EIOPA_RFR!AQ19*(1%+VLOOKUP($B14,Int_Rate_Param,2,FALSE))&lt;1%+EIOPA_RFR!AQ19,1%+EIOPA_RFR!AQ19,EIOPA_RFR!AQ19*(1%+VLOOKUP($B14,Int_Rate_Param,2,FALSE))))</f>
        <v>3.0550000000000001E-2</v>
      </c>
      <c r="AR14" s="94">
        <f>IF($B14&gt;20,IF(EIOPA_RFR!AR19*(1%+VLOOKUP($B$27,Int_Rate_Param,2,FALSE))&lt;1%+EIOPA_RFR!AR19,1%+EIOPA_RFR!AR19,EIOPA_RFR!AR19*(1%+VLOOKUP($B$27,Int_Rate_Param,2,FALSE))),IF(EIOPA_RFR!AR19*(1%+VLOOKUP($B14,Int_Rate_Param,2,FALSE))&lt;1%+EIOPA_RFR!AR19,1%+EIOPA_RFR!AR19,EIOPA_RFR!AR19*(1%+VLOOKUP($B14,Int_Rate_Param,2,FALSE))))</f>
        <v>7.5649999999999995E-2</v>
      </c>
      <c r="AS14" s="94">
        <f>IF($B14&gt;20,IF(EIOPA_RFR!AS19*(1%+VLOOKUP($B$27,Int_Rate_Param,2,FALSE))&lt;1%+EIOPA_RFR!AS19,1%+EIOPA_RFR!AS19,EIOPA_RFR!AS19*(1%+VLOOKUP($B$27,Int_Rate_Param,2,FALSE))),IF(EIOPA_RFR!AS19*(1%+VLOOKUP($B14,Int_Rate_Param,2,FALSE))&lt;1%+EIOPA_RFR!AS19,1%+EIOPA_RFR!AS19,EIOPA_RFR!AS19*(1%+VLOOKUP($B14,Int_Rate_Param,2,FALSE))))</f>
        <v>1.061E-2</v>
      </c>
      <c r="AT14" s="94">
        <f>IF($B14&gt;20,IF(EIOPA_RFR!AT19*(1%+VLOOKUP($B$27,Int_Rate_Param,2,FALSE))&lt;1%+EIOPA_RFR!AT19,1%+EIOPA_RFR!AT19,EIOPA_RFR!AT19*(1%+VLOOKUP($B$27,Int_Rate_Param,2,FALSE))),IF(EIOPA_RFR!AT19*(1%+VLOOKUP($B14,Int_Rate_Param,2,FALSE))&lt;1%+EIOPA_RFR!AT19,1%+EIOPA_RFR!AT19,EIOPA_RFR!AT19*(1%+VLOOKUP($B14,Int_Rate_Param,2,FALSE))))</f>
        <v>4.8059999999999999E-2</v>
      </c>
      <c r="AU14" s="94">
        <f>IF($B14&gt;20,IF(EIOPA_RFR!AU19*(1%+VLOOKUP($B$27,Int_Rate_Param,2,FALSE))&lt;1%+EIOPA_RFR!AU19,1%+EIOPA_RFR!AU19,EIOPA_RFR!AU19*(1%+VLOOKUP($B$27,Int_Rate_Param,2,FALSE))),IF(EIOPA_RFR!AU19*(1%+VLOOKUP($B14,Int_Rate_Param,2,FALSE))&lt;1%+EIOPA_RFR!AU19,1%+EIOPA_RFR!AU19,EIOPA_RFR!AU19*(1%+VLOOKUP($B14,Int_Rate_Param,2,FALSE))))</f>
        <v>8.2239999999999994E-2</v>
      </c>
      <c r="AV14" s="94">
        <f>IF($B14&gt;20,IF(EIOPA_RFR!AV19*(1%+VLOOKUP($B$27,Int_Rate_Param,2,FALSE))&lt;1%+EIOPA_RFR!AV19,1%+EIOPA_RFR!AV19,EIOPA_RFR!AV19*(1%+VLOOKUP($B$27,Int_Rate_Param,2,FALSE))),IF(EIOPA_RFR!AV19*(1%+VLOOKUP($B14,Int_Rate_Param,2,FALSE))&lt;1%+EIOPA_RFR!AV19,1%+EIOPA_RFR!AV19,EIOPA_RFR!AV19*(1%+VLOOKUP($B14,Int_Rate_Param,2,FALSE))))</f>
        <v>4.027E-2</v>
      </c>
      <c r="AW14" s="94">
        <f>IF($B14&gt;20,IF(EIOPA_RFR!AW19*(1%+VLOOKUP($B$27,Int_Rate_Param,2,FALSE))&lt;1%+EIOPA_RFR!AW19,1%+EIOPA_RFR!AW19,EIOPA_RFR!AW19*(1%+VLOOKUP($B$27,Int_Rate_Param,2,FALSE))),IF(EIOPA_RFR!AW19*(1%+VLOOKUP($B14,Int_Rate_Param,2,FALSE))&lt;1%+EIOPA_RFR!AW19,1%+EIOPA_RFR!AW19,EIOPA_RFR!AW19*(1%+VLOOKUP($B14,Int_Rate_Param,2,FALSE))))</f>
        <v>3.1539999999999999E-2</v>
      </c>
      <c r="AX14" s="94">
        <f>IF($B14&gt;20,IF(EIOPA_RFR!AX19*(1%+VLOOKUP($B$27,Int_Rate_Param,2,FALSE))&lt;1%+EIOPA_RFR!AX19,1%+EIOPA_RFR!AX19,EIOPA_RFR!AX19*(1%+VLOOKUP($B$27,Int_Rate_Param,2,FALSE))),IF(EIOPA_RFR!AX19*(1%+VLOOKUP($B14,Int_Rate_Param,2,FALSE))&lt;1%+EIOPA_RFR!AX19,1%+EIOPA_RFR!AX19,EIOPA_RFR!AX19*(1%+VLOOKUP($B14,Int_Rate_Param,2,FALSE))))</f>
        <v>8.8649999999999993E-2</v>
      </c>
      <c r="AY14" s="94">
        <f>IF($B14&gt;20,IF(EIOPA_RFR!AY19*(1%+VLOOKUP($B$27,Int_Rate_Param,2,FALSE))&lt;1%+EIOPA_RFR!AY19,1%+EIOPA_RFR!AY19,EIOPA_RFR!AY19*(1%+VLOOKUP($B$27,Int_Rate_Param,2,FALSE))),IF(EIOPA_RFR!AY19*(1%+VLOOKUP($B14,Int_Rate_Param,2,FALSE))&lt;1%+EIOPA_RFR!AY19,1%+EIOPA_RFR!AY19,EIOPA_RFR!AY19*(1%+VLOOKUP($B14,Int_Rate_Param,2,FALSE))))</f>
        <v>2.6869999999999998E-2</v>
      </c>
      <c r="AZ14" s="94">
        <f>IF($B14&gt;20,IF(EIOPA_RFR!AZ19*(1%+VLOOKUP($B$27,Int_Rate_Param,2,FALSE))&lt;1%+EIOPA_RFR!AZ19,1%+EIOPA_RFR!AZ19,EIOPA_RFR!AZ19*(1%+VLOOKUP($B$27,Int_Rate_Param,2,FALSE))),IF(EIOPA_RFR!AZ19*(1%+VLOOKUP($B14,Int_Rate_Param,2,FALSE))&lt;1%+EIOPA_RFR!AZ19,1%+EIOPA_RFR!AZ19,EIOPA_RFR!AZ19*(1%+VLOOKUP($B14,Int_Rate_Param,2,FALSE))))</f>
        <v>1.9209999999999998E-2</v>
      </c>
      <c r="BA14" s="94">
        <f>IF($B14&gt;20,IF(EIOPA_RFR!BA19*(1%+VLOOKUP($B$27,Int_Rate_Param,2,FALSE))&lt;1%+EIOPA_RFR!BA19,1%+EIOPA_RFR!BA19,EIOPA_RFR!BA19*(1%+VLOOKUP($B$27,Int_Rate_Param,2,FALSE))),IF(EIOPA_RFR!BA19*(1%+VLOOKUP($B14,Int_Rate_Param,2,FALSE))&lt;1%+EIOPA_RFR!BA19,1%+EIOPA_RFR!BA19,EIOPA_RFR!BA19*(1%+VLOOKUP($B14,Int_Rate_Param,2,FALSE))))</f>
        <v>3.3230000000000003E-2</v>
      </c>
      <c r="BB14" s="94">
        <f>IF($B14&gt;20,IF(EIOPA_RFR!BB19*(1%+VLOOKUP($B$27,Int_Rate_Param,2,FALSE))&lt;1%+EIOPA_RFR!BB19,1%+EIOPA_RFR!BB19,EIOPA_RFR!BB19*(1%+VLOOKUP($B$27,Int_Rate_Param,2,FALSE))),IF(EIOPA_RFR!BB19*(1%+VLOOKUP($B14,Int_Rate_Param,2,FALSE))&lt;1%+EIOPA_RFR!BB19,1%+EIOPA_RFR!BB19,EIOPA_RFR!BB19*(1%+VLOOKUP($B14,Int_Rate_Param,2,FALSE))))</f>
        <v>0.12078</v>
      </c>
      <c r="BC14" s="94">
        <f>IF($B14&gt;20,IF(EIOPA_RFR!BC19*(1%+VLOOKUP($B$27,Int_Rate_Param,2,FALSE))&lt;1%+EIOPA_RFR!BC19,1%+EIOPA_RFR!BC19,EIOPA_RFR!BC19*(1%+VLOOKUP($B$27,Int_Rate_Param,2,FALSE))),IF(EIOPA_RFR!BC19*(1%+VLOOKUP($B14,Int_Rate_Param,2,FALSE))&lt;1%+EIOPA_RFR!BC19,1%+EIOPA_RFR!BC19,EIOPA_RFR!BC19*(1%+VLOOKUP($B14,Int_Rate_Param,2,FALSE))))</f>
        <v>3.0850000000000002E-2</v>
      </c>
    </row>
    <row r="15" spans="1:55" x14ac:dyDescent="0.25">
      <c r="A15">
        <f t="shared" si="0"/>
        <v>10</v>
      </c>
      <c r="B15" s="95">
        <v>8</v>
      </c>
      <c r="C15" s="94">
        <f>IF($B15&gt;20,IF(EIOPA_RFR!C20*(1%+VLOOKUP($B$27,Int_Rate_Param,2,FALSE))&lt;1%+EIOPA_RFR!C20,1%+EIOPA_RFR!C20,EIOPA_RFR!C20*(1%+VLOOKUP($B$27,Int_Rate_Param,2,FALSE))),IF(EIOPA_RFR!C20*(1%+VLOOKUP($B15,Int_Rate_Param,2,FALSE))&lt;1%+EIOPA_RFR!C20,1%+EIOPA_RFR!C20,EIOPA_RFR!C20*(1%+VLOOKUP($B15,Int_Rate_Param,2,FALSE))))</f>
        <v>1.452E-2</v>
      </c>
      <c r="D15" s="94">
        <f>IF($B15&gt;20,IF(EIOPA_RFR!D20*(1%+VLOOKUP($B$27,Int_Rate_Param,2,FALSE))&lt;1%+EIOPA_RFR!D20,1%+EIOPA_RFR!D20,EIOPA_RFR!D20*(1%+VLOOKUP($B$27,Int_Rate_Param,2,FALSE))),IF(EIOPA_RFR!D20*(1%+VLOOKUP($B15,Int_Rate_Param,2,FALSE))&lt;1%+EIOPA_RFR!D20,1%+EIOPA_RFR!D20,EIOPA_RFR!D20*(1%+VLOOKUP($B15,Int_Rate_Param,2,FALSE))))</f>
        <v>1.452E-2</v>
      </c>
      <c r="E15" s="94">
        <f>IF($B15&gt;20,IF(EIOPA_RFR!E20*(1%+VLOOKUP($B$27,Int_Rate_Param,2,FALSE))&lt;1%+EIOPA_RFR!E20,1%+EIOPA_RFR!E20,EIOPA_RFR!E20*(1%+VLOOKUP($B$27,Int_Rate_Param,2,FALSE))),IF(EIOPA_RFR!E20*(1%+VLOOKUP($B15,Int_Rate_Param,2,FALSE))&lt;1%+EIOPA_RFR!E20,1%+EIOPA_RFR!E20,EIOPA_RFR!E20*(1%+VLOOKUP($B15,Int_Rate_Param,2,FALSE))))</f>
        <v>1.452E-2</v>
      </c>
      <c r="F15" s="94">
        <f>IF($B15&gt;20,IF(EIOPA_RFR!F20*(1%+VLOOKUP($B$27,Int_Rate_Param,2,FALSE))&lt;1%+EIOPA_RFR!F20,1%+EIOPA_RFR!F20,EIOPA_RFR!F20*(1%+VLOOKUP($B$27,Int_Rate_Param,2,FALSE))),IF(EIOPA_RFR!F20*(1%+VLOOKUP($B15,Int_Rate_Param,2,FALSE))&lt;1%+EIOPA_RFR!F20,1%+EIOPA_RFR!F20,EIOPA_RFR!F20*(1%+VLOOKUP($B15,Int_Rate_Param,2,FALSE))))</f>
        <v>1.401E-2</v>
      </c>
      <c r="G15" s="94">
        <f>IF($B15&gt;20,IF(EIOPA_RFR!G20*(1%+VLOOKUP($B$27,Int_Rate_Param,2,FALSE))&lt;1%+EIOPA_RFR!G20,1%+EIOPA_RFR!G20,EIOPA_RFR!G20*(1%+VLOOKUP($B$27,Int_Rate_Param,2,FALSE))),IF(EIOPA_RFR!G20*(1%+VLOOKUP($B15,Int_Rate_Param,2,FALSE))&lt;1%+EIOPA_RFR!G20,1%+EIOPA_RFR!G20,EIOPA_RFR!G20*(1%+VLOOKUP($B15,Int_Rate_Param,2,FALSE))))</f>
        <v>3.7330000000000002E-2</v>
      </c>
      <c r="H15" s="94">
        <f>IF($B15&gt;20,IF(EIOPA_RFR!H20*(1%+VLOOKUP($B$27,Int_Rate_Param,2,FALSE))&lt;1%+EIOPA_RFR!H20,1%+EIOPA_RFR!H20,EIOPA_RFR!H20*(1%+VLOOKUP($B$27,Int_Rate_Param,2,FALSE))),IF(EIOPA_RFR!H20*(1%+VLOOKUP($B15,Int_Rate_Param,2,FALSE))&lt;1%+EIOPA_RFR!H20,1%+EIOPA_RFR!H20,EIOPA_RFR!H20*(1%+VLOOKUP($B15,Int_Rate_Param,2,FALSE))))</f>
        <v>1.452E-2</v>
      </c>
      <c r="I15" s="94">
        <f>IF($B15&gt;20,IF(EIOPA_RFR!I20*(1%+VLOOKUP($B$27,Int_Rate_Param,2,FALSE))&lt;1%+EIOPA_RFR!I20,1%+EIOPA_RFR!I20,EIOPA_RFR!I20*(1%+VLOOKUP($B$27,Int_Rate_Param,2,FALSE))),IF(EIOPA_RFR!I20*(1%+VLOOKUP($B15,Int_Rate_Param,2,FALSE))&lt;1%+EIOPA_RFR!I20,1%+EIOPA_RFR!I20,EIOPA_RFR!I20*(1%+VLOOKUP($B15,Int_Rate_Param,2,FALSE))))</f>
        <v>1.8189999999999998E-2</v>
      </c>
      <c r="J15" s="94">
        <f>IF($B15&gt;20,IF(EIOPA_RFR!J20*(1%+VLOOKUP($B$27,Int_Rate_Param,2,FALSE))&lt;1%+EIOPA_RFR!J20,1%+EIOPA_RFR!J20,EIOPA_RFR!J20*(1%+VLOOKUP($B$27,Int_Rate_Param,2,FALSE))),IF(EIOPA_RFR!J20*(1%+VLOOKUP($B15,Int_Rate_Param,2,FALSE))&lt;1%+EIOPA_RFR!J20,1%+EIOPA_RFR!J20,EIOPA_RFR!J20*(1%+VLOOKUP($B15,Int_Rate_Param,2,FALSE))))</f>
        <v>1.4420000000000001E-2</v>
      </c>
      <c r="K15" s="94">
        <f>IF($B15&gt;20,IF(EIOPA_RFR!K20*(1%+VLOOKUP($B$27,Int_Rate_Param,2,FALSE))&lt;1%+EIOPA_RFR!K20,1%+EIOPA_RFR!K20,EIOPA_RFR!K20*(1%+VLOOKUP($B$27,Int_Rate_Param,2,FALSE))),IF(EIOPA_RFR!K20*(1%+VLOOKUP($B15,Int_Rate_Param,2,FALSE))&lt;1%+EIOPA_RFR!K20,1%+EIOPA_RFR!K20,EIOPA_RFR!K20*(1%+VLOOKUP($B15,Int_Rate_Param,2,FALSE))))</f>
        <v>1.452E-2</v>
      </c>
      <c r="L15" s="94">
        <f>IF($B15&gt;20,IF(EIOPA_RFR!L20*(1%+VLOOKUP($B$27,Int_Rate_Param,2,FALSE))&lt;1%+EIOPA_RFR!L20,1%+EIOPA_RFR!L20,EIOPA_RFR!L20*(1%+VLOOKUP($B$27,Int_Rate_Param,2,FALSE))),IF(EIOPA_RFR!L20*(1%+VLOOKUP($B15,Int_Rate_Param,2,FALSE))&lt;1%+EIOPA_RFR!L20,1%+EIOPA_RFR!L20,EIOPA_RFR!L20*(1%+VLOOKUP($B15,Int_Rate_Param,2,FALSE))))</f>
        <v>1.452E-2</v>
      </c>
      <c r="M15" s="94">
        <f>IF($B15&gt;20,IF(EIOPA_RFR!M20*(1%+VLOOKUP($B$27,Int_Rate_Param,2,FALSE))&lt;1%+EIOPA_RFR!M20,1%+EIOPA_RFR!M20,EIOPA_RFR!M20*(1%+VLOOKUP($B$27,Int_Rate_Param,2,FALSE))),IF(EIOPA_RFR!M20*(1%+VLOOKUP($B15,Int_Rate_Param,2,FALSE))&lt;1%+EIOPA_RFR!M20,1%+EIOPA_RFR!M20,EIOPA_RFR!M20*(1%+VLOOKUP($B15,Int_Rate_Param,2,FALSE))))</f>
        <v>1.452E-2</v>
      </c>
      <c r="N15" s="94">
        <f>IF($B15&gt;20,IF(EIOPA_RFR!N20*(1%+VLOOKUP($B$27,Int_Rate_Param,2,FALSE))&lt;1%+EIOPA_RFR!N20,1%+EIOPA_RFR!N20,EIOPA_RFR!N20*(1%+VLOOKUP($B$27,Int_Rate_Param,2,FALSE))),IF(EIOPA_RFR!N20*(1%+VLOOKUP($B15,Int_Rate_Param,2,FALSE))&lt;1%+EIOPA_RFR!N20,1%+EIOPA_RFR!N20,EIOPA_RFR!N20*(1%+VLOOKUP($B15,Int_Rate_Param,2,FALSE))))</f>
        <v>1.452E-2</v>
      </c>
      <c r="O15" s="94">
        <f>IF($B15&gt;20,IF(EIOPA_RFR!O20*(1%+VLOOKUP($B$27,Int_Rate_Param,2,FALSE))&lt;1%+EIOPA_RFR!O20,1%+EIOPA_RFR!O20,EIOPA_RFR!O20*(1%+VLOOKUP($B$27,Int_Rate_Param,2,FALSE))),IF(EIOPA_RFR!O20*(1%+VLOOKUP($B15,Int_Rate_Param,2,FALSE))&lt;1%+EIOPA_RFR!O20,1%+EIOPA_RFR!O20,EIOPA_RFR!O20*(1%+VLOOKUP($B15,Int_Rate_Param,2,FALSE))))</f>
        <v>1.452E-2</v>
      </c>
      <c r="P15" s="94">
        <f>IF($B15&gt;20,IF(EIOPA_RFR!P20*(1%+VLOOKUP($B$27,Int_Rate_Param,2,FALSE))&lt;1%+EIOPA_RFR!P20,1%+EIOPA_RFR!P20,EIOPA_RFR!P20*(1%+VLOOKUP($B$27,Int_Rate_Param,2,FALSE))),IF(EIOPA_RFR!P20*(1%+VLOOKUP($B15,Int_Rate_Param,2,FALSE))&lt;1%+EIOPA_RFR!P20,1%+EIOPA_RFR!P20,EIOPA_RFR!P20*(1%+VLOOKUP($B15,Int_Rate_Param,2,FALSE))))</f>
        <v>3.814E-2</v>
      </c>
      <c r="Q15" s="94">
        <f>IF($B15&gt;20,IF(EIOPA_RFR!Q20*(1%+VLOOKUP($B$27,Int_Rate_Param,2,FALSE))&lt;1%+EIOPA_RFR!Q20,1%+EIOPA_RFR!Q20,EIOPA_RFR!Q20*(1%+VLOOKUP($B$27,Int_Rate_Param,2,FALSE))),IF(EIOPA_RFR!Q20*(1%+VLOOKUP($B15,Int_Rate_Param,2,FALSE))&lt;1%+EIOPA_RFR!Q20,1%+EIOPA_RFR!Q20,EIOPA_RFR!Q20*(1%+VLOOKUP($B15,Int_Rate_Param,2,FALSE))))</f>
        <v>5.7700000000000001E-2</v>
      </c>
      <c r="R15" s="94">
        <f>IF($B15&gt;20,IF(EIOPA_RFR!R20*(1%+VLOOKUP($B$27,Int_Rate_Param,2,FALSE))&lt;1%+EIOPA_RFR!R20,1%+EIOPA_RFR!R20,EIOPA_RFR!R20*(1%+VLOOKUP($B$27,Int_Rate_Param,2,FALSE))),IF(EIOPA_RFR!R20*(1%+VLOOKUP($B15,Int_Rate_Param,2,FALSE))&lt;1%+EIOPA_RFR!R20,1%+EIOPA_RFR!R20,EIOPA_RFR!R20*(1%+VLOOKUP($B15,Int_Rate_Param,2,FALSE))))</f>
        <v>1.452E-2</v>
      </c>
      <c r="S15" s="94">
        <f>IF($B15&gt;20,IF(EIOPA_RFR!S20*(1%+VLOOKUP($B$27,Int_Rate_Param,2,FALSE))&lt;1%+EIOPA_RFR!S20,1%+EIOPA_RFR!S20,EIOPA_RFR!S20*(1%+VLOOKUP($B$27,Int_Rate_Param,2,FALSE))),IF(EIOPA_RFR!S20*(1%+VLOOKUP($B15,Int_Rate_Param,2,FALSE))&lt;1%+EIOPA_RFR!S20,1%+EIOPA_RFR!S20,EIOPA_RFR!S20*(1%+VLOOKUP($B15,Int_Rate_Param,2,FALSE))))</f>
        <v>1.452E-2</v>
      </c>
      <c r="T15" s="94">
        <f>IF($B15&gt;20,IF(EIOPA_RFR!T20*(1%+VLOOKUP($B$27,Int_Rate_Param,2,FALSE))&lt;1%+EIOPA_RFR!T20,1%+EIOPA_RFR!T20,EIOPA_RFR!T20*(1%+VLOOKUP($B$27,Int_Rate_Param,2,FALSE))),IF(EIOPA_RFR!T20*(1%+VLOOKUP($B15,Int_Rate_Param,2,FALSE))&lt;1%+EIOPA_RFR!T20,1%+EIOPA_RFR!T20,EIOPA_RFR!T20*(1%+VLOOKUP($B15,Int_Rate_Param,2,FALSE))))</f>
        <v>1.452E-2</v>
      </c>
      <c r="U15" s="94">
        <f>IF($B15&gt;20,IF(EIOPA_RFR!U20*(1%+VLOOKUP($B$27,Int_Rate_Param,2,FALSE))&lt;1%+EIOPA_RFR!U20,1%+EIOPA_RFR!U20,EIOPA_RFR!U20*(1%+VLOOKUP($B$27,Int_Rate_Param,2,FALSE))),IF(EIOPA_RFR!U20*(1%+VLOOKUP($B15,Int_Rate_Param,2,FALSE))&lt;1%+EIOPA_RFR!U20,1%+EIOPA_RFR!U20,EIOPA_RFR!U20*(1%+VLOOKUP($B15,Int_Rate_Param,2,FALSE))))</f>
        <v>8.7900000000000009E-3</v>
      </c>
      <c r="V15" s="94">
        <f>IF($B15&gt;20,IF(EIOPA_RFR!V20*(1%+VLOOKUP($B$27,Int_Rate_Param,2,FALSE))&lt;1%+EIOPA_RFR!V20,1%+EIOPA_RFR!V20,EIOPA_RFR!V20*(1%+VLOOKUP($B$27,Int_Rate_Param,2,FALSE))),IF(EIOPA_RFR!V20*(1%+VLOOKUP($B15,Int_Rate_Param,2,FALSE))&lt;1%+EIOPA_RFR!V20,1%+EIOPA_RFR!V20,EIOPA_RFR!V20*(1%+VLOOKUP($B15,Int_Rate_Param,2,FALSE))))</f>
        <v>1.452E-2</v>
      </c>
      <c r="W15" s="94">
        <f>IF($B15&gt;20,IF(EIOPA_RFR!W20*(1%+VLOOKUP($B$27,Int_Rate_Param,2,FALSE))&lt;1%+EIOPA_RFR!W20,1%+EIOPA_RFR!W20,EIOPA_RFR!W20*(1%+VLOOKUP($B$27,Int_Rate_Param,2,FALSE))),IF(EIOPA_RFR!W20*(1%+VLOOKUP($B15,Int_Rate_Param,2,FALSE))&lt;1%+EIOPA_RFR!W20,1%+EIOPA_RFR!W20,EIOPA_RFR!W20*(1%+VLOOKUP($B15,Int_Rate_Param,2,FALSE))))</f>
        <v>1.452E-2</v>
      </c>
      <c r="X15" s="94">
        <f>IF($B15&gt;20,IF(EIOPA_RFR!X20*(1%+VLOOKUP($B$27,Int_Rate_Param,2,FALSE))&lt;1%+EIOPA_RFR!X20,1%+EIOPA_RFR!X20,EIOPA_RFR!X20*(1%+VLOOKUP($B$27,Int_Rate_Param,2,FALSE))),IF(EIOPA_RFR!X20*(1%+VLOOKUP($B15,Int_Rate_Param,2,FALSE))&lt;1%+EIOPA_RFR!X20,1%+EIOPA_RFR!X20,EIOPA_RFR!X20*(1%+VLOOKUP($B15,Int_Rate_Param,2,FALSE))))</f>
        <v>1.452E-2</v>
      </c>
      <c r="Y15" s="94">
        <f>IF($B15&gt;20,IF(EIOPA_RFR!Y20*(1%+VLOOKUP($B$27,Int_Rate_Param,2,FALSE))&lt;1%+EIOPA_RFR!Y20,1%+EIOPA_RFR!Y20,EIOPA_RFR!Y20*(1%+VLOOKUP($B$27,Int_Rate_Param,2,FALSE))),IF(EIOPA_RFR!Y20*(1%+VLOOKUP($B15,Int_Rate_Param,2,FALSE))&lt;1%+EIOPA_RFR!Y20,1%+EIOPA_RFR!Y20,EIOPA_RFR!Y20*(1%+VLOOKUP($B15,Int_Rate_Param,2,FALSE))))</f>
        <v>1.452E-2</v>
      </c>
      <c r="Z15" s="94">
        <f>IF($B15&gt;20,IF(EIOPA_RFR!Z20*(1%+VLOOKUP($B$27,Int_Rate_Param,2,FALSE))&lt;1%+EIOPA_RFR!Z20,1%+EIOPA_RFR!Z20,EIOPA_RFR!Z20*(1%+VLOOKUP($B$27,Int_Rate_Param,2,FALSE))),IF(EIOPA_RFR!Z20*(1%+VLOOKUP($B15,Int_Rate_Param,2,FALSE))&lt;1%+EIOPA_RFR!Z20,1%+EIOPA_RFR!Z20,EIOPA_RFR!Z20*(1%+VLOOKUP($B15,Int_Rate_Param,2,FALSE))))</f>
        <v>2.708E-2</v>
      </c>
      <c r="AA15" s="94">
        <f>IF($B15&gt;20,IF(EIOPA_RFR!AA20*(1%+VLOOKUP($B$27,Int_Rate_Param,2,FALSE))&lt;1%+EIOPA_RFR!AA20,1%+EIOPA_RFR!AA20,EIOPA_RFR!AA20*(1%+VLOOKUP($B$27,Int_Rate_Param,2,FALSE))),IF(EIOPA_RFR!AA20*(1%+VLOOKUP($B15,Int_Rate_Param,2,FALSE))&lt;1%+EIOPA_RFR!AA20,1%+EIOPA_RFR!AA20,EIOPA_RFR!AA20*(1%+VLOOKUP($B15,Int_Rate_Param,2,FALSE))))</f>
        <v>4.1320000000000003E-2</v>
      </c>
      <c r="AB15" s="94">
        <f>IF($B15&gt;20,IF(EIOPA_RFR!AB20*(1%+VLOOKUP($B$27,Int_Rate_Param,2,FALSE))&lt;1%+EIOPA_RFR!AB20,1%+EIOPA_RFR!AB20,EIOPA_RFR!AB20*(1%+VLOOKUP($B$27,Int_Rate_Param,2,FALSE))),IF(EIOPA_RFR!AB20*(1%+VLOOKUP($B15,Int_Rate_Param,2,FALSE))&lt;1%+EIOPA_RFR!AB20,1%+EIOPA_RFR!AB20,EIOPA_RFR!AB20*(1%+VLOOKUP($B15,Int_Rate_Param,2,FALSE))))</f>
        <v>1.452E-2</v>
      </c>
      <c r="AC15" s="94">
        <f>IF($B15&gt;20,IF(EIOPA_RFR!AC20*(1%+VLOOKUP($B$27,Int_Rate_Param,2,FALSE))&lt;1%+EIOPA_RFR!AC20,1%+EIOPA_RFR!AC20,EIOPA_RFR!AC20*(1%+VLOOKUP($B$27,Int_Rate_Param,2,FALSE))),IF(EIOPA_RFR!AC20*(1%+VLOOKUP($B15,Int_Rate_Param,2,FALSE))&lt;1%+EIOPA_RFR!AC20,1%+EIOPA_RFR!AC20,EIOPA_RFR!AC20*(1%+VLOOKUP($B15,Int_Rate_Param,2,FALSE))))</f>
        <v>4.5810000000000003E-2</v>
      </c>
      <c r="AD15" s="94">
        <f>IF($B15&gt;20,IF(EIOPA_RFR!AD20*(1%+VLOOKUP($B$27,Int_Rate_Param,2,FALSE))&lt;1%+EIOPA_RFR!AD20,1%+EIOPA_RFR!AD20,EIOPA_RFR!AD20*(1%+VLOOKUP($B$27,Int_Rate_Param,2,FALSE))),IF(EIOPA_RFR!AD20*(1%+VLOOKUP($B15,Int_Rate_Param,2,FALSE))&lt;1%+EIOPA_RFR!AD20,1%+EIOPA_RFR!AD20,EIOPA_RFR!AD20*(1%+VLOOKUP($B15,Int_Rate_Param,2,FALSE))))</f>
        <v>8.8209999999999997E-2</v>
      </c>
      <c r="AE15" s="94">
        <f>IF($B15&gt;20,IF(EIOPA_RFR!AE20*(1%+VLOOKUP($B$27,Int_Rate_Param,2,FALSE))&lt;1%+EIOPA_RFR!AE20,1%+EIOPA_RFR!AE20,EIOPA_RFR!AE20*(1%+VLOOKUP($B$27,Int_Rate_Param,2,FALSE))),IF(EIOPA_RFR!AE20*(1%+VLOOKUP($B15,Int_Rate_Param,2,FALSE))&lt;1%+EIOPA_RFR!AE20,1%+EIOPA_RFR!AE20,EIOPA_RFR!AE20*(1%+VLOOKUP($B15,Int_Rate_Param,2,FALSE))))</f>
        <v>1.452E-2</v>
      </c>
      <c r="AF15" s="94">
        <f>IF($B15&gt;20,IF(EIOPA_RFR!AF20*(1%+VLOOKUP($B$27,Int_Rate_Param,2,FALSE))&lt;1%+EIOPA_RFR!AF20,1%+EIOPA_RFR!AF20,EIOPA_RFR!AF20*(1%+VLOOKUP($B$27,Int_Rate_Param,2,FALSE))),IF(EIOPA_RFR!AF20*(1%+VLOOKUP($B15,Int_Rate_Param,2,FALSE))&lt;1%+EIOPA_RFR!AF20,1%+EIOPA_RFR!AF20,EIOPA_RFR!AF20*(1%+VLOOKUP($B15,Int_Rate_Param,2,FALSE))))</f>
        <v>1.452E-2</v>
      </c>
      <c r="AG15" s="94">
        <f>IF($B15&gt;20,IF(EIOPA_RFR!AG20*(1%+VLOOKUP($B$27,Int_Rate_Param,2,FALSE))&lt;1%+EIOPA_RFR!AG20,1%+EIOPA_RFR!AG20,EIOPA_RFR!AG20*(1%+VLOOKUP($B$27,Int_Rate_Param,2,FALSE))),IF(EIOPA_RFR!AG20*(1%+VLOOKUP($B15,Int_Rate_Param,2,FALSE))&lt;1%+EIOPA_RFR!AG20,1%+EIOPA_RFR!AG20,EIOPA_RFR!AG20*(1%+VLOOKUP($B15,Int_Rate_Param,2,FALSE))))</f>
        <v>1.452E-2</v>
      </c>
      <c r="AH15" s="94">
        <f>IF($B15&gt;20,IF(EIOPA_RFR!AH20*(1%+VLOOKUP($B$27,Int_Rate_Param,2,FALSE))&lt;1%+EIOPA_RFR!AH20,1%+EIOPA_RFR!AH20,EIOPA_RFR!AH20*(1%+VLOOKUP($B$27,Int_Rate_Param,2,FALSE))),IF(EIOPA_RFR!AH20*(1%+VLOOKUP($B15,Int_Rate_Param,2,FALSE))&lt;1%+EIOPA_RFR!AH20,1%+EIOPA_RFR!AH20,EIOPA_RFR!AH20*(1%+VLOOKUP($B15,Int_Rate_Param,2,FALSE))))</f>
        <v>1.7729999999999999E-2</v>
      </c>
      <c r="AI15" s="94">
        <f>IF($B15&gt;20,IF(EIOPA_RFR!AI20*(1%+VLOOKUP($B$27,Int_Rate_Param,2,FALSE))&lt;1%+EIOPA_RFR!AI20,1%+EIOPA_RFR!AI20,EIOPA_RFR!AI20*(1%+VLOOKUP($B$27,Int_Rate_Param,2,FALSE))),IF(EIOPA_RFR!AI20*(1%+VLOOKUP($B15,Int_Rate_Param,2,FALSE))&lt;1%+EIOPA_RFR!AI20,1%+EIOPA_RFR!AI20,EIOPA_RFR!AI20*(1%+VLOOKUP($B15,Int_Rate_Param,2,FALSE))))</f>
        <v>8.7900000000000009E-3</v>
      </c>
      <c r="AJ15" s="94">
        <f>IF($B15&gt;20,IF(EIOPA_RFR!AJ20*(1%+VLOOKUP($B$27,Int_Rate_Param,2,FALSE))&lt;1%+EIOPA_RFR!AJ20,1%+EIOPA_RFR!AJ20,EIOPA_RFR!AJ20*(1%+VLOOKUP($B$27,Int_Rate_Param,2,FALSE))),IF(EIOPA_RFR!AJ20*(1%+VLOOKUP($B15,Int_Rate_Param,2,FALSE))&lt;1%+EIOPA_RFR!AJ20,1%+EIOPA_RFR!AJ20,EIOPA_RFR!AJ20*(1%+VLOOKUP($B15,Int_Rate_Param,2,FALSE))))</f>
        <v>1.908E-2</v>
      </c>
      <c r="AK15" s="94">
        <f>IF($B15&gt;20,IF(EIOPA_RFR!AK20*(1%+VLOOKUP($B$27,Int_Rate_Param,2,FALSE))&lt;1%+EIOPA_RFR!AK20,1%+EIOPA_RFR!AK20,EIOPA_RFR!AK20*(1%+VLOOKUP($B$27,Int_Rate_Param,2,FALSE))),IF(EIOPA_RFR!AK20*(1%+VLOOKUP($B15,Int_Rate_Param,2,FALSE))&lt;1%+EIOPA_RFR!AK20,1%+EIOPA_RFR!AK20,EIOPA_RFR!AK20*(1%+VLOOKUP($B15,Int_Rate_Param,2,FALSE))))</f>
        <v>3.678E-2</v>
      </c>
      <c r="AL15" s="94">
        <f>IF($B15&gt;20,IF(EIOPA_RFR!AL20*(1%+VLOOKUP($B$27,Int_Rate_Param,2,FALSE))&lt;1%+EIOPA_RFR!AL20,1%+EIOPA_RFR!AL20,EIOPA_RFR!AL20*(1%+VLOOKUP($B$27,Int_Rate_Param,2,FALSE))),IF(EIOPA_RFR!AL20*(1%+VLOOKUP($B15,Int_Rate_Param,2,FALSE))&lt;1%+EIOPA_RFR!AL20,1%+EIOPA_RFR!AL20,EIOPA_RFR!AL20*(1%+VLOOKUP($B15,Int_Rate_Param,2,FALSE))))</f>
        <v>0.10350999999999999</v>
      </c>
      <c r="AM15" s="94">
        <f>IF($B15&gt;20,IF(EIOPA_RFR!AM20*(1%+VLOOKUP($B$27,Int_Rate_Param,2,FALSE))&lt;1%+EIOPA_RFR!AM20,1%+EIOPA_RFR!AM20,EIOPA_RFR!AM20*(1%+VLOOKUP($B$27,Int_Rate_Param,2,FALSE))),IF(EIOPA_RFR!AM20*(1%+VLOOKUP($B15,Int_Rate_Param,2,FALSE))&lt;1%+EIOPA_RFR!AM20,1%+EIOPA_RFR!AM20,EIOPA_RFR!AM20*(1%+VLOOKUP($B15,Int_Rate_Param,2,FALSE))))</f>
        <v>2.5440000000000001E-2</v>
      </c>
      <c r="AN15" s="94">
        <f>IF($B15&gt;20,IF(EIOPA_RFR!AN20*(1%+VLOOKUP($B$27,Int_Rate_Param,2,FALSE))&lt;1%+EIOPA_RFR!AN20,1%+EIOPA_RFR!AN20,EIOPA_RFR!AN20*(1%+VLOOKUP($B$27,Int_Rate_Param,2,FALSE))),IF(EIOPA_RFR!AN20*(1%+VLOOKUP($B15,Int_Rate_Param,2,FALSE))&lt;1%+EIOPA_RFR!AN20,1%+EIOPA_RFR!AN20,EIOPA_RFR!AN20*(1%+VLOOKUP($B15,Int_Rate_Param,2,FALSE))))</f>
        <v>4.7980000000000002E-2</v>
      </c>
      <c r="AO15" s="94">
        <f>IF($B15&gt;20,IF(EIOPA_RFR!AO20*(1%+VLOOKUP($B$27,Int_Rate_Param,2,FALSE))&lt;1%+EIOPA_RFR!AO20,1%+EIOPA_RFR!AO20,EIOPA_RFR!AO20*(1%+VLOOKUP($B$27,Int_Rate_Param,2,FALSE))),IF(EIOPA_RFR!AO20*(1%+VLOOKUP($B15,Int_Rate_Param,2,FALSE))&lt;1%+EIOPA_RFR!AO20,1%+EIOPA_RFR!AO20,EIOPA_RFR!AO20*(1%+VLOOKUP($B15,Int_Rate_Param,2,FALSE))))</f>
        <v>5.0620000000000005E-2</v>
      </c>
      <c r="AP15" s="94">
        <f>IF($B15&gt;20,IF(EIOPA_RFR!AP20*(1%+VLOOKUP($B$27,Int_Rate_Param,2,FALSE))&lt;1%+EIOPA_RFR!AP20,1%+EIOPA_RFR!AP20,EIOPA_RFR!AP20*(1%+VLOOKUP($B$27,Int_Rate_Param,2,FALSE))),IF(EIOPA_RFR!AP20*(1%+VLOOKUP($B15,Int_Rate_Param,2,FALSE))&lt;1%+EIOPA_RFR!AP20,1%+EIOPA_RFR!AP20,EIOPA_RFR!AP20*(1%+VLOOKUP($B15,Int_Rate_Param,2,FALSE))))</f>
        <v>7.0720000000000005E-2</v>
      </c>
      <c r="AQ15" s="94">
        <f>IF($B15&gt;20,IF(EIOPA_RFR!AQ20*(1%+VLOOKUP($B$27,Int_Rate_Param,2,FALSE))&lt;1%+EIOPA_RFR!AQ20,1%+EIOPA_RFR!AQ20,EIOPA_RFR!AQ20*(1%+VLOOKUP($B$27,Int_Rate_Param,2,FALSE))),IF(EIOPA_RFR!AQ20*(1%+VLOOKUP($B15,Int_Rate_Param,2,FALSE))&lt;1%+EIOPA_RFR!AQ20,1%+EIOPA_RFR!AQ20,EIOPA_RFR!AQ20*(1%+VLOOKUP($B15,Int_Rate_Param,2,FALSE))))</f>
        <v>3.1269999999999999E-2</v>
      </c>
      <c r="AR15" s="94">
        <f>IF($B15&gt;20,IF(EIOPA_RFR!AR20*(1%+VLOOKUP($B$27,Int_Rate_Param,2,FALSE))&lt;1%+EIOPA_RFR!AR20,1%+EIOPA_RFR!AR20,EIOPA_RFR!AR20*(1%+VLOOKUP($B$27,Int_Rate_Param,2,FALSE))),IF(EIOPA_RFR!AR20*(1%+VLOOKUP($B15,Int_Rate_Param,2,FALSE))&lt;1%+EIOPA_RFR!AR20,1%+EIOPA_RFR!AR20,EIOPA_RFR!AR20*(1%+VLOOKUP($B15,Int_Rate_Param,2,FALSE))))</f>
        <v>7.646E-2</v>
      </c>
      <c r="AS15" s="94">
        <f>IF($B15&gt;20,IF(EIOPA_RFR!AS20*(1%+VLOOKUP($B$27,Int_Rate_Param,2,FALSE))&lt;1%+EIOPA_RFR!AS20,1%+EIOPA_RFR!AS20,EIOPA_RFR!AS20*(1%+VLOOKUP($B$27,Int_Rate_Param,2,FALSE))),IF(EIOPA_RFR!AS20*(1%+VLOOKUP($B15,Int_Rate_Param,2,FALSE))&lt;1%+EIOPA_RFR!AS20,1%+EIOPA_RFR!AS20,EIOPA_RFR!AS20*(1%+VLOOKUP($B15,Int_Rate_Param,2,FALSE))))</f>
        <v>1.094E-2</v>
      </c>
      <c r="AT15" s="94">
        <f>IF($B15&gt;20,IF(EIOPA_RFR!AT20*(1%+VLOOKUP($B$27,Int_Rate_Param,2,FALSE))&lt;1%+EIOPA_RFR!AT20,1%+EIOPA_RFR!AT20,EIOPA_RFR!AT20*(1%+VLOOKUP($B$27,Int_Rate_Param,2,FALSE))),IF(EIOPA_RFR!AT20*(1%+VLOOKUP($B15,Int_Rate_Param,2,FALSE))&lt;1%+EIOPA_RFR!AT20,1%+EIOPA_RFR!AT20,EIOPA_RFR!AT20*(1%+VLOOKUP($B15,Int_Rate_Param,2,FALSE))))</f>
        <v>4.8580000000000005E-2</v>
      </c>
      <c r="AU15" s="94">
        <f>IF($B15&gt;20,IF(EIOPA_RFR!AU20*(1%+VLOOKUP($B$27,Int_Rate_Param,2,FALSE))&lt;1%+EIOPA_RFR!AU20,1%+EIOPA_RFR!AU20,EIOPA_RFR!AU20*(1%+VLOOKUP($B$27,Int_Rate_Param,2,FALSE))),IF(EIOPA_RFR!AU20*(1%+VLOOKUP($B15,Int_Rate_Param,2,FALSE))&lt;1%+EIOPA_RFR!AU20,1%+EIOPA_RFR!AU20,EIOPA_RFR!AU20*(1%+VLOOKUP($B15,Int_Rate_Param,2,FALSE))))</f>
        <v>8.2769999999999996E-2</v>
      </c>
      <c r="AV15" s="94">
        <f>IF($B15&gt;20,IF(EIOPA_RFR!AV20*(1%+VLOOKUP($B$27,Int_Rate_Param,2,FALSE))&lt;1%+EIOPA_RFR!AV20,1%+EIOPA_RFR!AV20,EIOPA_RFR!AV20*(1%+VLOOKUP($B$27,Int_Rate_Param,2,FALSE))),IF(EIOPA_RFR!AV20*(1%+VLOOKUP($B15,Int_Rate_Param,2,FALSE))&lt;1%+EIOPA_RFR!AV20,1%+EIOPA_RFR!AV20,EIOPA_RFR!AV20*(1%+VLOOKUP($B15,Int_Rate_Param,2,FALSE))))</f>
        <v>4.1390000000000003E-2</v>
      </c>
      <c r="AW15" s="94">
        <f>IF($B15&gt;20,IF(EIOPA_RFR!AW20*(1%+VLOOKUP($B$27,Int_Rate_Param,2,FALSE))&lt;1%+EIOPA_RFR!AW20,1%+EIOPA_RFR!AW20,EIOPA_RFR!AW20*(1%+VLOOKUP($B$27,Int_Rate_Param,2,FALSE))),IF(EIOPA_RFR!AW20*(1%+VLOOKUP($B15,Int_Rate_Param,2,FALSE))&lt;1%+EIOPA_RFR!AW20,1%+EIOPA_RFR!AW20,EIOPA_RFR!AW20*(1%+VLOOKUP($B15,Int_Rate_Param,2,FALSE))))</f>
        <v>3.2500000000000001E-2</v>
      </c>
      <c r="AX15" s="94">
        <f>IF($B15&gt;20,IF(EIOPA_RFR!AX20*(1%+VLOOKUP($B$27,Int_Rate_Param,2,FALSE))&lt;1%+EIOPA_RFR!AX20,1%+EIOPA_RFR!AX20,EIOPA_RFR!AX20*(1%+VLOOKUP($B$27,Int_Rate_Param,2,FALSE))),IF(EIOPA_RFR!AX20*(1%+VLOOKUP($B15,Int_Rate_Param,2,FALSE))&lt;1%+EIOPA_RFR!AX20,1%+EIOPA_RFR!AX20,EIOPA_RFR!AX20*(1%+VLOOKUP($B15,Int_Rate_Param,2,FALSE))))</f>
        <v>8.9849999999999999E-2</v>
      </c>
      <c r="AY15" s="94">
        <f>IF($B15&gt;20,IF(EIOPA_RFR!AY20*(1%+VLOOKUP($B$27,Int_Rate_Param,2,FALSE))&lt;1%+EIOPA_RFR!AY20,1%+EIOPA_RFR!AY20,EIOPA_RFR!AY20*(1%+VLOOKUP($B$27,Int_Rate_Param,2,FALSE))),IF(EIOPA_RFR!AY20*(1%+VLOOKUP($B15,Int_Rate_Param,2,FALSE))&lt;1%+EIOPA_RFR!AY20,1%+EIOPA_RFR!AY20,EIOPA_RFR!AY20*(1%+VLOOKUP($B15,Int_Rate_Param,2,FALSE))))</f>
        <v>2.7270000000000003E-2</v>
      </c>
      <c r="AZ15" s="94">
        <f>IF($B15&gt;20,IF(EIOPA_RFR!AZ20*(1%+VLOOKUP($B$27,Int_Rate_Param,2,FALSE))&lt;1%+EIOPA_RFR!AZ20,1%+EIOPA_RFR!AZ20,EIOPA_RFR!AZ20*(1%+VLOOKUP($B$27,Int_Rate_Param,2,FALSE))),IF(EIOPA_RFR!AZ20*(1%+VLOOKUP($B15,Int_Rate_Param,2,FALSE))&lt;1%+EIOPA_RFR!AZ20,1%+EIOPA_RFR!AZ20,EIOPA_RFR!AZ20*(1%+VLOOKUP($B15,Int_Rate_Param,2,FALSE))))</f>
        <v>1.9820000000000001E-2</v>
      </c>
      <c r="BA15" s="94">
        <f>IF($B15&gt;20,IF(EIOPA_RFR!BA20*(1%+VLOOKUP($B$27,Int_Rate_Param,2,FALSE))&lt;1%+EIOPA_RFR!BA20,1%+EIOPA_RFR!BA20,EIOPA_RFR!BA20*(1%+VLOOKUP($B$27,Int_Rate_Param,2,FALSE))),IF(EIOPA_RFR!BA20*(1%+VLOOKUP($B15,Int_Rate_Param,2,FALSE))&lt;1%+EIOPA_RFR!BA20,1%+EIOPA_RFR!BA20,EIOPA_RFR!BA20*(1%+VLOOKUP($B15,Int_Rate_Param,2,FALSE))))</f>
        <v>3.4140000000000004E-2</v>
      </c>
      <c r="BB15" s="94">
        <f>IF($B15&gt;20,IF(EIOPA_RFR!BB20*(1%+VLOOKUP($B$27,Int_Rate_Param,2,FALSE))&lt;1%+EIOPA_RFR!BB20,1%+EIOPA_RFR!BB20,EIOPA_RFR!BB20*(1%+VLOOKUP($B$27,Int_Rate_Param,2,FALSE))),IF(EIOPA_RFR!BB20*(1%+VLOOKUP($B15,Int_Rate_Param,2,FALSE))&lt;1%+EIOPA_RFR!BB20,1%+EIOPA_RFR!BB20,EIOPA_RFR!BB20*(1%+VLOOKUP($B15,Int_Rate_Param,2,FALSE))))</f>
        <v>0.11888</v>
      </c>
      <c r="BC15" s="94">
        <f>IF($B15&gt;20,IF(EIOPA_RFR!BC20*(1%+VLOOKUP($B$27,Int_Rate_Param,2,FALSE))&lt;1%+EIOPA_RFR!BC20,1%+EIOPA_RFR!BC20,EIOPA_RFR!BC20*(1%+VLOOKUP($B$27,Int_Rate_Param,2,FALSE))),IF(EIOPA_RFR!BC20*(1%+VLOOKUP($B15,Int_Rate_Param,2,FALSE))&lt;1%+EIOPA_RFR!BC20,1%+EIOPA_RFR!BC20,EIOPA_RFR!BC20*(1%+VLOOKUP($B15,Int_Rate_Param,2,FALSE))))</f>
        <v>3.1519999999999999E-2</v>
      </c>
    </row>
    <row r="16" spans="1:55" x14ac:dyDescent="0.25">
      <c r="A16">
        <f t="shared" si="0"/>
        <v>11</v>
      </c>
      <c r="B16" s="95">
        <v>9</v>
      </c>
      <c r="C16" s="94">
        <f>IF($B16&gt;20,IF(EIOPA_RFR!C21*(1%+VLOOKUP($B$27,Int_Rate_Param,2,FALSE))&lt;1%+EIOPA_RFR!C21,1%+EIOPA_RFR!C21,EIOPA_RFR!C21*(1%+VLOOKUP($B$27,Int_Rate_Param,2,FALSE))),IF(EIOPA_RFR!C21*(1%+VLOOKUP($B16,Int_Rate_Param,2,FALSE))&lt;1%+EIOPA_RFR!C21,1%+EIOPA_RFR!C21,EIOPA_RFR!C21*(1%+VLOOKUP($B16,Int_Rate_Param,2,FALSE))))</f>
        <v>1.5710000000000002E-2</v>
      </c>
      <c r="D16" s="94">
        <f>IF($B16&gt;20,IF(EIOPA_RFR!D21*(1%+VLOOKUP($B$27,Int_Rate_Param,2,FALSE))&lt;1%+EIOPA_RFR!D21,1%+EIOPA_RFR!D21,EIOPA_RFR!D21*(1%+VLOOKUP($B$27,Int_Rate_Param,2,FALSE))),IF(EIOPA_RFR!D21*(1%+VLOOKUP($B16,Int_Rate_Param,2,FALSE))&lt;1%+EIOPA_RFR!D21,1%+EIOPA_RFR!D21,EIOPA_RFR!D21*(1%+VLOOKUP($B16,Int_Rate_Param,2,FALSE))))</f>
        <v>1.5710000000000002E-2</v>
      </c>
      <c r="E16" s="94">
        <f>IF($B16&gt;20,IF(EIOPA_RFR!E21*(1%+VLOOKUP($B$27,Int_Rate_Param,2,FALSE))&lt;1%+EIOPA_RFR!E21,1%+EIOPA_RFR!E21,EIOPA_RFR!E21*(1%+VLOOKUP($B$27,Int_Rate_Param,2,FALSE))),IF(EIOPA_RFR!E21*(1%+VLOOKUP($B16,Int_Rate_Param,2,FALSE))&lt;1%+EIOPA_RFR!E21,1%+EIOPA_RFR!E21,EIOPA_RFR!E21*(1%+VLOOKUP($B16,Int_Rate_Param,2,FALSE))))</f>
        <v>1.5710000000000002E-2</v>
      </c>
      <c r="F16" s="94">
        <f>IF($B16&gt;20,IF(EIOPA_RFR!F21*(1%+VLOOKUP($B$27,Int_Rate_Param,2,FALSE))&lt;1%+EIOPA_RFR!F21,1%+EIOPA_RFR!F21,EIOPA_RFR!F21*(1%+VLOOKUP($B$27,Int_Rate_Param,2,FALSE))),IF(EIOPA_RFR!F21*(1%+VLOOKUP($B16,Int_Rate_Param,2,FALSE))&lt;1%+EIOPA_RFR!F21,1%+EIOPA_RFR!F21,EIOPA_RFR!F21*(1%+VLOOKUP($B16,Int_Rate_Param,2,FALSE))))</f>
        <v>1.52E-2</v>
      </c>
      <c r="G16" s="94">
        <f>IF($B16&gt;20,IF(EIOPA_RFR!G21*(1%+VLOOKUP($B$27,Int_Rate_Param,2,FALSE))&lt;1%+EIOPA_RFR!G21,1%+EIOPA_RFR!G21,EIOPA_RFR!G21*(1%+VLOOKUP($B$27,Int_Rate_Param,2,FALSE))),IF(EIOPA_RFR!G21*(1%+VLOOKUP($B16,Int_Rate_Param,2,FALSE))&lt;1%+EIOPA_RFR!G21,1%+EIOPA_RFR!G21,EIOPA_RFR!G21*(1%+VLOOKUP($B16,Int_Rate_Param,2,FALSE))))</f>
        <v>3.8249999999999999E-2</v>
      </c>
      <c r="H16" s="94">
        <f>IF($B16&gt;20,IF(EIOPA_RFR!H21*(1%+VLOOKUP($B$27,Int_Rate_Param,2,FALSE))&lt;1%+EIOPA_RFR!H21,1%+EIOPA_RFR!H21,EIOPA_RFR!H21*(1%+VLOOKUP($B$27,Int_Rate_Param,2,FALSE))),IF(EIOPA_RFR!H21*(1%+VLOOKUP($B16,Int_Rate_Param,2,FALSE))&lt;1%+EIOPA_RFR!H21,1%+EIOPA_RFR!H21,EIOPA_RFR!H21*(1%+VLOOKUP($B16,Int_Rate_Param,2,FALSE))))</f>
        <v>1.5710000000000002E-2</v>
      </c>
      <c r="I16" s="94">
        <f>IF($B16&gt;20,IF(EIOPA_RFR!I21*(1%+VLOOKUP($B$27,Int_Rate_Param,2,FALSE))&lt;1%+EIOPA_RFR!I21,1%+EIOPA_RFR!I21,EIOPA_RFR!I21*(1%+VLOOKUP($B$27,Int_Rate_Param,2,FALSE))),IF(EIOPA_RFR!I21*(1%+VLOOKUP($B16,Int_Rate_Param,2,FALSE))&lt;1%+EIOPA_RFR!I21,1%+EIOPA_RFR!I21,EIOPA_RFR!I21*(1%+VLOOKUP($B16,Int_Rate_Param,2,FALSE))))</f>
        <v>1.8919999999999999E-2</v>
      </c>
      <c r="J16" s="94">
        <f>IF($B16&gt;20,IF(EIOPA_RFR!J21*(1%+VLOOKUP($B$27,Int_Rate_Param,2,FALSE))&lt;1%+EIOPA_RFR!J21,1%+EIOPA_RFR!J21,EIOPA_RFR!J21*(1%+VLOOKUP($B$27,Int_Rate_Param,2,FALSE))),IF(EIOPA_RFR!J21*(1%+VLOOKUP($B16,Int_Rate_Param,2,FALSE))&lt;1%+EIOPA_RFR!J21,1%+EIOPA_RFR!J21,EIOPA_RFR!J21*(1%+VLOOKUP($B16,Int_Rate_Param,2,FALSE))))</f>
        <v>1.5610000000000001E-2</v>
      </c>
      <c r="K16" s="94">
        <f>IF($B16&gt;20,IF(EIOPA_RFR!K21*(1%+VLOOKUP($B$27,Int_Rate_Param,2,FALSE))&lt;1%+EIOPA_RFR!K21,1%+EIOPA_RFR!K21,EIOPA_RFR!K21*(1%+VLOOKUP($B$27,Int_Rate_Param,2,FALSE))),IF(EIOPA_RFR!K21*(1%+VLOOKUP($B16,Int_Rate_Param,2,FALSE))&lt;1%+EIOPA_RFR!K21,1%+EIOPA_RFR!K21,EIOPA_RFR!K21*(1%+VLOOKUP($B16,Int_Rate_Param,2,FALSE))))</f>
        <v>1.5710000000000002E-2</v>
      </c>
      <c r="L16" s="94">
        <f>IF($B16&gt;20,IF(EIOPA_RFR!L21*(1%+VLOOKUP($B$27,Int_Rate_Param,2,FALSE))&lt;1%+EIOPA_RFR!L21,1%+EIOPA_RFR!L21,EIOPA_RFR!L21*(1%+VLOOKUP($B$27,Int_Rate_Param,2,FALSE))),IF(EIOPA_RFR!L21*(1%+VLOOKUP($B16,Int_Rate_Param,2,FALSE))&lt;1%+EIOPA_RFR!L21,1%+EIOPA_RFR!L21,EIOPA_RFR!L21*(1%+VLOOKUP($B16,Int_Rate_Param,2,FALSE))))</f>
        <v>1.5710000000000002E-2</v>
      </c>
      <c r="M16" s="94">
        <f>IF($B16&gt;20,IF(EIOPA_RFR!M21*(1%+VLOOKUP($B$27,Int_Rate_Param,2,FALSE))&lt;1%+EIOPA_RFR!M21,1%+EIOPA_RFR!M21,EIOPA_RFR!M21*(1%+VLOOKUP($B$27,Int_Rate_Param,2,FALSE))),IF(EIOPA_RFR!M21*(1%+VLOOKUP($B16,Int_Rate_Param,2,FALSE))&lt;1%+EIOPA_RFR!M21,1%+EIOPA_RFR!M21,EIOPA_RFR!M21*(1%+VLOOKUP($B16,Int_Rate_Param,2,FALSE))))</f>
        <v>1.5710000000000002E-2</v>
      </c>
      <c r="N16" s="94">
        <f>IF($B16&gt;20,IF(EIOPA_RFR!N21*(1%+VLOOKUP($B$27,Int_Rate_Param,2,FALSE))&lt;1%+EIOPA_RFR!N21,1%+EIOPA_RFR!N21,EIOPA_RFR!N21*(1%+VLOOKUP($B$27,Int_Rate_Param,2,FALSE))),IF(EIOPA_RFR!N21*(1%+VLOOKUP($B16,Int_Rate_Param,2,FALSE))&lt;1%+EIOPA_RFR!N21,1%+EIOPA_RFR!N21,EIOPA_RFR!N21*(1%+VLOOKUP($B16,Int_Rate_Param,2,FALSE))))</f>
        <v>1.5710000000000002E-2</v>
      </c>
      <c r="O16" s="94">
        <f>IF($B16&gt;20,IF(EIOPA_RFR!O21*(1%+VLOOKUP($B$27,Int_Rate_Param,2,FALSE))&lt;1%+EIOPA_RFR!O21,1%+EIOPA_RFR!O21,EIOPA_RFR!O21*(1%+VLOOKUP($B$27,Int_Rate_Param,2,FALSE))),IF(EIOPA_RFR!O21*(1%+VLOOKUP($B16,Int_Rate_Param,2,FALSE))&lt;1%+EIOPA_RFR!O21,1%+EIOPA_RFR!O21,EIOPA_RFR!O21*(1%+VLOOKUP($B16,Int_Rate_Param,2,FALSE))))</f>
        <v>1.5710000000000002E-2</v>
      </c>
      <c r="P16" s="94">
        <f>IF($B16&gt;20,IF(EIOPA_RFR!P21*(1%+VLOOKUP($B$27,Int_Rate_Param,2,FALSE))&lt;1%+EIOPA_RFR!P21,1%+EIOPA_RFR!P21,EIOPA_RFR!P21*(1%+VLOOKUP($B$27,Int_Rate_Param,2,FALSE))),IF(EIOPA_RFR!P21*(1%+VLOOKUP($B16,Int_Rate_Param,2,FALSE))&lt;1%+EIOPA_RFR!P21,1%+EIOPA_RFR!P21,EIOPA_RFR!P21*(1%+VLOOKUP($B16,Int_Rate_Param,2,FALSE))))</f>
        <v>4.0120000000000003E-2</v>
      </c>
      <c r="Q16" s="94">
        <f>IF($B16&gt;20,IF(EIOPA_RFR!Q21*(1%+VLOOKUP($B$27,Int_Rate_Param,2,FALSE))&lt;1%+EIOPA_RFR!Q21,1%+EIOPA_RFR!Q21,EIOPA_RFR!Q21*(1%+VLOOKUP($B$27,Int_Rate_Param,2,FALSE))),IF(EIOPA_RFR!Q21*(1%+VLOOKUP($B16,Int_Rate_Param,2,FALSE))&lt;1%+EIOPA_RFR!Q21,1%+EIOPA_RFR!Q21,EIOPA_RFR!Q21*(1%+VLOOKUP($B16,Int_Rate_Param,2,FALSE))))</f>
        <v>5.7640000000000004E-2</v>
      </c>
      <c r="R16" s="94">
        <f>IF($B16&gt;20,IF(EIOPA_RFR!R21*(1%+VLOOKUP($B$27,Int_Rate_Param,2,FALSE))&lt;1%+EIOPA_RFR!R21,1%+EIOPA_RFR!R21,EIOPA_RFR!R21*(1%+VLOOKUP($B$27,Int_Rate_Param,2,FALSE))),IF(EIOPA_RFR!R21*(1%+VLOOKUP($B16,Int_Rate_Param,2,FALSE))&lt;1%+EIOPA_RFR!R21,1%+EIOPA_RFR!R21,EIOPA_RFR!R21*(1%+VLOOKUP($B16,Int_Rate_Param,2,FALSE))))</f>
        <v>1.5710000000000002E-2</v>
      </c>
      <c r="S16" s="94">
        <f>IF($B16&gt;20,IF(EIOPA_RFR!S21*(1%+VLOOKUP($B$27,Int_Rate_Param,2,FALSE))&lt;1%+EIOPA_RFR!S21,1%+EIOPA_RFR!S21,EIOPA_RFR!S21*(1%+VLOOKUP($B$27,Int_Rate_Param,2,FALSE))),IF(EIOPA_RFR!S21*(1%+VLOOKUP($B16,Int_Rate_Param,2,FALSE))&lt;1%+EIOPA_RFR!S21,1%+EIOPA_RFR!S21,EIOPA_RFR!S21*(1%+VLOOKUP($B16,Int_Rate_Param,2,FALSE))))</f>
        <v>1.5710000000000002E-2</v>
      </c>
      <c r="T16" s="94">
        <f>IF($B16&gt;20,IF(EIOPA_RFR!T21*(1%+VLOOKUP($B$27,Int_Rate_Param,2,FALSE))&lt;1%+EIOPA_RFR!T21,1%+EIOPA_RFR!T21,EIOPA_RFR!T21*(1%+VLOOKUP($B$27,Int_Rate_Param,2,FALSE))),IF(EIOPA_RFR!T21*(1%+VLOOKUP($B16,Int_Rate_Param,2,FALSE))&lt;1%+EIOPA_RFR!T21,1%+EIOPA_RFR!T21,EIOPA_RFR!T21*(1%+VLOOKUP($B16,Int_Rate_Param,2,FALSE))))</f>
        <v>1.5710000000000002E-2</v>
      </c>
      <c r="U16" s="94">
        <f>IF($B16&gt;20,IF(EIOPA_RFR!U21*(1%+VLOOKUP($B$27,Int_Rate_Param,2,FALSE))&lt;1%+EIOPA_RFR!U21,1%+EIOPA_RFR!U21,EIOPA_RFR!U21*(1%+VLOOKUP($B$27,Int_Rate_Param,2,FALSE))),IF(EIOPA_RFR!U21*(1%+VLOOKUP($B16,Int_Rate_Param,2,FALSE))&lt;1%+EIOPA_RFR!U21,1%+EIOPA_RFR!U21,EIOPA_RFR!U21*(1%+VLOOKUP($B16,Int_Rate_Param,2,FALSE))))</f>
        <v>9.6699999999999998E-3</v>
      </c>
      <c r="V16" s="94">
        <f>IF($B16&gt;20,IF(EIOPA_RFR!V21*(1%+VLOOKUP($B$27,Int_Rate_Param,2,FALSE))&lt;1%+EIOPA_RFR!V21,1%+EIOPA_RFR!V21,EIOPA_RFR!V21*(1%+VLOOKUP($B$27,Int_Rate_Param,2,FALSE))),IF(EIOPA_RFR!V21*(1%+VLOOKUP($B16,Int_Rate_Param,2,FALSE))&lt;1%+EIOPA_RFR!V21,1%+EIOPA_RFR!V21,EIOPA_RFR!V21*(1%+VLOOKUP($B16,Int_Rate_Param,2,FALSE))))</f>
        <v>1.5710000000000002E-2</v>
      </c>
      <c r="W16" s="94">
        <f>IF($B16&gt;20,IF(EIOPA_RFR!W21*(1%+VLOOKUP($B$27,Int_Rate_Param,2,FALSE))&lt;1%+EIOPA_RFR!W21,1%+EIOPA_RFR!W21,EIOPA_RFR!W21*(1%+VLOOKUP($B$27,Int_Rate_Param,2,FALSE))),IF(EIOPA_RFR!W21*(1%+VLOOKUP($B16,Int_Rate_Param,2,FALSE))&lt;1%+EIOPA_RFR!W21,1%+EIOPA_RFR!W21,EIOPA_RFR!W21*(1%+VLOOKUP($B16,Int_Rate_Param,2,FALSE))))</f>
        <v>1.5710000000000002E-2</v>
      </c>
      <c r="X16" s="94">
        <f>IF($B16&gt;20,IF(EIOPA_RFR!X21*(1%+VLOOKUP($B$27,Int_Rate_Param,2,FALSE))&lt;1%+EIOPA_RFR!X21,1%+EIOPA_RFR!X21,EIOPA_RFR!X21*(1%+VLOOKUP($B$27,Int_Rate_Param,2,FALSE))),IF(EIOPA_RFR!X21*(1%+VLOOKUP($B16,Int_Rate_Param,2,FALSE))&lt;1%+EIOPA_RFR!X21,1%+EIOPA_RFR!X21,EIOPA_RFR!X21*(1%+VLOOKUP($B16,Int_Rate_Param,2,FALSE))))</f>
        <v>1.5710000000000002E-2</v>
      </c>
      <c r="Y16" s="94">
        <f>IF($B16&gt;20,IF(EIOPA_RFR!Y21*(1%+VLOOKUP($B$27,Int_Rate_Param,2,FALSE))&lt;1%+EIOPA_RFR!Y21,1%+EIOPA_RFR!Y21,EIOPA_RFR!Y21*(1%+VLOOKUP($B$27,Int_Rate_Param,2,FALSE))),IF(EIOPA_RFR!Y21*(1%+VLOOKUP($B16,Int_Rate_Param,2,FALSE))&lt;1%+EIOPA_RFR!Y21,1%+EIOPA_RFR!Y21,EIOPA_RFR!Y21*(1%+VLOOKUP($B16,Int_Rate_Param,2,FALSE))))</f>
        <v>1.5710000000000002E-2</v>
      </c>
      <c r="Z16" s="94">
        <f>IF($B16&gt;20,IF(EIOPA_RFR!Z21*(1%+VLOOKUP($B$27,Int_Rate_Param,2,FALSE))&lt;1%+EIOPA_RFR!Z21,1%+EIOPA_RFR!Z21,EIOPA_RFR!Z21*(1%+VLOOKUP($B$27,Int_Rate_Param,2,FALSE))),IF(EIOPA_RFR!Z21*(1%+VLOOKUP($B16,Int_Rate_Param,2,FALSE))&lt;1%+EIOPA_RFR!Z21,1%+EIOPA_RFR!Z21,EIOPA_RFR!Z21*(1%+VLOOKUP($B16,Int_Rate_Param,2,FALSE))))</f>
        <v>2.7770000000000003E-2</v>
      </c>
      <c r="AA16" s="94">
        <f>IF($B16&gt;20,IF(EIOPA_RFR!AA21*(1%+VLOOKUP($B$27,Int_Rate_Param,2,FALSE))&lt;1%+EIOPA_RFR!AA21,1%+EIOPA_RFR!AA21,EIOPA_RFR!AA21*(1%+VLOOKUP($B$27,Int_Rate_Param,2,FALSE))),IF(EIOPA_RFR!AA21*(1%+VLOOKUP($B16,Int_Rate_Param,2,FALSE))&lt;1%+EIOPA_RFR!AA21,1%+EIOPA_RFR!AA21,EIOPA_RFR!AA21*(1%+VLOOKUP($B16,Int_Rate_Param,2,FALSE))))</f>
        <v>4.2280000000000005E-2</v>
      </c>
      <c r="AB16" s="94">
        <f>IF($B16&gt;20,IF(EIOPA_RFR!AB21*(1%+VLOOKUP($B$27,Int_Rate_Param,2,FALSE))&lt;1%+EIOPA_RFR!AB21,1%+EIOPA_RFR!AB21,EIOPA_RFR!AB21*(1%+VLOOKUP($B$27,Int_Rate_Param,2,FALSE))),IF(EIOPA_RFR!AB21*(1%+VLOOKUP($B16,Int_Rate_Param,2,FALSE))&lt;1%+EIOPA_RFR!AB21,1%+EIOPA_RFR!AB21,EIOPA_RFR!AB21*(1%+VLOOKUP($B16,Int_Rate_Param,2,FALSE))))</f>
        <v>1.5710000000000002E-2</v>
      </c>
      <c r="AC16" s="94">
        <f>IF($B16&gt;20,IF(EIOPA_RFR!AC21*(1%+VLOOKUP($B$27,Int_Rate_Param,2,FALSE))&lt;1%+EIOPA_RFR!AC21,1%+EIOPA_RFR!AC21,EIOPA_RFR!AC21*(1%+VLOOKUP($B$27,Int_Rate_Param,2,FALSE))),IF(EIOPA_RFR!AC21*(1%+VLOOKUP($B16,Int_Rate_Param,2,FALSE))&lt;1%+EIOPA_RFR!AC21,1%+EIOPA_RFR!AC21,EIOPA_RFR!AC21*(1%+VLOOKUP($B16,Int_Rate_Param,2,FALSE))))</f>
        <v>4.7379999999999999E-2</v>
      </c>
      <c r="AD16" s="94">
        <f>IF($B16&gt;20,IF(EIOPA_RFR!AD21*(1%+VLOOKUP($B$27,Int_Rate_Param,2,FALSE))&lt;1%+EIOPA_RFR!AD21,1%+EIOPA_RFR!AD21,EIOPA_RFR!AD21*(1%+VLOOKUP($B$27,Int_Rate_Param,2,FALSE))),IF(EIOPA_RFR!AD21*(1%+VLOOKUP($B16,Int_Rate_Param,2,FALSE))&lt;1%+EIOPA_RFR!AD21,1%+EIOPA_RFR!AD21,EIOPA_RFR!AD21*(1%+VLOOKUP($B16,Int_Rate_Param,2,FALSE))))</f>
        <v>8.7389999999999995E-2</v>
      </c>
      <c r="AE16" s="94">
        <f>IF($B16&gt;20,IF(EIOPA_RFR!AE21*(1%+VLOOKUP($B$27,Int_Rate_Param,2,FALSE))&lt;1%+EIOPA_RFR!AE21,1%+EIOPA_RFR!AE21,EIOPA_RFR!AE21*(1%+VLOOKUP($B$27,Int_Rate_Param,2,FALSE))),IF(EIOPA_RFR!AE21*(1%+VLOOKUP($B16,Int_Rate_Param,2,FALSE))&lt;1%+EIOPA_RFR!AE21,1%+EIOPA_RFR!AE21,EIOPA_RFR!AE21*(1%+VLOOKUP($B16,Int_Rate_Param,2,FALSE))))</f>
        <v>1.5710000000000002E-2</v>
      </c>
      <c r="AF16" s="94">
        <f>IF($B16&gt;20,IF(EIOPA_RFR!AF21*(1%+VLOOKUP($B$27,Int_Rate_Param,2,FALSE))&lt;1%+EIOPA_RFR!AF21,1%+EIOPA_RFR!AF21,EIOPA_RFR!AF21*(1%+VLOOKUP($B$27,Int_Rate_Param,2,FALSE))),IF(EIOPA_RFR!AF21*(1%+VLOOKUP($B16,Int_Rate_Param,2,FALSE))&lt;1%+EIOPA_RFR!AF21,1%+EIOPA_RFR!AF21,EIOPA_RFR!AF21*(1%+VLOOKUP($B16,Int_Rate_Param,2,FALSE))))</f>
        <v>1.5710000000000002E-2</v>
      </c>
      <c r="AG16" s="94">
        <f>IF($B16&gt;20,IF(EIOPA_RFR!AG21*(1%+VLOOKUP($B$27,Int_Rate_Param,2,FALSE))&lt;1%+EIOPA_RFR!AG21,1%+EIOPA_RFR!AG21,EIOPA_RFR!AG21*(1%+VLOOKUP($B$27,Int_Rate_Param,2,FALSE))),IF(EIOPA_RFR!AG21*(1%+VLOOKUP($B16,Int_Rate_Param,2,FALSE))&lt;1%+EIOPA_RFR!AG21,1%+EIOPA_RFR!AG21,EIOPA_RFR!AG21*(1%+VLOOKUP($B16,Int_Rate_Param,2,FALSE))))</f>
        <v>1.5710000000000002E-2</v>
      </c>
      <c r="AH16" s="94">
        <f>IF($B16&gt;20,IF(EIOPA_RFR!AH21*(1%+VLOOKUP($B$27,Int_Rate_Param,2,FALSE))&lt;1%+EIOPA_RFR!AH21,1%+EIOPA_RFR!AH21,EIOPA_RFR!AH21*(1%+VLOOKUP($B$27,Int_Rate_Param,2,FALSE))),IF(EIOPA_RFR!AH21*(1%+VLOOKUP($B16,Int_Rate_Param,2,FALSE))&lt;1%+EIOPA_RFR!AH21,1%+EIOPA_RFR!AH21,EIOPA_RFR!AH21*(1%+VLOOKUP($B16,Int_Rate_Param,2,FALSE))))</f>
        <v>1.9140000000000001E-2</v>
      </c>
      <c r="AI16" s="94">
        <f>IF($B16&gt;20,IF(EIOPA_RFR!AI21*(1%+VLOOKUP($B$27,Int_Rate_Param,2,FALSE))&lt;1%+EIOPA_RFR!AI21,1%+EIOPA_RFR!AI21,EIOPA_RFR!AI21*(1%+VLOOKUP($B$27,Int_Rate_Param,2,FALSE))),IF(EIOPA_RFR!AI21*(1%+VLOOKUP($B16,Int_Rate_Param,2,FALSE))&lt;1%+EIOPA_RFR!AI21,1%+EIOPA_RFR!AI21,EIOPA_RFR!AI21*(1%+VLOOKUP($B16,Int_Rate_Param,2,FALSE))))</f>
        <v>9.6699999999999998E-3</v>
      </c>
      <c r="AJ16" s="94">
        <f>IF($B16&gt;20,IF(EIOPA_RFR!AJ21*(1%+VLOOKUP($B$27,Int_Rate_Param,2,FALSE))&lt;1%+EIOPA_RFR!AJ21,1%+EIOPA_RFR!AJ21,EIOPA_RFR!AJ21*(1%+VLOOKUP($B$27,Int_Rate_Param,2,FALSE))),IF(EIOPA_RFR!AJ21*(1%+VLOOKUP($B16,Int_Rate_Param,2,FALSE))&lt;1%+EIOPA_RFR!AJ21,1%+EIOPA_RFR!AJ21,EIOPA_RFR!AJ21*(1%+VLOOKUP($B16,Int_Rate_Param,2,FALSE))))</f>
        <v>1.975E-2</v>
      </c>
      <c r="AK16" s="94">
        <f>IF($B16&gt;20,IF(EIOPA_RFR!AK21*(1%+VLOOKUP($B$27,Int_Rate_Param,2,FALSE))&lt;1%+EIOPA_RFR!AK21,1%+EIOPA_RFR!AK21,EIOPA_RFR!AK21*(1%+VLOOKUP($B$27,Int_Rate_Param,2,FALSE))),IF(EIOPA_RFR!AK21*(1%+VLOOKUP($B16,Int_Rate_Param,2,FALSE))&lt;1%+EIOPA_RFR!AK21,1%+EIOPA_RFR!AK21,EIOPA_RFR!AK21*(1%+VLOOKUP($B16,Int_Rate_Param,2,FALSE))))</f>
        <v>3.7580000000000002E-2</v>
      </c>
      <c r="AL16" s="94">
        <f>IF($B16&gt;20,IF(EIOPA_RFR!AL21*(1%+VLOOKUP($B$27,Int_Rate_Param,2,FALSE))&lt;1%+EIOPA_RFR!AL21,1%+EIOPA_RFR!AL21,EIOPA_RFR!AL21*(1%+VLOOKUP($B$27,Int_Rate_Param,2,FALSE))),IF(EIOPA_RFR!AL21*(1%+VLOOKUP($B16,Int_Rate_Param,2,FALSE))&lt;1%+EIOPA_RFR!AL21,1%+EIOPA_RFR!AL21,EIOPA_RFR!AL21*(1%+VLOOKUP($B16,Int_Rate_Param,2,FALSE))))</f>
        <v>0.10363</v>
      </c>
      <c r="AM16" s="94">
        <f>IF($B16&gt;20,IF(EIOPA_RFR!AM21*(1%+VLOOKUP($B$27,Int_Rate_Param,2,FALSE))&lt;1%+EIOPA_RFR!AM21,1%+EIOPA_RFR!AM21,EIOPA_RFR!AM21*(1%+VLOOKUP($B$27,Int_Rate_Param,2,FALSE))),IF(EIOPA_RFR!AM21*(1%+VLOOKUP($B16,Int_Rate_Param,2,FALSE))&lt;1%+EIOPA_RFR!AM21,1%+EIOPA_RFR!AM21,EIOPA_RFR!AM21*(1%+VLOOKUP($B16,Int_Rate_Param,2,FALSE))))</f>
        <v>2.631E-2</v>
      </c>
      <c r="AN16" s="94">
        <f>IF($B16&gt;20,IF(EIOPA_RFR!AN21*(1%+VLOOKUP($B$27,Int_Rate_Param,2,FALSE))&lt;1%+EIOPA_RFR!AN21,1%+EIOPA_RFR!AN21,EIOPA_RFR!AN21*(1%+VLOOKUP($B$27,Int_Rate_Param,2,FALSE))),IF(EIOPA_RFR!AN21*(1%+VLOOKUP($B16,Int_Rate_Param,2,FALSE))&lt;1%+EIOPA_RFR!AN21,1%+EIOPA_RFR!AN21,EIOPA_RFR!AN21*(1%+VLOOKUP($B16,Int_Rate_Param,2,FALSE))))</f>
        <v>4.888E-2</v>
      </c>
      <c r="AO16" s="94">
        <f>IF($B16&gt;20,IF(EIOPA_RFR!AO21*(1%+VLOOKUP($B$27,Int_Rate_Param,2,FALSE))&lt;1%+EIOPA_RFR!AO21,1%+EIOPA_RFR!AO21,EIOPA_RFR!AO21*(1%+VLOOKUP($B$27,Int_Rate_Param,2,FALSE))),IF(EIOPA_RFR!AO21*(1%+VLOOKUP($B16,Int_Rate_Param,2,FALSE))&lt;1%+EIOPA_RFR!AO21,1%+EIOPA_RFR!AO21,EIOPA_RFR!AO21*(1%+VLOOKUP($B16,Int_Rate_Param,2,FALSE))))</f>
        <v>5.1529999999999999E-2</v>
      </c>
      <c r="AP16" s="94">
        <f>IF($B16&gt;20,IF(EIOPA_RFR!AP21*(1%+VLOOKUP($B$27,Int_Rate_Param,2,FALSE))&lt;1%+EIOPA_RFR!AP21,1%+EIOPA_RFR!AP21,EIOPA_RFR!AP21*(1%+VLOOKUP($B$27,Int_Rate_Param,2,FALSE))),IF(EIOPA_RFR!AP21*(1%+VLOOKUP($B16,Int_Rate_Param,2,FALSE))&lt;1%+EIOPA_RFR!AP21,1%+EIOPA_RFR!AP21,EIOPA_RFR!AP21*(1%+VLOOKUP($B16,Int_Rate_Param,2,FALSE))))</f>
        <v>7.1830000000000005E-2</v>
      </c>
      <c r="AQ16" s="94">
        <f>IF($B16&gt;20,IF(EIOPA_RFR!AQ21*(1%+VLOOKUP($B$27,Int_Rate_Param,2,FALSE))&lt;1%+EIOPA_RFR!AQ21,1%+EIOPA_RFR!AQ21,EIOPA_RFR!AQ21*(1%+VLOOKUP($B$27,Int_Rate_Param,2,FALSE))),IF(EIOPA_RFR!AQ21*(1%+VLOOKUP($B16,Int_Rate_Param,2,FALSE))&lt;1%+EIOPA_RFR!AQ21,1%+EIOPA_RFR!AQ21,EIOPA_RFR!AQ21*(1%+VLOOKUP($B16,Int_Rate_Param,2,FALSE))))</f>
        <v>3.1879999999999999E-2</v>
      </c>
      <c r="AR16" s="94">
        <f>IF($B16&gt;20,IF(EIOPA_RFR!AR21*(1%+VLOOKUP($B$27,Int_Rate_Param,2,FALSE))&lt;1%+EIOPA_RFR!AR21,1%+EIOPA_RFR!AR21,EIOPA_RFR!AR21*(1%+VLOOKUP($B$27,Int_Rate_Param,2,FALSE))),IF(EIOPA_RFR!AR21*(1%+VLOOKUP($B16,Int_Rate_Param,2,FALSE))&lt;1%+EIOPA_RFR!AR21,1%+EIOPA_RFR!AR21,EIOPA_RFR!AR21*(1%+VLOOKUP($B16,Int_Rate_Param,2,FALSE))))</f>
        <v>7.7239999999999989E-2</v>
      </c>
      <c r="AS16" s="94">
        <f>IF($B16&gt;20,IF(EIOPA_RFR!AS21*(1%+VLOOKUP($B$27,Int_Rate_Param,2,FALSE))&lt;1%+EIOPA_RFR!AS21,1%+EIOPA_RFR!AS21,EIOPA_RFR!AS21*(1%+VLOOKUP($B$27,Int_Rate_Param,2,FALSE))),IF(EIOPA_RFR!AS21*(1%+VLOOKUP($B16,Int_Rate_Param,2,FALSE))&lt;1%+EIOPA_RFR!AS21,1%+EIOPA_RFR!AS21,EIOPA_RFR!AS21*(1%+VLOOKUP($B16,Int_Rate_Param,2,FALSE))))</f>
        <v>1.129E-2</v>
      </c>
      <c r="AT16" s="94">
        <f>IF($B16&gt;20,IF(EIOPA_RFR!AT21*(1%+VLOOKUP($B$27,Int_Rate_Param,2,FALSE))&lt;1%+EIOPA_RFR!AT21,1%+EIOPA_RFR!AT21,EIOPA_RFR!AT21*(1%+VLOOKUP($B$27,Int_Rate_Param,2,FALSE))),IF(EIOPA_RFR!AT21*(1%+VLOOKUP($B16,Int_Rate_Param,2,FALSE))&lt;1%+EIOPA_RFR!AT21,1%+EIOPA_RFR!AT21,EIOPA_RFR!AT21*(1%+VLOOKUP($B16,Int_Rate_Param,2,FALSE))))</f>
        <v>4.9140000000000003E-2</v>
      </c>
      <c r="AU16" s="94">
        <f>IF($B16&gt;20,IF(EIOPA_RFR!AU21*(1%+VLOOKUP($B$27,Int_Rate_Param,2,FALSE))&lt;1%+EIOPA_RFR!AU21,1%+EIOPA_RFR!AU21,EIOPA_RFR!AU21*(1%+VLOOKUP($B$27,Int_Rate_Param,2,FALSE))),IF(EIOPA_RFR!AU21*(1%+VLOOKUP($B16,Int_Rate_Param,2,FALSE))&lt;1%+EIOPA_RFR!AU21,1%+EIOPA_RFR!AU21,EIOPA_RFR!AU21*(1%+VLOOKUP($B16,Int_Rate_Param,2,FALSE))))</f>
        <v>8.3239999999999995E-2</v>
      </c>
      <c r="AV16" s="94">
        <f>IF($B16&gt;20,IF(EIOPA_RFR!AV21*(1%+VLOOKUP($B$27,Int_Rate_Param,2,FALSE))&lt;1%+EIOPA_RFR!AV21,1%+EIOPA_RFR!AV21,EIOPA_RFR!AV21*(1%+VLOOKUP($B$27,Int_Rate_Param,2,FALSE))),IF(EIOPA_RFR!AV21*(1%+VLOOKUP($B16,Int_Rate_Param,2,FALSE))&lt;1%+EIOPA_RFR!AV21,1%+EIOPA_RFR!AV21,EIOPA_RFR!AV21*(1%+VLOOKUP($B16,Int_Rate_Param,2,FALSE))))</f>
        <v>4.2340000000000003E-2</v>
      </c>
      <c r="AW16" s="94">
        <f>IF($B16&gt;20,IF(EIOPA_RFR!AW21*(1%+VLOOKUP($B$27,Int_Rate_Param,2,FALSE))&lt;1%+EIOPA_RFR!AW21,1%+EIOPA_RFR!AW21,EIOPA_RFR!AW21*(1%+VLOOKUP($B$27,Int_Rate_Param,2,FALSE))),IF(EIOPA_RFR!AW21*(1%+VLOOKUP($B16,Int_Rate_Param,2,FALSE))&lt;1%+EIOPA_RFR!AW21,1%+EIOPA_RFR!AW21,EIOPA_RFR!AW21*(1%+VLOOKUP($B16,Int_Rate_Param,2,FALSE))))</f>
        <v>3.3329999999999999E-2</v>
      </c>
      <c r="AX16" s="94">
        <f>IF($B16&gt;20,IF(EIOPA_RFR!AX21*(1%+VLOOKUP($B$27,Int_Rate_Param,2,FALSE))&lt;1%+EIOPA_RFR!AX21,1%+EIOPA_RFR!AX21,EIOPA_RFR!AX21*(1%+VLOOKUP($B$27,Int_Rate_Param,2,FALSE))),IF(EIOPA_RFR!AX21*(1%+VLOOKUP($B16,Int_Rate_Param,2,FALSE))&lt;1%+EIOPA_RFR!AX21,1%+EIOPA_RFR!AX21,EIOPA_RFR!AX21*(1%+VLOOKUP($B16,Int_Rate_Param,2,FALSE))))</f>
        <v>9.0929999999999997E-2</v>
      </c>
      <c r="AY16" s="94">
        <f>IF($B16&gt;20,IF(EIOPA_RFR!AY21*(1%+VLOOKUP($B$27,Int_Rate_Param,2,FALSE))&lt;1%+EIOPA_RFR!AY21,1%+EIOPA_RFR!AY21,EIOPA_RFR!AY21*(1%+VLOOKUP($B$27,Int_Rate_Param,2,FALSE))),IF(EIOPA_RFR!AY21*(1%+VLOOKUP($B16,Int_Rate_Param,2,FALSE))&lt;1%+EIOPA_RFR!AY21,1%+EIOPA_RFR!AY21,EIOPA_RFR!AY21*(1%+VLOOKUP($B16,Int_Rate_Param,2,FALSE))))</f>
        <v>2.7650000000000001E-2</v>
      </c>
      <c r="AZ16" s="94">
        <f>IF($B16&gt;20,IF(EIOPA_RFR!AZ21*(1%+VLOOKUP($B$27,Int_Rate_Param,2,FALSE))&lt;1%+EIOPA_RFR!AZ21,1%+EIOPA_RFR!AZ21,EIOPA_RFR!AZ21*(1%+VLOOKUP($B$27,Int_Rate_Param,2,FALSE))),IF(EIOPA_RFR!AZ21*(1%+VLOOKUP($B16,Int_Rate_Param,2,FALSE))&lt;1%+EIOPA_RFR!AZ21,1%+EIOPA_RFR!AZ21,EIOPA_RFR!AZ21*(1%+VLOOKUP($B16,Int_Rate_Param,2,FALSE))))</f>
        <v>2.0410000000000001E-2</v>
      </c>
      <c r="BA16" s="94">
        <f>IF($B16&gt;20,IF(EIOPA_RFR!BA21*(1%+VLOOKUP($B$27,Int_Rate_Param,2,FALSE))&lt;1%+EIOPA_RFR!BA21,1%+EIOPA_RFR!BA21,EIOPA_RFR!BA21*(1%+VLOOKUP($B$27,Int_Rate_Param,2,FALSE))),IF(EIOPA_RFR!BA21*(1%+VLOOKUP($B16,Int_Rate_Param,2,FALSE))&lt;1%+EIOPA_RFR!BA21,1%+EIOPA_RFR!BA21,EIOPA_RFR!BA21*(1%+VLOOKUP($B16,Int_Rate_Param,2,FALSE))))</f>
        <v>3.492E-2</v>
      </c>
      <c r="BB16" s="94">
        <f>IF($B16&gt;20,IF(EIOPA_RFR!BB21*(1%+VLOOKUP($B$27,Int_Rate_Param,2,FALSE))&lt;1%+EIOPA_RFR!BB21,1%+EIOPA_RFR!BB21,EIOPA_RFR!BB21*(1%+VLOOKUP($B$27,Int_Rate_Param,2,FALSE))),IF(EIOPA_RFR!BB21*(1%+VLOOKUP($B16,Int_Rate_Param,2,FALSE))&lt;1%+EIOPA_RFR!BB21,1%+EIOPA_RFR!BB21,EIOPA_RFR!BB21*(1%+VLOOKUP($B16,Int_Rate_Param,2,FALSE))))</f>
        <v>0.11721999999999999</v>
      </c>
      <c r="BC16" s="94">
        <f>IF($B16&gt;20,IF(EIOPA_RFR!BC21*(1%+VLOOKUP($B$27,Int_Rate_Param,2,FALSE))&lt;1%+EIOPA_RFR!BC21,1%+EIOPA_RFR!BC21,EIOPA_RFR!BC21*(1%+VLOOKUP($B$27,Int_Rate_Param,2,FALSE))),IF(EIOPA_RFR!BC21*(1%+VLOOKUP($B16,Int_Rate_Param,2,FALSE))&lt;1%+EIOPA_RFR!BC21,1%+EIOPA_RFR!BC21,EIOPA_RFR!BC21*(1%+VLOOKUP($B16,Int_Rate_Param,2,FALSE))))</f>
        <v>3.211E-2</v>
      </c>
    </row>
    <row r="17" spans="1:55" x14ac:dyDescent="0.25">
      <c r="A17">
        <f t="shared" si="0"/>
        <v>12</v>
      </c>
      <c r="B17" s="95">
        <v>10</v>
      </c>
      <c r="C17" s="94">
        <f>IF($B17&gt;20,IF(EIOPA_RFR!C22*(1%+VLOOKUP($B$27,Int_Rate_Param,2,FALSE))&lt;1%+EIOPA_RFR!C22,1%+EIOPA_RFR!C22,EIOPA_RFR!C22*(1%+VLOOKUP($B$27,Int_Rate_Param,2,FALSE))),IF(EIOPA_RFR!C22*(1%+VLOOKUP($B17,Int_Rate_Param,2,FALSE))&lt;1%+EIOPA_RFR!C22,1%+EIOPA_RFR!C22,EIOPA_RFR!C22*(1%+VLOOKUP($B17,Int_Rate_Param,2,FALSE))))</f>
        <v>1.677E-2</v>
      </c>
      <c r="D17" s="94">
        <f>IF($B17&gt;20,IF(EIOPA_RFR!D22*(1%+VLOOKUP($B$27,Int_Rate_Param,2,FALSE))&lt;1%+EIOPA_RFR!D22,1%+EIOPA_RFR!D22,EIOPA_RFR!D22*(1%+VLOOKUP($B$27,Int_Rate_Param,2,FALSE))),IF(EIOPA_RFR!D22*(1%+VLOOKUP($B17,Int_Rate_Param,2,FALSE))&lt;1%+EIOPA_RFR!D22,1%+EIOPA_RFR!D22,EIOPA_RFR!D22*(1%+VLOOKUP($B17,Int_Rate_Param,2,FALSE))))</f>
        <v>1.677E-2</v>
      </c>
      <c r="E17" s="94">
        <f>IF($B17&gt;20,IF(EIOPA_RFR!E22*(1%+VLOOKUP($B$27,Int_Rate_Param,2,FALSE))&lt;1%+EIOPA_RFR!E22,1%+EIOPA_RFR!E22,EIOPA_RFR!E22*(1%+VLOOKUP($B$27,Int_Rate_Param,2,FALSE))),IF(EIOPA_RFR!E22*(1%+VLOOKUP($B17,Int_Rate_Param,2,FALSE))&lt;1%+EIOPA_RFR!E22,1%+EIOPA_RFR!E22,EIOPA_RFR!E22*(1%+VLOOKUP($B17,Int_Rate_Param,2,FALSE))))</f>
        <v>1.677E-2</v>
      </c>
      <c r="F17" s="94">
        <f>IF($B17&gt;20,IF(EIOPA_RFR!F22*(1%+VLOOKUP($B$27,Int_Rate_Param,2,FALSE))&lt;1%+EIOPA_RFR!F22,1%+EIOPA_RFR!F22,EIOPA_RFR!F22*(1%+VLOOKUP($B$27,Int_Rate_Param,2,FALSE))),IF(EIOPA_RFR!F22*(1%+VLOOKUP($B17,Int_Rate_Param,2,FALSE))&lt;1%+EIOPA_RFR!F22,1%+EIOPA_RFR!F22,EIOPA_RFR!F22*(1%+VLOOKUP($B17,Int_Rate_Param,2,FALSE))))</f>
        <v>1.626E-2</v>
      </c>
      <c r="G17" s="94">
        <f>IF($B17&gt;20,IF(EIOPA_RFR!G22*(1%+VLOOKUP($B$27,Int_Rate_Param,2,FALSE))&lt;1%+EIOPA_RFR!G22,1%+EIOPA_RFR!G22,EIOPA_RFR!G22*(1%+VLOOKUP($B$27,Int_Rate_Param,2,FALSE))),IF(EIOPA_RFR!G22*(1%+VLOOKUP($B17,Int_Rate_Param,2,FALSE))&lt;1%+EIOPA_RFR!G22,1%+EIOPA_RFR!G22,EIOPA_RFR!G22*(1%+VLOOKUP($B17,Int_Rate_Param,2,FALSE))))</f>
        <v>3.9039999999999998E-2</v>
      </c>
      <c r="H17" s="94">
        <f>IF($B17&gt;20,IF(EIOPA_RFR!H22*(1%+VLOOKUP($B$27,Int_Rate_Param,2,FALSE))&lt;1%+EIOPA_RFR!H22,1%+EIOPA_RFR!H22,EIOPA_RFR!H22*(1%+VLOOKUP($B$27,Int_Rate_Param,2,FALSE))),IF(EIOPA_RFR!H22*(1%+VLOOKUP($B17,Int_Rate_Param,2,FALSE))&lt;1%+EIOPA_RFR!H22,1%+EIOPA_RFR!H22,EIOPA_RFR!H22*(1%+VLOOKUP($B17,Int_Rate_Param,2,FALSE))))</f>
        <v>1.677E-2</v>
      </c>
      <c r="I17" s="94">
        <f>IF($B17&gt;20,IF(EIOPA_RFR!I22*(1%+VLOOKUP($B$27,Int_Rate_Param,2,FALSE))&lt;1%+EIOPA_RFR!I22,1%+EIOPA_RFR!I22,EIOPA_RFR!I22*(1%+VLOOKUP($B$27,Int_Rate_Param,2,FALSE))),IF(EIOPA_RFR!I22*(1%+VLOOKUP($B17,Int_Rate_Param,2,FALSE))&lt;1%+EIOPA_RFR!I22,1%+EIOPA_RFR!I22,EIOPA_RFR!I22*(1%+VLOOKUP($B17,Int_Rate_Param,2,FALSE))))</f>
        <v>1.9720000000000001E-2</v>
      </c>
      <c r="J17" s="94">
        <f>IF($B17&gt;20,IF(EIOPA_RFR!J22*(1%+VLOOKUP($B$27,Int_Rate_Param,2,FALSE))&lt;1%+EIOPA_RFR!J22,1%+EIOPA_RFR!J22,EIOPA_RFR!J22*(1%+VLOOKUP($B$27,Int_Rate_Param,2,FALSE))),IF(EIOPA_RFR!J22*(1%+VLOOKUP($B17,Int_Rate_Param,2,FALSE))&lt;1%+EIOPA_RFR!J22,1%+EIOPA_RFR!J22,EIOPA_RFR!J22*(1%+VLOOKUP($B17,Int_Rate_Param,2,FALSE))))</f>
        <v>1.6670000000000001E-2</v>
      </c>
      <c r="K17" s="94">
        <f>IF($B17&gt;20,IF(EIOPA_RFR!K22*(1%+VLOOKUP($B$27,Int_Rate_Param,2,FALSE))&lt;1%+EIOPA_RFR!K22,1%+EIOPA_RFR!K22,EIOPA_RFR!K22*(1%+VLOOKUP($B$27,Int_Rate_Param,2,FALSE))),IF(EIOPA_RFR!K22*(1%+VLOOKUP($B17,Int_Rate_Param,2,FALSE))&lt;1%+EIOPA_RFR!K22,1%+EIOPA_RFR!K22,EIOPA_RFR!K22*(1%+VLOOKUP($B17,Int_Rate_Param,2,FALSE))))</f>
        <v>1.677E-2</v>
      </c>
      <c r="L17" s="94">
        <f>IF($B17&gt;20,IF(EIOPA_RFR!L22*(1%+VLOOKUP($B$27,Int_Rate_Param,2,FALSE))&lt;1%+EIOPA_RFR!L22,1%+EIOPA_RFR!L22,EIOPA_RFR!L22*(1%+VLOOKUP($B$27,Int_Rate_Param,2,FALSE))),IF(EIOPA_RFR!L22*(1%+VLOOKUP($B17,Int_Rate_Param,2,FALSE))&lt;1%+EIOPA_RFR!L22,1%+EIOPA_RFR!L22,EIOPA_RFR!L22*(1%+VLOOKUP($B17,Int_Rate_Param,2,FALSE))))</f>
        <v>1.677E-2</v>
      </c>
      <c r="M17" s="94">
        <f>IF($B17&gt;20,IF(EIOPA_RFR!M22*(1%+VLOOKUP($B$27,Int_Rate_Param,2,FALSE))&lt;1%+EIOPA_RFR!M22,1%+EIOPA_RFR!M22,EIOPA_RFR!M22*(1%+VLOOKUP($B$27,Int_Rate_Param,2,FALSE))),IF(EIOPA_RFR!M22*(1%+VLOOKUP($B17,Int_Rate_Param,2,FALSE))&lt;1%+EIOPA_RFR!M22,1%+EIOPA_RFR!M22,EIOPA_RFR!M22*(1%+VLOOKUP($B17,Int_Rate_Param,2,FALSE))))</f>
        <v>1.677E-2</v>
      </c>
      <c r="N17" s="94">
        <f>IF($B17&gt;20,IF(EIOPA_RFR!N22*(1%+VLOOKUP($B$27,Int_Rate_Param,2,FALSE))&lt;1%+EIOPA_RFR!N22,1%+EIOPA_RFR!N22,EIOPA_RFR!N22*(1%+VLOOKUP($B$27,Int_Rate_Param,2,FALSE))),IF(EIOPA_RFR!N22*(1%+VLOOKUP($B17,Int_Rate_Param,2,FALSE))&lt;1%+EIOPA_RFR!N22,1%+EIOPA_RFR!N22,EIOPA_RFR!N22*(1%+VLOOKUP($B17,Int_Rate_Param,2,FALSE))))</f>
        <v>1.677E-2</v>
      </c>
      <c r="O17" s="94">
        <f>IF($B17&gt;20,IF(EIOPA_RFR!O22*(1%+VLOOKUP($B$27,Int_Rate_Param,2,FALSE))&lt;1%+EIOPA_RFR!O22,1%+EIOPA_RFR!O22,EIOPA_RFR!O22*(1%+VLOOKUP($B$27,Int_Rate_Param,2,FALSE))),IF(EIOPA_RFR!O22*(1%+VLOOKUP($B17,Int_Rate_Param,2,FALSE))&lt;1%+EIOPA_RFR!O22,1%+EIOPA_RFR!O22,EIOPA_RFR!O22*(1%+VLOOKUP($B17,Int_Rate_Param,2,FALSE))))</f>
        <v>1.677E-2</v>
      </c>
      <c r="P17" s="94">
        <f>IF($B17&gt;20,IF(EIOPA_RFR!P22*(1%+VLOOKUP($B$27,Int_Rate_Param,2,FALSE))&lt;1%+EIOPA_RFR!P22,1%+EIOPA_RFR!P22,EIOPA_RFR!P22*(1%+VLOOKUP($B$27,Int_Rate_Param,2,FALSE))),IF(EIOPA_RFR!P22*(1%+VLOOKUP($B17,Int_Rate_Param,2,FALSE))&lt;1%+EIOPA_RFR!P22,1%+EIOPA_RFR!P22,EIOPA_RFR!P22*(1%+VLOOKUP($B17,Int_Rate_Param,2,FALSE))))</f>
        <v>4.1700000000000001E-2</v>
      </c>
      <c r="Q17" s="94">
        <f>IF($B17&gt;20,IF(EIOPA_RFR!Q22*(1%+VLOOKUP($B$27,Int_Rate_Param,2,FALSE))&lt;1%+EIOPA_RFR!Q22,1%+EIOPA_RFR!Q22,EIOPA_RFR!Q22*(1%+VLOOKUP($B$27,Int_Rate_Param,2,FALSE))),IF(EIOPA_RFR!Q22*(1%+VLOOKUP($B17,Int_Rate_Param,2,FALSE))&lt;1%+EIOPA_RFR!Q22,1%+EIOPA_RFR!Q22,EIOPA_RFR!Q22*(1%+VLOOKUP($B17,Int_Rate_Param,2,FALSE))))</f>
        <v>5.7550000000000004E-2</v>
      </c>
      <c r="R17" s="94">
        <f>IF($B17&gt;20,IF(EIOPA_RFR!R22*(1%+VLOOKUP($B$27,Int_Rate_Param,2,FALSE))&lt;1%+EIOPA_RFR!R22,1%+EIOPA_RFR!R22,EIOPA_RFR!R22*(1%+VLOOKUP($B$27,Int_Rate_Param,2,FALSE))),IF(EIOPA_RFR!R22*(1%+VLOOKUP($B17,Int_Rate_Param,2,FALSE))&lt;1%+EIOPA_RFR!R22,1%+EIOPA_RFR!R22,EIOPA_RFR!R22*(1%+VLOOKUP($B17,Int_Rate_Param,2,FALSE))))</f>
        <v>1.677E-2</v>
      </c>
      <c r="S17" s="94">
        <f>IF($B17&gt;20,IF(EIOPA_RFR!S22*(1%+VLOOKUP($B$27,Int_Rate_Param,2,FALSE))&lt;1%+EIOPA_RFR!S22,1%+EIOPA_RFR!S22,EIOPA_RFR!S22*(1%+VLOOKUP($B$27,Int_Rate_Param,2,FALSE))),IF(EIOPA_RFR!S22*(1%+VLOOKUP($B17,Int_Rate_Param,2,FALSE))&lt;1%+EIOPA_RFR!S22,1%+EIOPA_RFR!S22,EIOPA_RFR!S22*(1%+VLOOKUP($B17,Int_Rate_Param,2,FALSE))))</f>
        <v>1.677E-2</v>
      </c>
      <c r="T17" s="94">
        <f>IF($B17&gt;20,IF(EIOPA_RFR!T22*(1%+VLOOKUP($B$27,Int_Rate_Param,2,FALSE))&lt;1%+EIOPA_RFR!T22,1%+EIOPA_RFR!T22,EIOPA_RFR!T22*(1%+VLOOKUP($B$27,Int_Rate_Param,2,FALSE))),IF(EIOPA_RFR!T22*(1%+VLOOKUP($B17,Int_Rate_Param,2,FALSE))&lt;1%+EIOPA_RFR!T22,1%+EIOPA_RFR!T22,EIOPA_RFR!T22*(1%+VLOOKUP($B17,Int_Rate_Param,2,FALSE))))</f>
        <v>1.677E-2</v>
      </c>
      <c r="U17" s="94">
        <f>IF($B17&gt;20,IF(EIOPA_RFR!U22*(1%+VLOOKUP($B$27,Int_Rate_Param,2,FALSE))&lt;1%+EIOPA_RFR!U22,1%+EIOPA_RFR!U22,EIOPA_RFR!U22*(1%+VLOOKUP($B$27,Int_Rate_Param,2,FALSE))),IF(EIOPA_RFR!U22*(1%+VLOOKUP($B17,Int_Rate_Param,2,FALSE))&lt;1%+EIOPA_RFR!U22,1%+EIOPA_RFR!U22,EIOPA_RFR!U22*(1%+VLOOKUP($B17,Int_Rate_Param,2,FALSE))))</f>
        <v>1.031E-2</v>
      </c>
      <c r="V17" s="94">
        <f>IF($B17&gt;20,IF(EIOPA_RFR!V22*(1%+VLOOKUP($B$27,Int_Rate_Param,2,FALSE))&lt;1%+EIOPA_RFR!V22,1%+EIOPA_RFR!V22,EIOPA_RFR!V22*(1%+VLOOKUP($B$27,Int_Rate_Param,2,FALSE))),IF(EIOPA_RFR!V22*(1%+VLOOKUP($B17,Int_Rate_Param,2,FALSE))&lt;1%+EIOPA_RFR!V22,1%+EIOPA_RFR!V22,EIOPA_RFR!V22*(1%+VLOOKUP($B17,Int_Rate_Param,2,FALSE))))</f>
        <v>1.677E-2</v>
      </c>
      <c r="W17" s="94">
        <f>IF($B17&gt;20,IF(EIOPA_RFR!W22*(1%+VLOOKUP($B$27,Int_Rate_Param,2,FALSE))&lt;1%+EIOPA_RFR!W22,1%+EIOPA_RFR!W22,EIOPA_RFR!W22*(1%+VLOOKUP($B$27,Int_Rate_Param,2,FALSE))),IF(EIOPA_RFR!W22*(1%+VLOOKUP($B17,Int_Rate_Param,2,FALSE))&lt;1%+EIOPA_RFR!W22,1%+EIOPA_RFR!W22,EIOPA_RFR!W22*(1%+VLOOKUP($B17,Int_Rate_Param,2,FALSE))))</f>
        <v>1.677E-2</v>
      </c>
      <c r="X17" s="94">
        <f>IF($B17&gt;20,IF(EIOPA_RFR!X22*(1%+VLOOKUP($B$27,Int_Rate_Param,2,FALSE))&lt;1%+EIOPA_RFR!X22,1%+EIOPA_RFR!X22,EIOPA_RFR!X22*(1%+VLOOKUP($B$27,Int_Rate_Param,2,FALSE))),IF(EIOPA_RFR!X22*(1%+VLOOKUP($B17,Int_Rate_Param,2,FALSE))&lt;1%+EIOPA_RFR!X22,1%+EIOPA_RFR!X22,EIOPA_RFR!X22*(1%+VLOOKUP($B17,Int_Rate_Param,2,FALSE))))</f>
        <v>1.677E-2</v>
      </c>
      <c r="Y17" s="94">
        <f>IF($B17&gt;20,IF(EIOPA_RFR!Y22*(1%+VLOOKUP($B$27,Int_Rate_Param,2,FALSE))&lt;1%+EIOPA_RFR!Y22,1%+EIOPA_RFR!Y22,EIOPA_RFR!Y22*(1%+VLOOKUP($B$27,Int_Rate_Param,2,FALSE))),IF(EIOPA_RFR!Y22*(1%+VLOOKUP($B17,Int_Rate_Param,2,FALSE))&lt;1%+EIOPA_RFR!Y22,1%+EIOPA_RFR!Y22,EIOPA_RFR!Y22*(1%+VLOOKUP($B17,Int_Rate_Param,2,FALSE))))</f>
        <v>1.677E-2</v>
      </c>
      <c r="Z17" s="94">
        <f>IF($B17&gt;20,IF(EIOPA_RFR!Z22*(1%+VLOOKUP($B$27,Int_Rate_Param,2,FALSE))&lt;1%+EIOPA_RFR!Z22,1%+EIOPA_RFR!Z22,EIOPA_RFR!Z22*(1%+VLOOKUP($B$27,Int_Rate_Param,2,FALSE))),IF(EIOPA_RFR!Z22*(1%+VLOOKUP($B17,Int_Rate_Param,2,FALSE))&lt;1%+EIOPA_RFR!Z22,1%+EIOPA_RFR!Z22,EIOPA_RFR!Z22*(1%+VLOOKUP($B17,Int_Rate_Param,2,FALSE))))</f>
        <v>2.8409999999999998E-2</v>
      </c>
      <c r="AA17" s="94">
        <f>IF($B17&gt;20,IF(EIOPA_RFR!AA22*(1%+VLOOKUP($B$27,Int_Rate_Param,2,FALSE))&lt;1%+EIOPA_RFR!AA22,1%+EIOPA_RFR!AA22,EIOPA_RFR!AA22*(1%+VLOOKUP($B$27,Int_Rate_Param,2,FALSE))),IF(EIOPA_RFR!AA22*(1%+VLOOKUP($B17,Int_Rate_Param,2,FALSE))&lt;1%+EIOPA_RFR!AA22,1%+EIOPA_RFR!AA22,EIOPA_RFR!AA22*(1%+VLOOKUP($B17,Int_Rate_Param,2,FALSE))))</f>
        <v>4.3430000000000003E-2</v>
      </c>
      <c r="AB17" s="94">
        <f>IF($B17&gt;20,IF(EIOPA_RFR!AB22*(1%+VLOOKUP($B$27,Int_Rate_Param,2,FALSE))&lt;1%+EIOPA_RFR!AB22,1%+EIOPA_RFR!AB22,EIOPA_RFR!AB22*(1%+VLOOKUP($B$27,Int_Rate_Param,2,FALSE))),IF(EIOPA_RFR!AB22*(1%+VLOOKUP($B17,Int_Rate_Param,2,FALSE))&lt;1%+EIOPA_RFR!AB22,1%+EIOPA_RFR!AB22,EIOPA_RFR!AB22*(1%+VLOOKUP($B17,Int_Rate_Param,2,FALSE))))</f>
        <v>1.677E-2</v>
      </c>
      <c r="AC17" s="94">
        <f>IF($B17&gt;20,IF(EIOPA_RFR!AC22*(1%+VLOOKUP($B$27,Int_Rate_Param,2,FALSE))&lt;1%+EIOPA_RFR!AC22,1%+EIOPA_RFR!AC22,EIOPA_RFR!AC22*(1%+VLOOKUP($B$27,Int_Rate_Param,2,FALSE))),IF(EIOPA_RFR!AC22*(1%+VLOOKUP($B17,Int_Rate_Param,2,FALSE))&lt;1%+EIOPA_RFR!AC22,1%+EIOPA_RFR!AC22,EIOPA_RFR!AC22*(1%+VLOOKUP($B17,Int_Rate_Param,2,FALSE))))</f>
        <v>4.8770000000000001E-2</v>
      </c>
      <c r="AD17" s="94">
        <f>IF($B17&gt;20,IF(EIOPA_RFR!AD22*(1%+VLOOKUP($B$27,Int_Rate_Param,2,FALSE))&lt;1%+EIOPA_RFR!AD22,1%+EIOPA_RFR!AD22,EIOPA_RFR!AD22*(1%+VLOOKUP($B$27,Int_Rate_Param,2,FALSE))),IF(EIOPA_RFR!AD22*(1%+VLOOKUP($B17,Int_Rate_Param,2,FALSE))&lt;1%+EIOPA_RFR!AD22,1%+EIOPA_RFR!AD22,EIOPA_RFR!AD22*(1%+VLOOKUP($B17,Int_Rate_Param,2,FALSE))))</f>
        <v>8.6539999999999992E-2</v>
      </c>
      <c r="AE17" s="94">
        <f>IF($B17&gt;20,IF(EIOPA_RFR!AE22*(1%+VLOOKUP($B$27,Int_Rate_Param,2,FALSE))&lt;1%+EIOPA_RFR!AE22,1%+EIOPA_RFR!AE22,EIOPA_RFR!AE22*(1%+VLOOKUP($B$27,Int_Rate_Param,2,FALSE))),IF(EIOPA_RFR!AE22*(1%+VLOOKUP($B17,Int_Rate_Param,2,FALSE))&lt;1%+EIOPA_RFR!AE22,1%+EIOPA_RFR!AE22,EIOPA_RFR!AE22*(1%+VLOOKUP($B17,Int_Rate_Param,2,FALSE))))</f>
        <v>1.677E-2</v>
      </c>
      <c r="AF17" s="94">
        <f>IF($B17&gt;20,IF(EIOPA_RFR!AF22*(1%+VLOOKUP($B$27,Int_Rate_Param,2,FALSE))&lt;1%+EIOPA_RFR!AF22,1%+EIOPA_RFR!AF22,EIOPA_RFR!AF22*(1%+VLOOKUP($B$27,Int_Rate_Param,2,FALSE))),IF(EIOPA_RFR!AF22*(1%+VLOOKUP($B17,Int_Rate_Param,2,FALSE))&lt;1%+EIOPA_RFR!AF22,1%+EIOPA_RFR!AF22,EIOPA_RFR!AF22*(1%+VLOOKUP($B17,Int_Rate_Param,2,FALSE))))</f>
        <v>1.677E-2</v>
      </c>
      <c r="AG17" s="94">
        <f>IF($B17&gt;20,IF(EIOPA_RFR!AG22*(1%+VLOOKUP($B$27,Int_Rate_Param,2,FALSE))&lt;1%+EIOPA_RFR!AG22,1%+EIOPA_RFR!AG22,EIOPA_RFR!AG22*(1%+VLOOKUP($B$27,Int_Rate_Param,2,FALSE))),IF(EIOPA_RFR!AG22*(1%+VLOOKUP($B17,Int_Rate_Param,2,FALSE))&lt;1%+EIOPA_RFR!AG22,1%+EIOPA_RFR!AG22,EIOPA_RFR!AG22*(1%+VLOOKUP($B17,Int_Rate_Param,2,FALSE))))</f>
        <v>1.677E-2</v>
      </c>
      <c r="AH17" s="94">
        <f>IF($B17&gt;20,IF(EIOPA_RFR!AH22*(1%+VLOOKUP($B$27,Int_Rate_Param,2,FALSE))&lt;1%+EIOPA_RFR!AH22,1%+EIOPA_RFR!AH22,EIOPA_RFR!AH22*(1%+VLOOKUP($B$27,Int_Rate_Param,2,FALSE))),IF(EIOPA_RFR!AH22*(1%+VLOOKUP($B17,Int_Rate_Param,2,FALSE))&lt;1%+EIOPA_RFR!AH22,1%+EIOPA_RFR!AH22,EIOPA_RFR!AH22*(1%+VLOOKUP($B17,Int_Rate_Param,2,FALSE))))</f>
        <v>2.0319999999999998E-2</v>
      </c>
      <c r="AI17" s="94">
        <f>IF($B17&gt;20,IF(EIOPA_RFR!AI22*(1%+VLOOKUP($B$27,Int_Rate_Param,2,FALSE))&lt;1%+EIOPA_RFR!AI22,1%+EIOPA_RFR!AI22,EIOPA_RFR!AI22*(1%+VLOOKUP($B$27,Int_Rate_Param,2,FALSE))),IF(EIOPA_RFR!AI22*(1%+VLOOKUP($B17,Int_Rate_Param,2,FALSE))&lt;1%+EIOPA_RFR!AI22,1%+EIOPA_RFR!AI22,EIOPA_RFR!AI22*(1%+VLOOKUP($B17,Int_Rate_Param,2,FALSE))))</f>
        <v>1.031E-2</v>
      </c>
      <c r="AJ17" s="94">
        <f>IF($B17&gt;20,IF(EIOPA_RFR!AJ22*(1%+VLOOKUP($B$27,Int_Rate_Param,2,FALSE))&lt;1%+EIOPA_RFR!AJ22,1%+EIOPA_RFR!AJ22,EIOPA_RFR!AJ22*(1%+VLOOKUP($B$27,Int_Rate_Param,2,FALSE))),IF(EIOPA_RFR!AJ22*(1%+VLOOKUP($B17,Int_Rate_Param,2,FALSE))&lt;1%+EIOPA_RFR!AJ22,1%+EIOPA_RFR!AJ22,EIOPA_RFR!AJ22*(1%+VLOOKUP($B17,Int_Rate_Param,2,FALSE))))</f>
        <v>2.0380000000000002E-2</v>
      </c>
      <c r="AK17" s="94">
        <f>IF($B17&gt;20,IF(EIOPA_RFR!AK22*(1%+VLOOKUP($B$27,Int_Rate_Param,2,FALSE))&lt;1%+EIOPA_RFR!AK22,1%+EIOPA_RFR!AK22,EIOPA_RFR!AK22*(1%+VLOOKUP($B$27,Int_Rate_Param,2,FALSE))),IF(EIOPA_RFR!AK22*(1%+VLOOKUP($B17,Int_Rate_Param,2,FALSE))&lt;1%+EIOPA_RFR!AK22,1%+EIOPA_RFR!AK22,EIOPA_RFR!AK22*(1%+VLOOKUP($B17,Int_Rate_Param,2,FALSE))))</f>
        <v>3.8330000000000003E-2</v>
      </c>
      <c r="AL17" s="94">
        <f>IF($B17&gt;20,IF(EIOPA_RFR!AL22*(1%+VLOOKUP($B$27,Int_Rate_Param,2,FALSE))&lt;1%+EIOPA_RFR!AL22,1%+EIOPA_RFR!AL22,EIOPA_RFR!AL22*(1%+VLOOKUP($B$27,Int_Rate_Param,2,FALSE))),IF(EIOPA_RFR!AL22*(1%+VLOOKUP($B17,Int_Rate_Param,2,FALSE))&lt;1%+EIOPA_RFR!AL22,1%+EIOPA_RFR!AL22,EIOPA_RFR!AL22*(1%+VLOOKUP($B17,Int_Rate_Param,2,FALSE))))</f>
        <v>0.10371999999999999</v>
      </c>
      <c r="AM17" s="94">
        <f>IF($B17&gt;20,IF(EIOPA_RFR!AM22*(1%+VLOOKUP($B$27,Int_Rate_Param,2,FALSE))&lt;1%+EIOPA_RFR!AM22,1%+EIOPA_RFR!AM22,EIOPA_RFR!AM22*(1%+VLOOKUP($B$27,Int_Rate_Param,2,FALSE))),IF(EIOPA_RFR!AM22*(1%+VLOOKUP($B17,Int_Rate_Param,2,FALSE))&lt;1%+EIOPA_RFR!AM22,1%+EIOPA_RFR!AM22,EIOPA_RFR!AM22*(1%+VLOOKUP($B17,Int_Rate_Param,2,FALSE))))</f>
        <v>2.7290000000000002E-2</v>
      </c>
      <c r="AN17" s="94">
        <f>IF($B17&gt;20,IF(EIOPA_RFR!AN22*(1%+VLOOKUP($B$27,Int_Rate_Param,2,FALSE))&lt;1%+EIOPA_RFR!AN22,1%+EIOPA_RFR!AN22,EIOPA_RFR!AN22*(1%+VLOOKUP($B$27,Int_Rate_Param,2,FALSE))),IF(EIOPA_RFR!AN22*(1%+VLOOKUP($B17,Int_Rate_Param,2,FALSE))&lt;1%+EIOPA_RFR!AN22,1%+EIOPA_RFR!AN22,EIOPA_RFR!AN22*(1%+VLOOKUP($B17,Int_Rate_Param,2,FALSE))))</f>
        <v>4.9579999999999999E-2</v>
      </c>
      <c r="AO17" s="94">
        <f>IF($B17&gt;20,IF(EIOPA_RFR!AO22*(1%+VLOOKUP($B$27,Int_Rate_Param,2,FALSE))&lt;1%+EIOPA_RFR!AO22,1%+EIOPA_RFR!AO22,EIOPA_RFR!AO22*(1%+VLOOKUP($B$27,Int_Rate_Param,2,FALSE))),IF(EIOPA_RFR!AO22*(1%+VLOOKUP($B17,Int_Rate_Param,2,FALSE))&lt;1%+EIOPA_RFR!AO22,1%+EIOPA_RFR!AO22,EIOPA_RFR!AO22*(1%+VLOOKUP($B17,Int_Rate_Param,2,FALSE))))</f>
        <v>5.2220000000000003E-2</v>
      </c>
      <c r="AP17" s="94">
        <f>IF($B17&gt;20,IF(EIOPA_RFR!AP22*(1%+VLOOKUP($B$27,Int_Rate_Param,2,FALSE))&lt;1%+EIOPA_RFR!AP22,1%+EIOPA_RFR!AP22,EIOPA_RFR!AP22*(1%+VLOOKUP($B$27,Int_Rate_Param,2,FALSE))),IF(EIOPA_RFR!AP22*(1%+VLOOKUP($B17,Int_Rate_Param,2,FALSE))&lt;1%+EIOPA_RFR!AP22,1%+EIOPA_RFR!AP22,EIOPA_RFR!AP22*(1%+VLOOKUP($B17,Int_Rate_Param,2,FALSE))))</f>
        <v>7.2569999999999996E-2</v>
      </c>
      <c r="AQ17" s="94">
        <f>IF($B17&gt;20,IF(EIOPA_RFR!AQ22*(1%+VLOOKUP($B$27,Int_Rate_Param,2,FALSE))&lt;1%+EIOPA_RFR!AQ22,1%+EIOPA_RFR!AQ22,EIOPA_RFR!AQ22*(1%+VLOOKUP($B$27,Int_Rate_Param,2,FALSE))),IF(EIOPA_RFR!AQ22*(1%+VLOOKUP($B17,Int_Rate_Param,2,FALSE))&lt;1%+EIOPA_RFR!AQ22,1%+EIOPA_RFR!AQ22,EIOPA_RFR!AQ22*(1%+VLOOKUP($B17,Int_Rate_Param,2,FALSE))))</f>
        <v>3.2370000000000003E-2</v>
      </c>
      <c r="AR17" s="94">
        <f>IF($B17&gt;20,IF(EIOPA_RFR!AR22*(1%+VLOOKUP($B$27,Int_Rate_Param,2,FALSE))&lt;1%+EIOPA_RFR!AR22,1%+EIOPA_RFR!AR22,EIOPA_RFR!AR22*(1%+VLOOKUP($B$27,Int_Rate_Param,2,FALSE))),IF(EIOPA_RFR!AR22*(1%+VLOOKUP($B17,Int_Rate_Param,2,FALSE))&lt;1%+EIOPA_RFR!AR22,1%+EIOPA_RFR!AR22,EIOPA_RFR!AR22*(1%+VLOOKUP($B17,Int_Rate_Param,2,FALSE))))</f>
        <v>7.7969999999999998E-2</v>
      </c>
      <c r="AS17" s="94">
        <f>IF($B17&gt;20,IF(EIOPA_RFR!AS22*(1%+VLOOKUP($B$27,Int_Rate_Param,2,FALSE))&lt;1%+EIOPA_RFR!AS22,1%+EIOPA_RFR!AS22,EIOPA_RFR!AS22*(1%+VLOOKUP($B$27,Int_Rate_Param,2,FALSE))),IF(EIOPA_RFR!AS22*(1%+VLOOKUP($B17,Int_Rate_Param,2,FALSE))&lt;1%+EIOPA_RFR!AS22,1%+EIOPA_RFR!AS22,EIOPA_RFR!AS22*(1%+VLOOKUP($B17,Int_Rate_Param,2,FALSE))))</f>
        <v>1.166E-2</v>
      </c>
      <c r="AT17" s="94">
        <f>IF($B17&gt;20,IF(EIOPA_RFR!AT22*(1%+VLOOKUP($B$27,Int_Rate_Param,2,FALSE))&lt;1%+EIOPA_RFR!AT22,1%+EIOPA_RFR!AT22,EIOPA_RFR!AT22*(1%+VLOOKUP($B$27,Int_Rate_Param,2,FALSE))),IF(EIOPA_RFR!AT22*(1%+VLOOKUP($B17,Int_Rate_Param,2,FALSE))&lt;1%+EIOPA_RFR!AT22,1%+EIOPA_RFR!AT22,EIOPA_RFR!AT22*(1%+VLOOKUP($B17,Int_Rate_Param,2,FALSE))))</f>
        <v>4.9680000000000002E-2</v>
      </c>
      <c r="AU17" s="94">
        <f>IF($B17&gt;20,IF(EIOPA_RFR!AU22*(1%+VLOOKUP($B$27,Int_Rate_Param,2,FALSE))&lt;1%+EIOPA_RFR!AU22,1%+EIOPA_RFR!AU22,EIOPA_RFR!AU22*(1%+VLOOKUP($B$27,Int_Rate_Param,2,FALSE))),IF(EIOPA_RFR!AU22*(1%+VLOOKUP($B17,Int_Rate_Param,2,FALSE))&lt;1%+EIOPA_RFR!AU22,1%+EIOPA_RFR!AU22,EIOPA_RFR!AU22*(1%+VLOOKUP($B17,Int_Rate_Param,2,FALSE))))</f>
        <v>8.3769999999999997E-2</v>
      </c>
      <c r="AV17" s="94">
        <f>IF($B17&gt;20,IF(EIOPA_RFR!AV22*(1%+VLOOKUP($B$27,Int_Rate_Param,2,FALSE))&lt;1%+EIOPA_RFR!AV22,1%+EIOPA_RFR!AV22,EIOPA_RFR!AV22*(1%+VLOOKUP($B$27,Int_Rate_Param,2,FALSE))),IF(EIOPA_RFR!AV22*(1%+VLOOKUP($B17,Int_Rate_Param,2,FALSE))&lt;1%+EIOPA_RFR!AV22,1%+EIOPA_RFR!AV22,EIOPA_RFR!AV22*(1%+VLOOKUP($B17,Int_Rate_Param,2,FALSE))))</f>
        <v>4.3090000000000003E-2</v>
      </c>
      <c r="AW17" s="94">
        <f>IF($B17&gt;20,IF(EIOPA_RFR!AW22*(1%+VLOOKUP($B$27,Int_Rate_Param,2,FALSE))&lt;1%+EIOPA_RFR!AW22,1%+EIOPA_RFR!AW22,EIOPA_RFR!AW22*(1%+VLOOKUP($B$27,Int_Rate_Param,2,FALSE))),IF(EIOPA_RFR!AW22*(1%+VLOOKUP($B17,Int_Rate_Param,2,FALSE))&lt;1%+EIOPA_RFR!AW22,1%+EIOPA_RFR!AW22,EIOPA_RFR!AW22*(1%+VLOOKUP($B17,Int_Rate_Param,2,FALSE))))</f>
        <v>3.4000000000000002E-2</v>
      </c>
      <c r="AX17" s="94">
        <f>IF($B17&gt;20,IF(EIOPA_RFR!AX22*(1%+VLOOKUP($B$27,Int_Rate_Param,2,FALSE))&lt;1%+EIOPA_RFR!AX22,1%+EIOPA_RFR!AX22,EIOPA_RFR!AX22*(1%+VLOOKUP($B$27,Int_Rate_Param,2,FALSE))),IF(EIOPA_RFR!AX22*(1%+VLOOKUP($B17,Int_Rate_Param,2,FALSE))&lt;1%+EIOPA_RFR!AX22,1%+EIOPA_RFR!AX22,EIOPA_RFR!AX22*(1%+VLOOKUP($B17,Int_Rate_Param,2,FALSE))))</f>
        <v>9.1939999999999994E-2</v>
      </c>
      <c r="AY17" s="94">
        <f>IF($B17&gt;20,IF(EIOPA_RFR!AY22*(1%+VLOOKUP($B$27,Int_Rate_Param,2,FALSE))&lt;1%+EIOPA_RFR!AY22,1%+EIOPA_RFR!AY22,EIOPA_RFR!AY22*(1%+VLOOKUP($B$27,Int_Rate_Param,2,FALSE))),IF(EIOPA_RFR!AY22*(1%+VLOOKUP($B17,Int_Rate_Param,2,FALSE))&lt;1%+EIOPA_RFR!AY22,1%+EIOPA_RFR!AY22,EIOPA_RFR!AY22*(1%+VLOOKUP($B17,Int_Rate_Param,2,FALSE))))</f>
        <v>2.7959999999999999E-2</v>
      </c>
      <c r="AZ17" s="94">
        <f>IF($B17&gt;20,IF(EIOPA_RFR!AZ22*(1%+VLOOKUP($B$27,Int_Rate_Param,2,FALSE))&lt;1%+EIOPA_RFR!AZ22,1%+EIOPA_RFR!AZ22,EIOPA_RFR!AZ22*(1%+VLOOKUP($B$27,Int_Rate_Param,2,FALSE))),IF(EIOPA_RFR!AZ22*(1%+VLOOKUP($B17,Int_Rate_Param,2,FALSE))&lt;1%+EIOPA_RFR!AZ22,1%+EIOPA_RFR!AZ22,EIOPA_RFR!AZ22*(1%+VLOOKUP($B17,Int_Rate_Param,2,FALSE))))</f>
        <v>2.0990000000000002E-2</v>
      </c>
      <c r="BA17" s="94">
        <f>IF($B17&gt;20,IF(EIOPA_RFR!BA22*(1%+VLOOKUP($B$27,Int_Rate_Param,2,FALSE))&lt;1%+EIOPA_RFR!BA22,1%+EIOPA_RFR!BA22,EIOPA_RFR!BA22*(1%+VLOOKUP($B$27,Int_Rate_Param,2,FALSE))),IF(EIOPA_RFR!BA22*(1%+VLOOKUP($B17,Int_Rate_Param,2,FALSE))&lt;1%+EIOPA_RFR!BA22,1%+EIOPA_RFR!BA22,EIOPA_RFR!BA22*(1%+VLOOKUP($B17,Int_Rate_Param,2,FALSE))))</f>
        <v>3.5560000000000001E-2</v>
      </c>
      <c r="BB17" s="94">
        <f>IF($B17&gt;20,IF(EIOPA_RFR!BB22*(1%+VLOOKUP($B$27,Int_Rate_Param,2,FALSE))&lt;1%+EIOPA_RFR!BB22,1%+EIOPA_RFR!BB22,EIOPA_RFR!BB22*(1%+VLOOKUP($B$27,Int_Rate_Param,2,FALSE))),IF(EIOPA_RFR!BB22*(1%+VLOOKUP($B17,Int_Rate_Param,2,FALSE))&lt;1%+EIOPA_RFR!BB22,1%+EIOPA_RFR!BB22,EIOPA_RFR!BB22*(1%+VLOOKUP($B17,Int_Rate_Param,2,FALSE))))</f>
        <v>0.11563999999999999</v>
      </c>
      <c r="BC17" s="94">
        <f>IF($B17&gt;20,IF(EIOPA_RFR!BC22*(1%+VLOOKUP($B$27,Int_Rate_Param,2,FALSE))&lt;1%+EIOPA_RFR!BC22,1%+EIOPA_RFR!BC22,EIOPA_RFR!BC22*(1%+VLOOKUP($B$27,Int_Rate_Param,2,FALSE))),IF(EIOPA_RFR!BC22*(1%+VLOOKUP($B17,Int_Rate_Param,2,FALSE))&lt;1%+EIOPA_RFR!BC22,1%+EIOPA_RFR!BC22,EIOPA_RFR!BC22*(1%+VLOOKUP($B17,Int_Rate_Param,2,FALSE))))</f>
        <v>3.2640000000000002E-2</v>
      </c>
    </row>
    <row r="18" spans="1:55" x14ac:dyDescent="0.25">
      <c r="A18">
        <f t="shared" si="0"/>
        <v>13</v>
      </c>
      <c r="B18" s="95">
        <v>11</v>
      </c>
      <c r="C18" s="94">
        <f>IF($B18&gt;20,IF(EIOPA_RFR!C23*(1%+VLOOKUP($B$27,Int_Rate_Param,2,FALSE))&lt;1%+EIOPA_RFR!C23,1%+EIOPA_RFR!C23,EIOPA_RFR!C23*(1%+VLOOKUP($B$27,Int_Rate_Param,2,FALSE))),IF(EIOPA_RFR!C23*(1%+VLOOKUP($B18,Int_Rate_Param,2,FALSE))&lt;1%+EIOPA_RFR!C23,1%+EIOPA_RFR!C23,EIOPA_RFR!C23*(1%+VLOOKUP($B18,Int_Rate_Param,2,FALSE))))</f>
        <v>1.7770000000000001E-2</v>
      </c>
      <c r="D18" s="94">
        <f>IF($B18&gt;20,IF(EIOPA_RFR!D23*(1%+VLOOKUP($B$27,Int_Rate_Param,2,FALSE))&lt;1%+EIOPA_RFR!D23,1%+EIOPA_RFR!D23,EIOPA_RFR!D23*(1%+VLOOKUP($B$27,Int_Rate_Param,2,FALSE))),IF(EIOPA_RFR!D23*(1%+VLOOKUP($B18,Int_Rate_Param,2,FALSE))&lt;1%+EIOPA_RFR!D23,1%+EIOPA_RFR!D23,EIOPA_RFR!D23*(1%+VLOOKUP($B18,Int_Rate_Param,2,FALSE))))</f>
        <v>1.7770000000000001E-2</v>
      </c>
      <c r="E18" s="94">
        <f>IF($B18&gt;20,IF(EIOPA_RFR!E23*(1%+VLOOKUP($B$27,Int_Rate_Param,2,FALSE))&lt;1%+EIOPA_RFR!E23,1%+EIOPA_RFR!E23,EIOPA_RFR!E23*(1%+VLOOKUP($B$27,Int_Rate_Param,2,FALSE))),IF(EIOPA_RFR!E23*(1%+VLOOKUP($B18,Int_Rate_Param,2,FALSE))&lt;1%+EIOPA_RFR!E23,1%+EIOPA_RFR!E23,EIOPA_RFR!E23*(1%+VLOOKUP($B18,Int_Rate_Param,2,FALSE))))</f>
        <v>1.7770000000000001E-2</v>
      </c>
      <c r="F18" s="94">
        <f>IF($B18&gt;20,IF(EIOPA_RFR!F23*(1%+VLOOKUP($B$27,Int_Rate_Param,2,FALSE))&lt;1%+EIOPA_RFR!F23,1%+EIOPA_RFR!F23,EIOPA_RFR!F23*(1%+VLOOKUP($B$27,Int_Rate_Param,2,FALSE))),IF(EIOPA_RFR!F23*(1%+VLOOKUP($B18,Int_Rate_Param,2,FALSE))&lt;1%+EIOPA_RFR!F23,1%+EIOPA_RFR!F23,EIOPA_RFR!F23*(1%+VLOOKUP($B18,Int_Rate_Param,2,FALSE))))</f>
        <v>1.7260000000000001E-2</v>
      </c>
      <c r="G18" s="94">
        <f>IF($B18&gt;20,IF(EIOPA_RFR!G23*(1%+VLOOKUP($B$27,Int_Rate_Param,2,FALSE))&lt;1%+EIOPA_RFR!G23,1%+EIOPA_RFR!G23,EIOPA_RFR!G23*(1%+VLOOKUP($B$27,Int_Rate_Param,2,FALSE))),IF(EIOPA_RFR!G23*(1%+VLOOKUP($B18,Int_Rate_Param,2,FALSE))&lt;1%+EIOPA_RFR!G23,1%+EIOPA_RFR!G23,EIOPA_RFR!G23*(1%+VLOOKUP($B18,Int_Rate_Param,2,FALSE))))</f>
        <v>3.9730000000000001E-2</v>
      </c>
      <c r="H18" s="94">
        <f>IF($B18&gt;20,IF(EIOPA_RFR!H23*(1%+VLOOKUP($B$27,Int_Rate_Param,2,FALSE))&lt;1%+EIOPA_RFR!H23,1%+EIOPA_RFR!H23,EIOPA_RFR!H23*(1%+VLOOKUP($B$27,Int_Rate_Param,2,FALSE))),IF(EIOPA_RFR!H23*(1%+VLOOKUP($B18,Int_Rate_Param,2,FALSE))&lt;1%+EIOPA_RFR!H23,1%+EIOPA_RFR!H23,EIOPA_RFR!H23*(1%+VLOOKUP($B18,Int_Rate_Param,2,FALSE))))</f>
        <v>1.7770000000000001E-2</v>
      </c>
      <c r="I18" s="94">
        <f>IF($B18&gt;20,IF(EIOPA_RFR!I23*(1%+VLOOKUP($B$27,Int_Rate_Param,2,FALSE))&lt;1%+EIOPA_RFR!I23,1%+EIOPA_RFR!I23,EIOPA_RFR!I23*(1%+VLOOKUP($B$27,Int_Rate_Param,2,FALSE))),IF(EIOPA_RFR!I23*(1%+VLOOKUP($B18,Int_Rate_Param,2,FALSE))&lt;1%+EIOPA_RFR!I23,1%+EIOPA_RFR!I23,EIOPA_RFR!I23*(1%+VLOOKUP($B18,Int_Rate_Param,2,FALSE))))</f>
        <v>2.0580000000000001E-2</v>
      </c>
      <c r="J18" s="94">
        <f>IF($B18&gt;20,IF(EIOPA_RFR!J23*(1%+VLOOKUP($B$27,Int_Rate_Param,2,FALSE))&lt;1%+EIOPA_RFR!J23,1%+EIOPA_RFR!J23,EIOPA_RFR!J23*(1%+VLOOKUP($B$27,Int_Rate_Param,2,FALSE))),IF(EIOPA_RFR!J23*(1%+VLOOKUP($B18,Int_Rate_Param,2,FALSE))&lt;1%+EIOPA_RFR!J23,1%+EIOPA_RFR!J23,EIOPA_RFR!J23*(1%+VLOOKUP($B18,Int_Rate_Param,2,FALSE))))</f>
        <v>1.7669999999999998E-2</v>
      </c>
      <c r="K18" s="94">
        <f>IF($B18&gt;20,IF(EIOPA_RFR!K23*(1%+VLOOKUP($B$27,Int_Rate_Param,2,FALSE))&lt;1%+EIOPA_RFR!K23,1%+EIOPA_RFR!K23,EIOPA_RFR!K23*(1%+VLOOKUP($B$27,Int_Rate_Param,2,FALSE))),IF(EIOPA_RFR!K23*(1%+VLOOKUP($B18,Int_Rate_Param,2,FALSE))&lt;1%+EIOPA_RFR!K23,1%+EIOPA_RFR!K23,EIOPA_RFR!K23*(1%+VLOOKUP($B18,Int_Rate_Param,2,FALSE))))</f>
        <v>1.7770000000000001E-2</v>
      </c>
      <c r="L18" s="94">
        <f>IF($B18&gt;20,IF(EIOPA_RFR!L23*(1%+VLOOKUP($B$27,Int_Rate_Param,2,FALSE))&lt;1%+EIOPA_RFR!L23,1%+EIOPA_RFR!L23,EIOPA_RFR!L23*(1%+VLOOKUP($B$27,Int_Rate_Param,2,FALSE))),IF(EIOPA_RFR!L23*(1%+VLOOKUP($B18,Int_Rate_Param,2,FALSE))&lt;1%+EIOPA_RFR!L23,1%+EIOPA_RFR!L23,EIOPA_RFR!L23*(1%+VLOOKUP($B18,Int_Rate_Param,2,FALSE))))</f>
        <v>1.7770000000000001E-2</v>
      </c>
      <c r="M18" s="94">
        <f>IF($B18&gt;20,IF(EIOPA_RFR!M23*(1%+VLOOKUP($B$27,Int_Rate_Param,2,FALSE))&lt;1%+EIOPA_RFR!M23,1%+EIOPA_RFR!M23,EIOPA_RFR!M23*(1%+VLOOKUP($B$27,Int_Rate_Param,2,FALSE))),IF(EIOPA_RFR!M23*(1%+VLOOKUP($B18,Int_Rate_Param,2,FALSE))&lt;1%+EIOPA_RFR!M23,1%+EIOPA_RFR!M23,EIOPA_RFR!M23*(1%+VLOOKUP($B18,Int_Rate_Param,2,FALSE))))</f>
        <v>1.7770000000000001E-2</v>
      </c>
      <c r="N18" s="94">
        <f>IF($B18&gt;20,IF(EIOPA_RFR!N23*(1%+VLOOKUP($B$27,Int_Rate_Param,2,FALSE))&lt;1%+EIOPA_RFR!N23,1%+EIOPA_RFR!N23,EIOPA_RFR!N23*(1%+VLOOKUP($B$27,Int_Rate_Param,2,FALSE))),IF(EIOPA_RFR!N23*(1%+VLOOKUP($B18,Int_Rate_Param,2,FALSE))&lt;1%+EIOPA_RFR!N23,1%+EIOPA_RFR!N23,EIOPA_RFR!N23*(1%+VLOOKUP($B18,Int_Rate_Param,2,FALSE))))</f>
        <v>1.7770000000000001E-2</v>
      </c>
      <c r="O18" s="94">
        <f>IF($B18&gt;20,IF(EIOPA_RFR!O23*(1%+VLOOKUP($B$27,Int_Rate_Param,2,FALSE))&lt;1%+EIOPA_RFR!O23,1%+EIOPA_RFR!O23,EIOPA_RFR!O23*(1%+VLOOKUP($B$27,Int_Rate_Param,2,FALSE))),IF(EIOPA_RFR!O23*(1%+VLOOKUP($B18,Int_Rate_Param,2,FALSE))&lt;1%+EIOPA_RFR!O23,1%+EIOPA_RFR!O23,EIOPA_RFR!O23*(1%+VLOOKUP($B18,Int_Rate_Param,2,FALSE))))</f>
        <v>1.7770000000000001E-2</v>
      </c>
      <c r="P18" s="94">
        <f>IF($B18&gt;20,IF(EIOPA_RFR!P23*(1%+VLOOKUP($B$27,Int_Rate_Param,2,FALSE))&lt;1%+EIOPA_RFR!P23,1%+EIOPA_RFR!P23,EIOPA_RFR!P23*(1%+VLOOKUP($B$27,Int_Rate_Param,2,FALSE))),IF(EIOPA_RFR!P23*(1%+VLOOKUP($B18,Int_Rate_Param,2,FALSE))&lt;1%+EIOPA_RFR!P23,1%+EIOPA_RFR!P23,EIOPA_RFR!P23*(1%+VLOOKUP($B18,Int_Rate_Param,2,FALSE))))</f>
        <v>4.3240000000000001E-2</v>
      </c>
      <c r="Q18" s="94">
        <f>IF($B18&gt;20,IF(EIOPA_RFR!Q23*(1%+VLOOKUP($B$27,Int_Rate_Param,2,FALSE))&lt;1%+EIOPA_RFR!Q23,1%+EIOPA_RFR!Q23,EIOPA_RFR!Q23*(1%+VLOOKUP($B$27,Int_Rate_Param,2,FALSE))),IF(EIOPA_RFR!Q23*(1%+VLOOKUP($B18,Int_Rate_Param,2,FALSE))&lt;1%+EIOPA_RFR!Q23,1%+EIOPA_RFR!Q23,EIOPA_RFR!Q23*(1%+VLOOKUP($B18,Int_Rate_Param,2,FALSE))))</f>
        <v>5.7450000000000001E-2</v>
      </c>
      <c r="R18" s="94">
        <f>IF($B18&gt;20,IF(EIOPA_RFR!R23*(1%+VLOOKUP($B$27,Int_Rate_Param,2,FALSE))&lt;1%+EIOPA_RFR!R23,1%+EIOPA_RFR!R23,EIOPA_RFR!R23*(1%+VLOOKUP($B$27,Int_Rate_Param,2,FALSE))),IF(EIOPA_RFR!R23*(1%+VLOOKUP($B18,Int_Rate_Param,2,FALSE))&lt;1%+EIOPA_RFR!R23,1%+EIOPA_RFR!R23,EIOPA_RFR!R23*(1%+VLOOKUP($B18,Int_Rate_Param,2,FALSE))))</f>
        <v>1.7770000000000001E-2</v>
      </c>
      <c r="S18" s="94">
        <f>IF($B18&gt;20,IF(EIOPA_RFR!S23*(1%+VLOOKUP($B$27,Int_Rate_Param,2,FALSE))&lt;1%+EIOPA_RFR!S23,1%+EIOPA_RFR!S23,EIOPA_RFR!S23*(1%+VLOOKUP($B$27,Int_Rate_Param,2,FALSE))),IF(EIOPA_RFR!S23*(1%+VLOOKUP($B18,Int_Rate_Param,2,FALSE))&lt;1%+EIOPA_RFR!S23,1%+EIOPA_RFR!S23,EIOPA_RFR!S23*(1%+VLOOKUP($B18,Int_Rate_Param,2,FALSE))))</f>
        <v>1.7770000000000001E-2</v>
      </c>
      <c r="T18" s="94">
        <f>IF($B18&gt;20,IF(EIOPA_RFR!T23*(1%+VLOOKUP($B$27,Int_Rate_Param,2,FALSE))&lt;1%+EIOPA_RFR!T23,1%+EIOPA_RFR!T23,EIOPA_RFR!T23*(1%+VLOOKUP($B$27,Int_Rate_Param,2,FALSE))),IF(EIOPA_RFR!T23*(1%+VLOOKUP($B18,Int_Rate_Param,2,FALSE))&lt;1%+EIOPA_RFR!T23,1%+EIOPA_RFR!T23,EIOPA_RFR!T23*(1%+VLOOKUP($B18,Int_Rate_Param,2,FALSE))))</f>
        <v>1.7770000000000001E-2</v>
      </c>
      <c r="U18" s="94">
        <f>IF($B18&gt;20,IF(EIOPA_RFR!U23*(1%+VLOOKUP($B$27,Int_Rate_Param,2,FALSE))&lt;1%+EIOPA_RFR!U23,1%+EIOPA_RFR!U23,EIOPA_RFR!U23*(1%+VLOOKUP($B$27,Int_Rate_Param,2,FALSE))),IF(EIOPA_RFR!U23*(1%+VLOOKUP($B18,Int_Rate_Param,2,FALSE))&lt;1%+EIOPA_RFR!U23,1%+EIOPA_RFR!U23,EIOPA_RFR!U23*(1%+VLOOKUP($B18,Int_Rate_Param,2,FALSE))))</f>
        <v>1.102E-2</v>
      </c>
      <c r="V18" s="94">
        <f>IF($B18&gt;20,IF(EIOPA_RFR!V23*(1%+VLOOKUP($B$27,Int_Rate_Param,2,FALSE))&lt;1%+EIOPA_RFR!V23,1%+EIOPA_RFR!V23,EIOPA_RFR!V23*(1%+VLOOKUP($B$27,Int_Rate_Param,2,FALSE))),IF(EIOPA_RFR!V23*(1%+VLOOKUP($B18,Int_Rate_Param,2,FALSE))&lt;1%+EIOPA_RFR!V23,1%+EIOPA_RFR!V23,EIOPA_RFR!V23*(1%+VLOOKUP($B18,Int_Rate_Param,2,FALSE))))</f>
        <v>1.7770000000000001E-2</v>
      </c>
      <c r="W18" s="94">
        <f>IF($B18&gt;20,IF(EIOPA_RFR!W23*(1%+VLOOKUP($B$27,Int_Rate_Param,2,FALSE))&lt;1%+EIOPA_RFR!W23,1%+EIOPA_RFR!W23,EIOPA_RFR!W23*(1%+VLOOKUP($B$27,Int_Rate_Param,2,FALSE))),IF(EIOPA_RFR!W23*(1%+VLOOKUP($B18,Int_Rate_Param,2,FALSE))&lt;1%+EIOPA_RFR!W23,1%+EIOPA_RFR!W23,EIOPA_RFR!W23*(1%+VLOOKUP($B18,Int_Rate_Param,2,FALSE))))</f>
        <v>1.7770000000000001E-2</v>
      </c>
      <c r="X18" s="94">
        <f>IF($B18&gt;20,IF(EIOPA_RFR!X23*(1%+VLOOKUP($B$27,Int_Rate_Param,2,FALSE))&lt;1%+EIOPA_RFR!X23,1%+EIOPA_RFR!X23,EIOPA_RFR!X23*(1%+VLOOKUP($B$27,Int_Rate_Param,2,FALSE))),IF(EIOPA_RFR!X23*(1%+VLOOKUP($B18,Int_Rate_Param,2,FALSE))&lt;1%+EIOPA_RFR!X23,1%+EIOPA_RFR!X23,EIOPA_RFR!X23*(1%+VLOOKUP($B18,Int_Rate_Param,2,FALSE))))</f>
        <v>1.7770000000000001E-2</v>
      </c>
      <c r="Y18" s="94">
        <f>IF($B18&gt;20,IF(EIOPA_RFR!Y23*(1%+VLOOKUP($B$27,Int_Rate_Param,2,FALSE))&lt;1%+EIOPA_RFR!Y23,1%+EIOPA_RFR!Y23,EIOPA_RFR!Y23*(1%+VLOOKUP($B$27,Int_Rate_Param,2,FALSE))),IF(EIOPA_RFR!Y23*(1%+VLOOKUP($B18,Int_Rate_Param,2,FALSE))&lt;1%+EIOPA_RFR!Y23,1%+EIOPA_RFR!Y23,EIOPA_RFR!Y23*(1%+VLOOKUP($B18,Int_Rate_Param,2,FALSE))))</f>
        <v>1.7770000000000001E-2</v>
      </c>
      <c r="Z18" s="94">
        <f>IF($B18&gt;20,IF(EIOPA_RFR!Z23*(1%+VLOOKUP($B$27,Int_Rate_Param,2,FALSE))&lt;1%+EIOPA_RFR!Z23,1%+EIOPA_RFR!Z23,EIOPA_RFR!Z23*(1%+VLOOKUP($B$27,Int_Rate_Param,2,FALSE))),IF(EIOPA_RFR!Z23*(1%+VLOOKUP($B18,Int_Rate_Param,2,FALSE))&lt;1%+EIOPA_RFR!Z23,1%+EIOPA_RFR!Z23,EIOPA_RFR!Z23*(1%+VLOOKUP($B18,Int_Rate_Param,2,FALSE))))</f>
        <v>2.9089999999999998E-2</v>
      </c>
      <c r="AA18" s="94">
        <f>IF($B18&gt;20,IF(EIOPA_RFR!AA23*(1%+VLOOKUP($B$27,Int_Rate_Param,2,FALSE))&lt;1%+EIOPA_RFR!AA23,1%+EIOPA_RFR!AA23,EIOPA_RFR!AA23*(1%+VLOOKUP($B$27,Int_Rate_Param,2,FALSE))),IF(EIOPA_RFR!AA23*(1%+VLOOKUP($B18,Int_Rate_Param,2,FALSE))&lt;1%+EIOPA_RFR!AA23,1%+EIOPA_RFR!AA23,EIOPA_RFR!AA23*(1%+VLOOKUP($B18,Int_Rate_Param,2,FALSE))))</f>
        <v>4.4450000000000003E-2</v>
      </c>
      <c r="AB18" s="94">
        <f>IF($B18&gt;20,IF(EIOPA_RFR!AB23*(1%+VLOOKUP($B$27,Int_Rate_Param,2,FALSE))&lt;1%+EIOPA_RFR!AB23,1%+EIOPA_RFR!AB23,EIOPA_RFR!AB23*(1%+VLOOKUP($B$27,Int_Rate_Param,2,FALSE))),IF(EIOPA_RFR!AB23*(1%+VLOOKUP($B18,Int_Rate_Param,2,FALSE))&lt;1%+EIOPA_RFR!AB23,1%+EIOPA_RFR!AB23,EIOPA_RFR!AB23*(1%+VLOOKUP($B18,Int_Rate_Param,2,FALSE))))</f>
        <v>1.7770000000000001E-2</v>
      </c>
      <c r="AC18" s="94">
        <f>IF($B18&gt;20,IF(EIOPA_RFR!AC23*(1%+VLOOKUP($B$27,Int_Rate_Param,2,FALSE))&lt;1%+EIOPA_RFR!AC23,1%+EIOPA_RFR!AC23,EIOPA_RFR!AC23*(1%+VLOOKUP($B$27,Int_Rate_Param,2,FALSE))),IF(EIOPA_RFR!AC23*(1%+VLOOKUP($B18,Int_Rate_Param,2,FALSE))&lt;1%+EIOPA_RFR!AC23,1%+EIOPA_RFR!AC23,EIOPA_RFR!AC23*(1%+VLOOKUP($B18,Int_Rate_Param,2,FALSE))))</f>
        <v>4.9890000000000004E-2</v>
      </c>
      <c r="AD18" s="94">
        <f>IF($B18&gt;20,IF(EIOPA_RFR!AD23*(1%+VLOOKUP($B$27,Int_Rate_Param,2,FALSE))&lt;1%+EIOPA_RFR!AD23,1%+EIOPA_RFR!AD23,EIOPA_RFR!AD23*(1%+VLOOKUP($B$27,Int_Rate_Param,2,FALSE))),IF(EIOPA_RFR!AD23*(1%+VLOOKUP($B18,Int_Rate_Param,2,FALSE))&lt;1%+EIOPA_RFR!AD23,1%+EIOPA_RFR!AD23,EIOPA_RFR!AD23*(1%+VLOOKUP($B18,Int_Rate_Param,2,FALSE))))</f>
        <v>8.564999999999999E-2</v>
      </c>
      <c r="AE18" s="94">
        <f>IF($B18&gt;20,IF(EIOPA_RFR!AE23*(1%+VLOOKUP($B$27,Int_Rate_Param,2,FALSE))&lt;1%+EIOPA_RFR!AE23,1%+EIOPA_RFR!AE23,EIOPA_RFR!AE23*(1%+VLOOKUP($B$27,Int_Rate_Param,2,FALSE))),IF(EIOPA_RFR!AE23*(1%+VLOOKUP($B18,Int_Rate_Param,2,FALSE))&lt;1%+EIOPA_RFR!AE23,1%+EIOPA_RFR!AE23,EIOPA_RFR!AE23*(1%+VLOOKUP($B18,Int_Rate_Param,2,FALSE))))</f>
        <v>1.7770000000000001E-2</v>
      </c>
      <c r="AF18" s="94">
        <f>IF($B18&gt;20,IF(EIOPA_RFR!AF23*(1%+VLOOKUP($B$27,Int_Rate_Param,2,FALSE))&lt;1%+EIOPA_RFR!AF23,1%+EIOPA_RFR!AF23,EIOPA_RFR!AF23*(1%+VLOOKUP($B$27,Int_Rate_Param,2,FALSE))),IF(EIOPA_RFR!AF23*(1%+VLOOKUP($B18,Int_Rate_Param,2,FALSE))&lt;1%+EIOPA_RFR!AF23,1%+EIOPA_RFR!AF23,EIOPA_RFR!AF23*(1%+VLOOKUP($B18,Int_Rate_Param,2,FALSE))))</f>
        <v>1.7770000000000001E-2</v>
      </c>
      <c r="AG18" s="94">
        <f>IF($B18&gt;20,IF(EIOPA_RFR!AG23*(1%+VLOOKUP($B$27,Int_Rate_Param,2,FALSE))&lt;1%+EIOPA_RFR!AG23,1%+EIOPA_RFR!AG23,EIOPA_RFR!AG23*(1%+VLOOKUP($B$27,Int_Rate_Param,2,FALSE))),IF(EIOPA_RFR!AG23*(1%+VLOOKUP($B18,Int_Rate_Param,2,FALSE))&lt;1%+EIOPA_RFR!AG23,1%+EIOPA_RFR!AG23,EIOPA_RFR!AG23*(1%+VLOOKUP($B18,Int_Rate_Param,2,FALSE))))</f>
        <v>1.7770000000000001E-2</v>
      </c>
      <c r="AH18" s="94">
        <f>IF($B18&gt;20,IF(EIOPA_RFR!AH23*(1%+VLOOKUP($B$27,Int_Rate_Param,2,FALSE))&lt;1%+EIOPA_RFR!AH23,1%+EIOPA_RFR!AH23,EIOPA_RFR!AH23*(1%+VLOOKUP($B$27,Int_Rate_Param,2,FALSE))),IF(EIOPA_RFR!AH23*(1%+VLOOKUP($B18,Int_Rate_Param,2,FALSE))&lt;1%+EIOPA_RFR!AH23,1%+EIOPA_RFR!AH23,EIOPA_RFR!AH23*(1%+VLOOKUP($B18,Int_Rate_Param,2,FALSE))))</f>
        <v>2.1909999999999999E-2</v>
      </c>
      <c r="AI18" s="94">
        <f>IF($B18&gt;20,IF(EIOPA_RFR!AI23*(1%+VLOOKUP($B$27,Int_Rate_Param,2,FALSE))&lt;1%+EIOPA_RFR!AI23,1%+EIOPA_RFR!AI23,EIOPA_RFR!AI23*(1%+VLOOKUP($B$27,Int_Rate_Param,2,FALSE))),IF(EIOPA_RFR!AI23*(1%+VLOOKUP($B18,Int_Rate_Param,2,FALSE))&lt;1%+EIOPA_RFR!AI23,1%+EIOPA_RFR!AI23,EIOPA_RFR!AI23*(1%+VLOOKUP($B18,Int_Rate_Param,2,FALSE))))</f>
        <v>1.102E-2</v>
      </c>
      <c r="AJ18" s="94">
        <f>IF($B18&gt;20,IF(EIOPA_RFR!AJ23*(1%+VLOOKUP($B$27,Int_Rate_Param,2,FALSE))&lt;1%+EIOPA_RFR!AJ23,1%+EIOPA_RFR!AJ23,EIOPA_RFR!AJ23*(1%+VLOOKUP($B$27,Int_Rate_Param,2,FALSE))),IF(EIOPA_RFR!AJ23*(1%+VLOOKUP($B18,Int_Rate_Param,2,FALSE))&lt;1%+EIOPA_RFR!AJ23,1%+EIOPA_RFR!AJ23,EIOPA_RFR!AJ23*(1%+VLOOKUP($B18,Int_Rate_Param,2,FALSE))))</f>
        <v>2.0930000000000001E-2</v>
      </c>
      <c r="AK18" s="94">
        <f>IF($B18&gt;20,IF(EIOPA_RFR!AK23*(1%+VLOOKUP($B$27,Int_Rate_Param,2,FALSE))&lt;1%+EIOPA_RFR!AK23,1%+EIOPA_RFR!AK23,EIOPA_RFR!AK23*(1%+VLOOKUP($B$27,Int_Rate_Param,2,FALSE))),IF(EIOPA_RFR!AK23*(1%+VLOOKUP($B18,Int_Rate_Param,2,FALSE))&lt;1%+EIOPA_RFR!AK23,1%+EIOPA_RFR!AK23,EIOPA_RFR!AK23*(1%+VLOOKUP($B18,Int_Rate_Param,2,FALSE))))</f>
        <v>3.9010000000000003E-2</v>
      </c>
      <c r="AL18" s="94">
        <f>IF($B18&gt;20,IF(EIOPA_RFR!AL23*(1%+VLOOKUP($B$27,Int_Rate_Param,2,FALSE))&lt;1%+EIOPA_RFR!AL23,1%+EIOPA_RFR!AL23,EIOPA_RFR!AL23*(1%+VLOOKUP($B$27,Int_Rate_Param,2,FALSE))),IF(EIOPA_RFR!AL23*(1%+VLOOKUP($B18,Int_Rate_Param,2,FALSE))&lt;1%+EIOPA_RFR!AL23,1%+EIOPA_RFR!AL23,EIOPA_RFR!AL23*(1%+VLOOKUP($B18,Int_Rate_Param,2,FALSE))))</f>
        <v>0.10353</v>
      </c>
      <c r="AM18" s="94">
        <f>IF($B18&gt;20,IF(EIOPA_RFR!AM23*(1%+VLOOKUP($B$27,Int_Rate_Param,2,FALSE))&lt;1%+EIOPA_RFR!AM23,1%+EIOPA_RFR!AM23,EIOPA_RFR!AM23*(1%+VLOOKUP($B$27,Int_Rate_Param,2,FALSE))),IF(EIOPA_RFR!AM23*(1%+VLOOKUP($B18,Int_Rate_Param,2,FALSE))&lt;1%+EIOPA_RFR!AM23,1%+EIOPA_RFR!AM23,EIOPA_RFR!AM23*(1%+VLOOKUP($B18,Int_Rate_Param,2,FALSE))))</f>
        <v>2.8200000000000003E-2</v>
      </c>
      <c r="AN18" s="94">
        <f>IF($B18&gt;20,IF(EIOPA_RFR!AN23*(1%+VLOOKUP($B$27,Int_Rate_Param,2,FALSE))&lt;1%+EIOPA_RFR!AN23,1%+EIOPA_RFR!AN23,EIOPA_RFR!AN23*(1%+VLOOKUP($B$27,Int_Rate_Param,2,FALSE))),IF(EIOPA_RFR!AN23*(1%+VLOOKUP($B18,Int_Rate_Param,2,FALSE))&lt;1%+EIOPA_RFR!AN23,1%+EIOPA_RFR!AN23,EIOPA_RFR!AN23*(1%+VLOOKUP($B18,Int_Rate_Param,2,FALSE))))</f>
        <v>5.0130000000000001E-2</v>
      </c>
      <c r="AO18" s="94">
        <f>IF($B18&gt;20,IF(EIOPA_RFR!AO23*(1%+VLOOKUP($B$27,Int_Rate_Param,2,FALSE))&lt;1%+EIOPA_RFR!AO23,1%+EIOPA_RFR!AO23,EIOPA_RFR!AO23*(1%+VLOOKUP($B$27,Int_Rate_Param,2,FALSE))),IF(EIOPA_RFR!AO23*(1%+VLOOKUP($B18,Int_Rate_Param,2,FALSE))&lt;1%+EIOPA_RFR!AO23,1%+EIOPA_RFR!AO23,EIOPA_RFR!AO23*(1%+VLOOKUP($B18,Int_Rate_Param,2,FALSE))))</f>
        <v>5.2740000000000002E-2</v>
      </c>
      <c r="AP18" s="94">
        <f>IF($B18&gt;20,IF(EIOPA_RFR!AP23*(1%+VLOOKUP($B$27,Int_Rate_Param,2,FALSE))&lt;1%+EIOPA_RFR!AP23,1%+EIOPA_RFR!AP23,EIOPA_RFR!AP23*(1%+VLOOKUP($B$27,Int_Rate_Param,2,FALSE))),IF(EIOPA_RFR!AP23*(1%+VLOOKUP($B18,Int_Rate_Param,2,FALSE))&lt;1%+EIOPA_RFR!AP23,1%+EIOPA_RFR!AP23,EIOPA_RFR!AP23*(1%+VLOOKUP($B18,Int_Rate_Param,2,FALSE))))</f>
        <v>7.2969999999999993E-2</v>
      </c>
      <c r="AQ18" s="94">
        <f>IF($B18&gt;20,IF(EIOPA_RFR!AQ23*(1%+VLOOKUP($B$27,Int_Rate_Param,2,FALSE))&lt;1%+EIOPA_RFR!AQ23,1%+EIOPA_RFR!AQ23,EIOPA_RFR!AQ23*(1%+VLOOKUP($B$27,Int_Rate_Param,2,FALSE))),IF(EIOPA_RFR!AQ23*(1%+VLOOKUP($B18,Int_Rate_Param,2,FALSE))&lt;1%+EIOPA_RFR!AQ23,1%+EIOPA_RFR!AQ23,EIOPA_RFR!AQ23*(1%+VLOOKUP($B18,Int_Rate_Param,2,FALSE))))</f>
        <v>3.2780000000000004E-2</v>
      </c>
      <c r="AR18" s="94">
        <f>IF($B18&gt;20,IF(EIOPA_RFR!AR23*(1%+VLOOKUP($B$27,Int_Rate_Param,2,FALSE))&lt;1%+EIOPA_RFR!AR23,1%+EIOPA_RFR!AR23,EIOPA_RFR!AR23*(1%+VLOOKUP($B$27,Int_Rate_Param,2,FALSE))),IF(EIOPA_RFR!AR23*(1%+VLOOKUP($B18,Int_Rate_Param,2,FALSE))&lt;1%+EIOPA_RFR!AR23,1%+EIOPA_RFR!AR23,EIOPA_RFR!AR23*(1%+VLOOKUP($B18,Int_Rate_Param,2,FALSE))))</f>
        <v>7.8439999999999996E-2</v>
      </c>
      <c r="AS18" s="94">
        <f>IF($B18&gt;20,IF(EIOPA_RFR!AS23*(1%+VLOOKUP($B$27,Int_Rate_Param,2,FALSE))&lt;1%+EIOPA_RFR!AS23,1%+EIOPA_RFR!AS23,EIOPA_RFR!AS23*(1%+VLOOKUP($B$27,Int_Rate_Param,2,FALSE))),IF(EIOPA_RFR!AS23*(1%+VLOOKUP($B18,Int_Rate_Param,2,FALSE))&lt;1%+EIOPA_RFR!AS23,1%+EIOPA_RFR!AS23,EIOPA_RFR!AS23*(1%+VLOOKUP($B18,Int_Rate_Param,2,FALSE))))</f>
        <v>1.2070000000000001E-2</v>
      </c>
      <c r="AT18" s="94">
        <f>IF($B18&gt;20,IF(EIOPA_RFR!AT23*(1%+VLOOKUP($B$27,Int_Rate_Param,2,FALSE))&lt;1%+EIOPA_RFR!AT23,1%+EIOPA_RFR!AT23,EIOPA_RFR!AT23*(1%+VLOOKUP($B$27,Int_Rate_Param,2,FALSE))),IF(EIOPA_RFR!AT23*(1%+VLOOKUP($B18,Int_Rate_Param,2,FALSE))&lt;1%+EIOPA_RFR!AT23,1%+EIOPA_RFR!AT23,EIOPA_RFR!AT23*(1%+VLOOKUP($B18,Int_Rate_Param,2,FALSE))))</f>
        <v>5.0210000000000005E-2</v>
      </c>
      <c r="AU18" s="94">
        <f>IF($B18&gt;20,IF(EIOPA_RFR!AU23*(1%+VLOOKUP($B$27,Int_Rate_Param,2,FALSE))&lt;1%+EIOPA_RFR!AU23,1%+EIOPA_RFR!AU23,EIOPA_RFR!AU23*(1%+VLOOKUP($B$27,Int_Rate_Param,2,FALSE))),IF(EIOPA_RFR!AU23*(1%+VLOOKUP($B18,Int_Rate_Param,2,FALSE))&lt;1%+EIOPA_RFR!AU23,1%+EIOPA_RFR!AU23,EIOPA_RFR!AU23*(1%+VLOOKUP($B18,Int_Rate_Param,2,FALSE))))</f>
        <v>8.4409999999999999E-2</v>
      </c>
      <c r="AV18" s="94">
        <f>IF($B18&gt;20,IF(EIOPA_RFR!AV23*(1%+VLOOKUP($B$27,Int_Rate_Param,2,FALSE))&lt;1%+EIOPA_RFR!AV23,1%+EIOPA_RFR!AV23,EIOPA_RFR!AV23*(1%+VLOOKUP($B$27,Int_Rate_Param,2,FALSE))),IF(EIOPA_RFR!AV23*(1%+VLOOKUP($B18,Int_Rate_Param,2,FALSE))&lt;1%+EIOPA_RFR!AV23,1%+EIOPA_RFR!AV23,EIOPA_RFR!AV23*(1%+VLOOKUP($B18,Int_Rate_Param,2,FALSE))))</f>
        <v>4.3840000000000004E-2</v>
      </c>
      <c r="AW18" s="94">
        <f>IF($B18&gt;20,IF(EIOPA_RFR!AW23*(1%+VLOOKUP($B$27,Int_Rate_Param,2,FALSE))&lt;1%+EIOPA_RFR!AW23,1%+EIOPA_RFR!AW23,EIOPA_RFR!AW23*(1%+VLOOKUP($B$27,Int_Rate_Param,2,FALSE))),IF(EIOPA_RFR!AW23*(1%+VLOOKUP($B18,Int_Rate_Param,2,FALSE))&lt;1%+EIOPA_RFR!AW23,1%+EIOPA_RFR!AW23,EIOPA_RFR!AW23*(1%+VLOOKUP($B18,Int_Rate_Param,2,FALSE))))</f>
        <v>3.4529999999999998E-2</v>
      </c>
      <c r="AX18" s="94">
        <f>IF($B18&gt;20,IF(EIOPA_RFR!AX23*(1%+VLOOKUP($B$27,Int_Rate_Param,2,FALSE))&lt;1%+EIOPA_RFR!AX23,1%+EIOPA_RFR!AX23,EIOPA_RFR!AX23*(1%+VLOOKUP($B$27,Int_Rate_Param,2,FALSE))),IF(EIOPA_RFR!AX23*(1%+VLOOKUP($B18,Int_Rate_Param,2,FALSE))&lt;1%+EIOPA_RFR!AX23,1%+EIOPA_RFR!AX23,EIOPA_RFR!AX23*(1%+VLOOKUP($B18,Int_Rate_Param,2,FALSE))))</f>
        <v>9.2859999999999998E-2</v>
      </c>
      <c r="AY18" s="94">
        <f>IF($B18&gt;20,IF(EIOPA_RFR!AY23*(1%+VLOOKUP($B$27,Int_Rate_Param,2,FALSE))&lt;1%+EIOPA_RFR!AY23,1%+EIOPA_RFR!AY23,EIOPA_RFR!AY23*(1%+VLOOKUP($B$27,Int_Rate_Param,2,FALSE))),IF(EIOPA_RFR!AY23*(1%+VLOOKUP($B18,Int_Rate_Param,2,FALSE))&lt;1%+EIOPA_RFR!AY23,1%+EIOPA_RFR!AY23,EIOPA_RFR!AY23*(1%+VLOOKUP($B18,Int_Rate_Param,2,FALSE))))</f>
        <v>2.819E-2</v>
      </c>
      <c r="AZ18" s="94">
        <f>IF($B18&gt;20,IF(EIOPA_RFR!AZ23*(1%+VLOOKUP($B$27,Int_Rate_Param,2,FALSE))&lt;1%+EIOPA_RFR!AZ23,1%+EIOPA_RFR!AZ23,EIOPA_RFR!AZ23*(1%+VLOOKUP($B$27,Int_Rate_Param,2,FALSE))),IF(EIOPA_RFR!AZ23*(1%+VLOOKUP($B18,Int_Rate_Param,2,FALSE))&lt;1%+EIOPA_RFR!AZ23,1%+EIOPA_RFR!AZ23,EIOPA_RFR!AZ23*(1%+VLOOKUP($B18,Int_Rate_Param,2,FALSE))))</f>
        <v>2.171E-2</v>
      </c>
      <c r="BA18" s="94">
        <f>IF($B18&gt;20,IF(EIOPA_RFR!BA23*(1%+VLOOKUP($B$27,Int_Rate_Param,2,FALSE))&lt;1%+EIOPA_RFR!BA23,1%+EIOPA_RFR!BA23,EIOPA_RFR!BA23*(1%+VLOOKUP($B$27,Int_Rate_Param,2,FALSE))),IF(EIOPA_RFR!BA23*(1%+VLOOKUP($B18,Int_Rate_Param,2,FALSE))&lt;1%+EIOPA_RFR!BA23,1%+EIOPA_RFR!BA23,EIOPA_RFR!BA23*(1%+VLOOKUP($B18,Int_Rate_Param,2,FALSE))))</f>
        <v>3.6080000000000001E-2</v>
      </c>
      <c r="BB18" s="94">
        <f>IF($B18&gt;20,IF(EIOPA_RFR!BB23*(1%+VLOOKUP($B$27,Int_Rate_Param,2,FALSE))&lt;1%+EIOPA_RFR!BB23,1%+EIOPA_RFR!BB23,EIOPA_RFR!BB23*(1%+VLOOKUP($B$27,Int_Rate_Param,2,FALSE))),IF(EIOPA_RFR!BB23*(1%+VLOOKUP($B18,Int_Rate_Param,2,FALSE))&lt;1%+EIOPA_RFR!BB23,1%+EIOPA_RFR!BB23,EIOPA_RFR!BB23*(1%+VLOOKUP($B18,Int_Rate_Param,2,FALSE))))</f>
        <v>0.11403999999999999</v>
      </c>
      <c r="BC18" s="94">
        <f>IF($B18&gt;20,IF(EIOPA_RFR!BC23*(1%+VLOOKUP($B$27,Int_Rate_Param,2,FALSE))&lt;1%+EIOPA_RFR!BC23,1%+EIOPA_RFR!BC23,EIOPA_RFR!BC23*(1%+VLOOKUP($B$27,Int_Rate_Param,2,FALSE))),IF(EIOPA_RFR!BC23*(1%+VLOOKUP($B18,Int_Rate_Param,2,FALSE))&lt;1%+EIOPA_RFR!BC23,1%+EIOPA_RFR!BC23,EIOPA_RFR!BC23*(1%+VLOOKUP($B18,Int_Rate_Param,2,FALSE))))</f>
        <v>3.3110000000000001E-2</v>
      </c>
    </row>
    <row r="19" spans="1:55" x14ac:dyDescent="0.25">
      <c r="A19">
        <f t="shared" si="0"/>
        <v>14</v>
      </c>
      <c r="B19" s="95">
        <v>12</v>
      </c>
      <c r="C19" s="94">
        <f>IF($B19&gt;20,IF(EIOPA_RFR!C24*(1%+VLOOKUP($B$27,Int_Rate_Param,2,FALSE))&lt;1%+EIOPA_RFR!C24,1%+EIOPA_RFR!C24,EIOPA_RFR!C24*(1%+VLOOKUP($B$27,Int_Rate_Param,2,FALSE))),IF(EIOPA_RFR!C24*(1%+VLOOKUP($B19,Int_Rate_Param,2,FALSE))&lt;1%+EIOPA_RFR!C24,1%+EIOPA_RFR!C24,EIOPA_RFR!C24*(1%+VLOOKUP($B19,Int_Rate_Param,2,FALSE))))</f>
        <v>1.8710000000000001E-2</v>
      </c>
      <c r="D19" s="94">
        <f>IF($B19&gt;20,IF(EIOPA_RFR!D24*(1%+VLOOKUP($B$27,Int_Rate_Param,2,FALSE))&lt;1%+EIOPA_RFR!D24,1%+EIOPA_RFR!D24,EIOPA_RFR!D24*(1%+VLOOKUP($B$27,Int_Rate_Param,2,FALSE))),IF(EIOPA_RFR!D24*(1%+VLOOKUP($B19,Int_Rate_Param,2,FALSE))&lt;1%+EIOPA_RFR!D24,1%+EIOPA_RFR!D24,EIOPA_RFR!D24*(1%+VLOOKUP($B19,Int_Rate_Param,2,FALSE))))</f>
        <v>1.8710000000000001E-2</v>
      </c>
      <c r="E19" s="94">
        <f>IF($B19&gt;20,IF(EIOPA_RFR!E24*(1%+VLOOKUP($B$27,Int_Rate_Param,2,FALSE))&lt;1%+EIOPA_RFR!E24,1%+EIOPA_RFR!E24,EIOPA_RFR!E24*(1%+VLOOKUP($B$27,Int_Rate_Param,2,FALSE))),IF(EIOPA_RFR!E24*(1%+VLOOKUP($B19,Int_Rate_Param,2,FALSE))&lt;1%+EIOPA_RFR!E24,1%+EIOPA_RFR!E24,EIOPA_RFR!E24*(1%+VLOOKUP($B19,Int_Rate_Param,2,FALSE))))</f>
        <v>1.8710000000000001E-2</v>
      </c>
      <c r="F19" s="94">
        <f>IF($B19&gt;20,IF(EIOPA_RFR!F24*(1%+VLOOKUP($B$27,Int_Rate_Param,2,FALSE))&lt;1%+EIOPA_RFR!F24,1%+EIOPA_RFR!F24,EIOPA_RFR!F24*(1%+VLOOKUP($B$27,Int_Rate_Param,2,FALSE))),IF(EIOPA_RFR!F24*(1%+VLOOKUP($B19,Int_Rate_Param,2,FALSE))&lt;1%+EIOPA_RFR!F24,1%+EIOPA_RFR!F24,EIOPA_RFR!F24*(1%+VLOOKUP($B19,Int_Rate_Param,2,FALSE))))</f>
        <v>1.8189999999999998E-2</v>
      </c>
      <c r="G19" s="94">
        <f>IF($B19&gt;20,IF(EIOPA_RFR!G24*(1%+VLOOKUP($B$27,Int_Rate_Param,2,FALSE))&lt;1%+EIOPA_RFR!G24,1%+EIOPA_RFR!G24,EIOPA_RFR!G24*(1%+VLOOKUP($B$27,Int_Rate_Param,2,FALSE))),IF(EIOPA_RFR!G24*(1%+VLOOKUP($B19,Int_Rate_Param,2,FALSE))&lt;1%+EIOPA_RFR!G24,1%+EIOPA_RFR!G24,EIOPA_RFR!G24*(1%+VLOOKUP($B19,Int_Rate_Param,2,FALSE))))</f>
        <v>4.0340000000000001E-2</v>
      </c>
      <c r="H19" s="94">
        <f>IF($B19&gt;20,IF(EIOPA_RFR!H24*(1%+VLOOKUP($B$27,Int_Rate_Param,2,FALSE))&lt;1%+EIOPA_RFR!H24,1%+EIOPA_RFR!H24,EIOPA_RFR!H24*(1%+VLOOKUP($B$27,Int_Rate_Param,2,FALSE))),IF(EIOPA_RFR!H24*(1%+VLOOKUP($B19,Int_Rate_Param,2,FALSE))&lt;1%+EIOPA_RFR!H24,1%+EIOPA_RFR!H24,EIOPA_RFR!H24*(1%+VLOOKUP($B19,Int_Rate_Param,2,FALSE))))</f>
        <v>1.8710000000000001E-2</v>
      </c>
      <c r="I19" s="94">
        <f>IF($B19&gt;20,IF(EIOPA_RFR!I24*(1%+VLOOKUP($B$27,Int_Rate_Param,2,FALSE))&lt;1%+EIOPA_RFR!I24,1%+EIOPA_RFR!I24,EIOPA_RFR!I24*(1%+VLOOKUP($B$27,Int_Rate_Param,2,FALSE))),IF(EIOPA_RFR!I24*(1%+VLOOKUP($B19,Int_Rate_Param,2,FALSE))&lt;1%+EIOPA_RFR!I24,1%+EIOPA_RFR!I24,EIOPA_RFR!I24*(1%+VLOOKUP($B19,Int_Rate_Param,2,FALSE))))</f>
        <v>2.1350000000000001E-2</v>
      </c>
      <c r="J19" s="94">
        <f>IF($B19&gt;20,IF(EIOPA_RFR!J24*(1%+VLOOKUP($B$27,Int_Rate_Param,2,FALSE))&lt;1%+EIOPA_RFR!J24,1%+EIOPA_RFR!J24,EIOPA_RFR!J24*(1%+VLOOKUP($B$27,Int_Rate_Param,2,FALSE))),IF(EIOPA_RFR!J24*(1%+VLOOKUP($B19,Int_Rate_Param,2,FALSE))&lt;1%+EIOPA_RFR!J24,1%+EIOPA_RFR!J24,EIOPA_RFR!J24*(1%+VLOOKUP($B19,Int_Rate_Param,2,FALSE))))</f>
        <v>1.8599999999999998E-2</v>
      </c>
      <c r="K19" s="94">
        <f>IF($B19&gt;20,IF(EIOPA_RFR!K24*(1%+VLOOKUP($B$27,Int_Rate_Param,2,FALSE))&lt;1%+EIOPA_RFR!K24,1%+EIOPA_RFR!K24,EIOPA_RFR!K24*(1%+VLOOKUP($B$27,Int_Rate_Param,2,FALSE))),IF(EIOPA_RFR!K24*(1%+VLOOKUP($B19,Int_Rate_Param,2,FALSE))&lt;1%+EIOPA_RFR!K24,1%+EIOPA_RFR!K24,EIOPA_RFR!K24*(1%+VLOOKUP($B19,Int_Rate_Param,2,FALSE))))</f>
        <v>1.8710000000000001E-2</v>
      </c>
      <c r="L19" s="94">
        <f>IF($B19&gt;20,IF(EIOPA_RFR!L24*(1%+VLOOKUP($B$27,Int_Rate_Param,2,FALSE))&lt;1%+EIOPA_RFR!L24,1%+EIOPA_RFR!L24,EIOPA_RFR!L24*(1%+VLOOKUP($B$27,Int_Rate_Param,2,FALSE))),IF(EIOPA_RFR!L24*(1%+VLOOKUP($B19,Int_Rate_Param,2,FALSE))&lt;1%+EIOPA_RFR!L24,1%+EIOPA_RFR!L24,EIOPA_RFR!L24*(1%+VLOOKUP($B19,Int_Rate_Param,2,FALSE))))</f>
        <v>1.8710000000000001E-2</v>
      </c>
      <c r="M19" s="94">
        <f>IF($B19&gt;20,IF(EIOPA_RFR!M24*(1%+VLOOKUP($B$27,Int_Rate_Param,2,FALSE))&lt;1%+EIOPA_RFR!M24,1%+EIOPA_RFR!M24,EIOPA_RFR!M24*(1%+VLOOKUP($B$27,Int_Rate_Param,2,FALSE))),IF(EIOPA_RFR!M24*(1%+VLOOKUP($B19,Int_Rate_Param,2,FALSE))&lt;1%+EIOPA_RFR!M24,1%+EIOPA_RFR!M24,EIOPA_RFR!M24*(1%+VLOOKUP($B19,Int_Rate_Param,2,FALSE))))</f>
        <v>1.8710000000000001E-2</v>
      </c>
      <c r="N19" s="94">
        <f>IF($B19&gt;20,IF(EIOPA_RFR!N24*(1%+VLOOKUP($B$27,Int_Rate_Param,2,FALSE))&lt;1%+EIOPA_RFR!N24,1%+EIOPA_RFR!N24,EIOPA_RFR!N24*(1%+VLOOKUP($B$27,Int_Rate_Param,2,FALSE))),IF(EIOPA_RFR!N24*(1%+VLOOKUP($B19,Int_Rate_Param,2,FALSE))&lt;1%+EIOPA_RFR!N24,1%+EIOPA_RFR!N24,EIOPA_RFR!N24*(1%+VLOOKUP($B19,Int_Rate_Param,2,FALSE))))</f>
        <v>1.8710000000000001E-2</v>
      </c>
      <c r="O19" s="94">
        <f>IF($B19&gt;20,IF(EIOPA_RFR!O24*(1%+VLOOKUP($B$27,Int_Rate_Param,2,FALSE))&lt;1%+EIOPA_RFR!O24,1%+EIOPA_RFR!O24,EIOPA_RFR!O24*(1%+VLOOKUP($B$27,Int_Rate_Param,2,FALSE))),IF(EIOPA_RFR!O24*(1%+VLOOKUP($B19,Int_Rate_Param,2,FALSE))&lt;1%+EIOPA_RFR!O24,1%+EIOPA_RFR!O24,EIOPA_RFR!O24*(1%+VLOOKUP($B19,Int_Rate_Param,2,FALSE))))</f>
        <v>1.8710000000000001E-2</v>
      </c>
      <c r="P19" s="94">
        <f>IF($B19&gt;20,IF(EIOPA_RFR!P24*(1%+VLOOKUP($B$27,Int_Rate_Param,2,FALSE))&lt;1%+EIOPA_RFR!P24,1%+EIOPA_RFR!P24,EIOPA_RFR!P24*(1%+VLOOKUP($B$27,Int_Rate_Param,2,FALSE))),IF(EIOPA_RFR!P24*(1%+VLOOKUP($B19,Int_Rate_Param,2,FALSE))&lt;1%+EIOPA_RFR!P24,1%+EIOPA_RFR!P24,EIOPA_RFR!P24*(1%+VLOOKUP($B19,Int_Rate_Param,2,FALSE))))</f>
        <v>4.4760000000000001E-2</v>
      </c>
      <c r="Q19" s="94">
        <f>IF($B19&gt;20,IF(EIOPA_RFR!Q24*(1%+VLOOKUP($B$27,Int_Rate_Param,2,FALSE))&lt;1%+EIOPA_RFR!Q24,1%+EIOPA_RFR!Q24,EIOPA_RFR!Q24*(1%+VLOOKUP($B$27,Int_Rate_Param,2,FALSE))),IF(EIOPA_RFR!Q24*(1%+VLOOKUP($B19,Int_Rate_Param,2,FALSE))&lt;1%+EIOPA_RFR!Q24,1%+EIOPA_RFR!Q24,EIOPA_RFR!Q24*(1%+VLOOKUP($B19,Int_Rate_Param,2,FALSE))))</f>
        <v>5.7340000000000002E-2</v>
      </c>
      <c r="R19" s="94">
        <f>IF($B19&gt;20,IF(EIOPA_RFR!R24*(1%+VLOOKUP($B$27,Int_Rate_Param,2,FALSE))&lt;1%+EIOPA_RFR!R24,1%+EIOPA_RFR!R24,EIOPA_RFR!R24*(1%+VLOOKUP($B$27,Int_Rate_Param,2,FALSE))),IF(EIOPA_RFR!R24*(1%+VLOOKUP($B19,Int_Rate_Param,2,FALSE))&lt;1%+EIOPA_RFR!R24,1%+EIOPA_RFR!R24,EIOPA_RFR!R24*(1%+VLOOKUP($B19,Int_Rate_Param,2,FALSE))))</f>
        <v>1.8710000000000001E-2</v>
      </c>
      <c r="S19" s="94">
        <f>IF($B19&gt;20,IF(EIOPA_RFR!S24*(1%+VLOOKUP($B$27,Int_Rate_Param,2,FALSE))&lt;1%+EIOPA_RFR!S24,1%+EIOPA_RFR!S24,EIOPA_RFR!S24*(1%+VLOOKUP($B$27,Int_Rate_Param,2,FALSE))),IF(EIOPA_RFR!S24*(1%+VLOOKUP($B19,Int_Rate_Param,2,FALSE))&lt;1%+EIOPA_RFR!S24,1%+EIOPA_RFR!S24,EIOPA_RFR!S24*(1%+VLOOKUP($B19,Int_Rate_Param,2,FALSE))))</f>
        <v>1.8710000000000001E-2</v>
      </c>
      <c r="T19" s="94">
        <f>IF($B19&gt;20,IF(EIOPA_RFR!T24*(1%+VLOOKUP($B$27,Int_Rate_Param,2,FALSE))&lt;1%+EIOPA_RFR!T24,1%+EIOPA_RFR!T24,EIOPA_RFR!T24*(1%+VLOOKUP($B$27,Int_Rate_Param,2,FALSE))),IF(EIOPA_RFR!T24*(1%+VLOOKUP($B19,Int_Rate_Param,2,FALSE))&lt;1%+EIOPA_RFR!T24,1%+EIOPA_RFR!T24,EIOPA_RFR!T24*(1%+VLOOKUP($B19,Int_Rate_Param,2,FALSE))))</f>
        <v>1.8710000000000001E-2</v>
      </c>
      <c r="U19" s="94">
        <f>IF($B19&gt;20,IF(EIOPA_RFR!U24*(1%+VLOOKUP($B$27,Int_Rate_Param,2,FALSE))&lt;1%+EIOPA_RFR!U24,1%+EIOPA_RFR!U24,EIOPA_RFR!U24*(1%+VLOOKUP($B$27,Int_Rate_Param,2,FALSE))),IF(EIOPA_RFR!U24*(1%+VLOOKUP($B19,Int_Rate_Param,2,FALSE))&lt;1%+EIOPA_RFR!U24,1%+EIOPA_RFR!U24,EIOPA_RFR!U24*(1%+VLOOKUP($B19,Int_Rate_Param,2,FALSE))))</f>
        <v>1.158E-2</v>
      </c>
      <c r="V19" s="94">
        <f>IF($B19&gt;20,IF(EIOPA_RFR!V24*(1%+VLOOKUP($B$27,Int_Rate_Param,2,FALSE))&lt;1%+EIOPA_RFR!V24,1%+EIOPA_RFR!V24,EIOPA_RFR!V24*(1%+VLOOKUP($B$27,Int_Rate_Param,2,FALSE))),IF(EIOPA_RFR!V24*(1%+VLOOKUP($B19,Int_Rate_Param,2,FALSE))&lt;1%+EIOPA_RFR!V24,1%+EIOPA_RFR!V24,EIOPA_RFR!V24*(1%+VLOOKUP($B19,Int_Rate_Param,2,FALSE))))</f>
        <v>1.8710000000000001E-2</v>
      </c>
      <c r="W19" s="94">
        <f>IF($B19&gt;20,IF(EIOPA_RFR!W24*(1%+VLOOKUP($B$27,Int_Rate_Param,2,FALSE))&lt;1%+EIOPA_RFR!W24,1%+EIOPA_RFR!W24,EIOPA_RFR!W24*(1%+VLOOKUP($B$27,Int_Rate_Param,2,FALSE))),IF(EIOPA_RFR!W24*(1%+VLOOKUP($B19,Int_Rate_Param,2,FALSE))&lt;1%+EIOPA_RFR!W24,1%+EIOPA_RFR!W24,EIOPA_RFR!W24*(1%+VLOOKUP($B19,Int_Rate_Param,2,FALSE))))</f>
        <v>1.8710000000000001E-2</v>
      </c>
      <c r="X19" s="94">
        <f>IF($B19&gt;20,IF(EIOPA_RFR!X24*(1%+VLOOKUP($B$27,Int_Rate_Param,2,FALSE))&lt;1%+EIOPA_RFR!X24,1%+EIOPA_RFR!X24,EIOPA_RFR!X24*(1%+VLOOKUP($B$27,Int_Rate_Param,2,FALSE))),IF(EIOPA_RFR!X24*(1%+VLOOKUP($B19,Int_Rate_Param,2,FALSE))&lt;1%+EIOPA_RFR!X24,1%+EIOPA_RFR!X24,EIOPA_RFR!X24*(1%+VLOOKUP($B19,Int_Rate_Param,2,FALSE))))</f>
        <v>1.8710000000000001E-2</v>
      </c>
      <c r="Y19" s="94">
        <f>IF($B19&gt;20,IF(EIOPA_RFR!Y24*(1%+VLOOKUP($B$27,Int_Rate_Param,2,FALSE))&lt;1%+EIOPA_RFR!Y24,1%+EIOPA_RFR!Y24,EIOPA_RFR!Y24*(1%+VLOOKUP($B$27,Int_Rate_Param,2,FALSE))),IF(EIOPA_RFR!Y24*(1%+VLOOKUP($B19,Int_Rate_Param,2,FALSE))&lt;1%+EIOPA_RFR!Y24,1%+EIOPA_RFR!Y24,EIOPA_RFR!Y24*(1%+VLOOKUP($B19,Int_Rate_Param,2,FALSE))))</f>
        <v>1.8710000000000001E-2</v>
      </c>
      <c r="Z19" s="94">
        <f>IF($B19&gt;20,IF(EIOPA_RFR!Z24*(1%+VLOOKUP($B$27,Int_Rate_Param,2,FALSE))&lt;1%+EIOPA_RFR!Z24,1%+EIOPA_RFR!Z24,EIOPA_RFR!Z24*(1%+VLOOKUP($B$27,Int_Rate_Param,2,FALSE))),IF(EIOPA_RFR!Z24*(1%+VLOOKUP($B19,Int_Rate_Param,2,FALSE))&lt;1%+EIOPA_RFR!Z24,1%+EIOPA_RFR!Z24,EIOPA_RFR!Z24*(1%+VLOOKUP($B19,Int_Rate_Param,2,FALSE))))</f>
        <v>2.98E-2</v>
      </c>
      <c r="AA19" s="94">
        <f>IF($B19&gt;20,IF(EIOPA_RFR!AA24*(1%+VLOOKUP($B$27,Int_Rate_Param,2,FALSE))&lt;1%+EIOPA_RFR!AA24,1%+EIOPA_RFR!AA24,EIOPA_RFR!AA24*(1%+VLOOKUP($B$27,Int_Rate_Param,2,FALSE))),IF(EIOPA_RFR!AA24*(1%+VLOOKUP($B19,Int_Rate_Param,2,FALSE))&lt;1%+EIOPA_RFR!AA24,1%+EIOPA_RFR!AA24,EIOPA_RFR!AA24*(1%+VLOOKUP($B19,Int_Rate_Param,2,FALSE))))</f>
        <v>4.5290000000000004E-2</v>
      </c>
      <c r="AB19" s="94">
        <f>IF($B19&gt;20,IF(EIOPA_RFR!AB24*(1%+VLOOKUP($B$27,Int_Rate_Param,2,FALSE))&lt;1%+EIOPA_RFR!AB24,1%+EIOPA_RFR!AB24,EIOPA_RFR!AB24*(1%+VLOOKUP($B$27,Int_Rate_Param,2,FALSE))),IF(EIOPA_RFR!AB24*(1%+VLOOKUP($B19,Int_Rate_Param,2,FALSE))&lt;1%+EIOPA_RFR!AB24,1%+EIOPA_RFR!AB24,EIOPA_RFR!AB24*(1%+VLOOKUP($B19,Int_Rate_Param,2,FALSE))))</f>
        <v>1.8710000000000001E-2</v>
      </c>
      <c r="AC19" s="94">
        <f>IF($B19&gt;20,IF(EIOPA_RFR!AC24*(1%+VLOOKUP($B$27,Int_Rate_Param,2,FALSE))&lt;1%+EIOPA_RFR!AC24,1%+EIOPA_RFR!AC24,EIOPA_RFR!AC24*(1%+VLOOKUP($B$27,Int_Rate_Param,2,FALSE))),IF(EIOPA_RFR!AC24*(1%+VLOOKUP($B19,Int_Rate_Param,2,FALSE))&lt;1%+EIOPA_RFR!AC24,1%+EIOPA_RFR!AC24,EIOPA_RFR!AC24*(1%+VLOOKUP($B19,Int_Rate_Param,2,FALSE))))</f>
        <v>5.0770000000000003E-2</v>
      </c>
      <c r="AD19" s="94">
        <f>IF($B19&gt;20,IF(EIOPA_RFR!AD24*(1%+VLOOKUP($B$27,Int_Rate_Param,2,FALSE))&lt;1%+EIOPA_RFR!AD24,1%+EIOPA_RFR!AD24,EIOPA_RFR!AD24*(1%+VLOOKUP($B$27,Int_Rate_Param,2,FALSE))),IF(EIOPA_RFR!AD24*(1%+VLOOKUP($B19,Int_Rate_Param,2,FALSE))&lt;1%+EIOPA_RFR!AD24,1%+EIOPA_RFR!AD24,EIOPA_RFR!AD24*(1%+VLOOKUP($B19,Int_Rate_Param,2,FALSE))))</f>
        <v>8.471999999999999E-2</v>
      </c>
      <c r="AE19" s="94">
        <f>IF($B19&gt;20,IF(EIOPA_RFR!AE24*(1%+VLOOKUP($B$27,Int_Rate_Param,2,FALSE))&lt;1%+EIOPA_RFR!AE24,1%+EIOPA_RFR!AE24,EIOPA_RFR!AE24*(1%+VLOOKUP($B$27,Int_Rate_Param,2,FALSE))),IF(EIOPA_RFR!AE24*(1%+VLOOKUP($B19,Int_Rate_Param,2,FALSE))&lt;1%+EIOPA_RFR!AE24,1%+EIOPA_RFR!AE24,EIOPA_RFR!AE24*(1%+VLOOKUP($B19,Int_Rate_Param,2,FALSE))))</f>
        <v>1.8710000000000001E-2</v>
      </c>
      <c r="AF19" s="94">
        <f>IF($B19&gt;20,IF(EIOPA_RFR!AF24*(1%+VLOOKUP($B$27,Int_Rate_Param,2,FALSE))&lt;1%+EIOPA_RFR!AF24,1%+EIOPA_RFR!AF24,EIOPA_RFR!AF24*(1%+VLOOKUP($B$27,Int_Rate_Param,2,FALSE))),IF(EIOPA_RFR!AF24*(1%+VLOOKUP($B19,Int_Rate_Param,2,FALSE))&lt;1%+EIOPA_RFR!AF24,1%+EIOPA_RFR!AF24,EIOPA_RFR!AF24*(1%+VLOOKUP($B19,Int_Rate_Param,2,FALSE))))</f>
        <v>1.8710000000000001E-2</v>
      </c>
      <c r="AG19" s="94">
        <f>IF($B19&gt;20,IF(EIOPA_RFR!AG24*(1%+VLOOKUP($B$27,Int_Rate_Param,2,FALSE))&lt;1%+EIOPA_RFR!AG24,1%+EIOPA_RFR!AG24,EIOPA_RFR!AG24*(1%+VLOOKUP($B$27,Int_Rate_Param,2,FALSE))),IF(EIOPA_RFR!AG24*(1%+VLOOKUP($B19,Int_Rate_Param,2,FALSE))&lt;1%+EIOPA_RFR!AG24,1%+EIOPA_RFR!AG24,EIOPA_RFR!AG24*(1%+VLOOKUP($B19,Int_Rate_Param,2,FALSE))))</f>
        <v>1.8710000000000001E-2</v>
      </c>
      <c r="AH19" s="94">
        <f>IF($B19&gt;20,IF(EIOPA_RFR!AH24*(1%+VLOOKUP($B$27,Int_Rate_Param,2,FALSE))&lt;1%+EIOPA_RFR!AH24,1%+EIOPA_RFR!AH24,EIOPA_RFR!AH24*(1%+VLOOKUP($B$27,Int_Rate_Param,2,FALSE))),IF(EIOPA_RFR!AH24*(1%+VLOOKUP($B19,Int_Rate_Param,2,FALSE))&lt;1%+EIOPA_RFR!AH24,1%+EIOPA_RFR!AH24,EIOPA_RFR!AH24*(1%+VLOOKUP($B19,Int_Rate_Param,2,FALSE))))</f>
        <v>2.3699999999999999E-2</v>
      </c>
      <c r="AI19" s="94">
        <f>IF($B19&gt;20,IF(EIOPA_RFR!AI24*(1%+VLOOKUP($B$27,Int_Rate_Param,2,FALSE))&lt;1%+EIOPA_RFR!AI24,1%+EIOPA_RFR!AI24,EIOPA_RFR!AI24*(1%+VLOOKUP($B$27,Int_Rate_Param,2,FALSE))),IF(EIOPA_RFR!AI24*(1%+VLOOKUP($B19,Int_Rate_Param,2,FALSE))&lt;1%+EIOPA_RFR!AI24,1%+EIOPA_RFR!AI24,EIOPA_RFR!AI24*(1%+VLOOKUP($B19,Int_Rate_Param,2,FALSE))))</f>
        <v>1.158E-2</v>
      </c>
      <c r="AJ19" s="94">
        <f>IF($B19&gt;20,IF(EIOPA_RFR!AJ24*(1%+VLOOKUP($B$27,Int_Rate_Param,2,FALSE))&lt;1%+EIOPA_RFR!AJ24,1%+EIOPA_RFR!AJ24,EIOPA_RFR!AJ24*(1%+VLOOKUP($B$27,Int_Rate_Param,2,FALSE))),IF(EIOPA_RFR!AJ24*(1%+VLOOKUP($B19,Int_Rate_Param,2,FALSE))&lt;1%+EIOPA_RFR!AJ24,1%+EIOPA_RFR!AJ24,EIOPA_RFR!AJ24*(1%+VLOOKUP($B19,Int_Rate_Param,2,FALSE))))</f>
        <v>2.1409999999999998E-2</v>
      </c>
      <c r="AK19" s="94">
        <f>IF($B19&gt;20,IF(EIOPA_RFR!AK24*(1%+VLOOKUP($B$27,Int_Rate_Param,2,FALSE))&lt;1%+EIOPA_RFR!AK24,1%+EIOPA_RFR!AK24,EIOPA_RFR!AK24*(1%+VLOOKUP($B$27,Int_Rate_Param,2,FALSE))),IF(EIOPA_RFR!AK24*(1%+VLOOKUP($B19,Int_Rate_Param,2,FALSE))&lt;1%+EIOPA_RFR!AK24,1%+EIOPA_RFR!AK24,EIOPA_RFR!AK24*(1%+VLOOKUP($B19,Int_Rate_Param,2,FALSE))))</f>
        <v>3.9629999999999999E-2</v>
      </c>
      <c r="AL19" s="94">
        <f>IF($B19&gt;20,IF(EIOPA_RFR!AL24*(1%+VLOOKUP($B$27,Int_Rate_Param,2,FALSE))&lt;1%+EIOPA_RFR!AL24,1%+EIOPA_RFR!AL24,EIOPA_RFR!AL24*(1%+VLOOKUP($B$27,Int_Rate_Param,2,FALSE))),IF(EIOPA_RFR!AL24*(1%+VLOOKUP($B19,Int_Rate_Param,2,FALSE))&lt;1%+EIOPA_RFR!AL24,1%+EIOPA_RFR!AL24,EIOPA_RFR!AL24*(1%+VLOOKUP($B19,Int_Rate_Param,2,FALSE))))</f>
        <v>0.10307999999999999</v>
      </c>
      <c r="AM19" s="94">
        <f>IF($B19&gt;20,IF(EIOPA_RFR!AM24*(1%+VLOOKUP($B$27,Int_Rate_Param,2,FALSE))&lt;1%+EIOPA_RFR!AM24,1%+EIOPA_RFR!AM24,EIOPA_RFR!AM24*(1%+VLOOKUP($B$27,Int_Rate_Param,2,FALSE))),IF(EIOPA_RFR!AM24*(1%+VLOOKUP($B19,Int_Rate_Param,2,FALSE))&lt;1%+EIOPA_RFR!AM24,1%+EIOPA_RFR!AM24,EIOPA_RFR!AM24*(1%+VLOOKUP($B19,Int_Rate_Param,2,FALSE))))</f>
        <v>2.9019999999999997E-2</v>
      </c>
      <c r="AN19" s="94">
        <f>IF($B19&gt;20,IF(EIOPA_RFR!AN24*(1%+VLOOKUP($B$27,Int_Rate_Param,2,FALSE))&lt;1%+EIOPA_RFR!AN24,1%+EIOPA_RFR!AN24,EIOPA_RFR!AN24*(1%+VLOOKUP($B$27,Int_Rate_Param,2,FALSE))),IF(EIOPA_RFR!AN24*(1%+VLOOKUP($B19,Int_Rate_Param,2,FALSE))&lt;1%+EIOPA_RFR!AN24,1%+EIOPA_RFR!AN24,EIOPA_RFR!AN24*(1%+VLOOKUP($B19,Int_Rate_Param,2,FALSE))))</f>
        <v>5.0560000000000001E-2</v>
      </c>
      <c r="AO19" s="94">
        <f>IF($B19&gt;20,IF(EIOPA_RFR!AO24*(1%+VLOOKUP($B$27,Int_Rate_Param,2,FALSE))&lt;1%+EIOPA_RFR!AO24,1%+EIOPA_RFR!AO24,EIOPA_RFR!AO24*(1%+VLOOKUP($B$27,Int_Rate_Param,2,FALSE))),IF(EIOPA_RFR!AO24*(1%+VLOOKUP($B19,Int_Rate_Param,2,FALSE))&lt;1%+EIOPA_RFR!AO24,1%+EIOPA_RFR!AO24,EIOPA_RFR!AO24*(1%+VLOOKUP($B19,Int_Rate_Param,2,FALSE))))</f>
        <v>5.314E-2</v>
      </c>
      <c r="AP19" s="94">
        <f>IF($B19&gt;20,IF(EIOPA_RFR!AP24*(1%+VLOOKUP($B$27,Int_Rate_Param,2,FALSE))&lt;1%+EIOPA_RFR!AP24,1%+EIOPA_RFR!AP24,EIOPA_RFR!AP24*(1%+VLOOKUP($B$27,Int_Rate_Param,2,FALSE))),IF(EIOPA_RFR!AP24*(1%+VLOOKUP($B19,Int_Rate_Param,2,FALSE))&lt;1%+EIOPA_RFR!AP24,1%+EIOPA_RFR!AP24,EIOPA_RFR!AP24*(1%+VLOOKUP($B19,Int_Rate_Param,2,FALSE))))</f>
        <v>7.3119999999999991E-2</v>
      </c>
      <c r="AQ19" s="94">
        <f>IF($B19&gt;20,IF(EIOPA_RFR!AQ24*(1%+VLOOKUP($B$27,Int_Rate_Param,2,FALSE))&lt;1%+EIOPA_RFR!AQ24,1%+EIOPA_RFR!AQ24,EIOPA_RFR!AQ24*(1%+VLOOKUP($B$27,Int_Rate_Param,2,FALSE))),IF(EIOPA_RFR!AQ24*(1%+VLOOKUP($B19,Int_Rate_Param,2,FALSE))&lt;1%+EIOPA_RFR!AQ24,1%+EIOPA_RFR!AQ24,EIOPA_RFR!AQ24*(1%+VLOOKUP($B19,Int_Rate_Param,2,FALSE))))</f>
        <v>3.313E-2</v>
      </c>
      <c r="AR19" s="94">
        <f>IF($B19&gt;20,IF(EIOPA_RFR!AR24*(1%+VLOOKUP($B$27,Int_Rate_Param,2,FALSE))&lt;1%+EIOPA_RFR!AR24,1%+EIOPA_RFR!AR24,EIOPA_RFR!AR24*(1%+VLOOKUP($B$27,Int_Rate_Param,2,FALSE))),IF(EIOPA_RFR!AR24*(1%+VLOOKUP($B19,Int_Rate_Param,2,FALSE))&lt;1%+EIOPA_RFR!AR24,1%+EIOPA_RFR!AR24,EIOPA_RFR!AR24*(1%+VLOOKUP($B19,Int_Rate_Param,2,FALSE))))</f>
        <v>7.868E-2</v>
      </c>
      <c r="AS19" s="94">
        <f>IF($B19&gt;20,IF(EIOPA_RFR!AS24*(1%+VLOOKUP($B$27,Int_Rate_Param,2,FALSE))&lt;1%+EIOPA_RFR!AS24,1%+EIOPA_RFR!AS24,EIOPA_RFR!AS24*(1%+VLOOKUP($B$27,Int_Rate_Param,2,FALSE))),IF(EIOPA_RFR!AS24*(1%+VLOOKUP($B19,Int_Rate_Param,2,FALSE))&lt;1%+EIOPA_RFR!AS24,1%+EIOPA_RFR!AS24,EIOPA_RFR!AS24*(1%+VLOOKUP($B19,Int_Rate_Param,2,FALSE))))</f>
        <v>1.251E-2</v>
      </c>
      <c r="AT19" s="94">
        <f>IF($B19&gt;20,IF(EIOPA_RFR!AT24*(1%+VLOOKUP($B$27,Int_Rate_Param,2,FALSE))&lt;1%+EIOPA_RFR!AT24,1%+EIOPA_RFR!AT24,EIOPA_RFR!AT24*(1%+VLOOKUP($B$27,Int_Rate_Param,2,FALSE))),IF(EIOPA_RFR!AT24*(1%+VLOOKUP($B19,Int_Rate_Param,2,FALSE))&lt;1%+EIOPA_RFR!AT24,1%+EIOPA_RFR!AT24,EIOPA_RFR!AT24*(1%+VLOOKUP($B19,Int_Rate_Param,2,FALSE))))</f>
        <v>5.0770000000000003E-2</v>
      </c>
      <c r="AU19" s="94">
        <f>IF($B19&gt;20,IF(EIOPA_RFR!AU24*(1%+VLOOKUP($B$27,Int_Rate_Param,2,FALSE))&lt;1%+EIOPA_RFR!AU24,1%+EIOPA_RFR!AU24,EIOPA_RFR!AU24*(1%+VLOOKUP($B$27,Int_Rate_Param,2,FALSE))),IF(EIOPA_RFR!AU24*(1%+VLOOKUP($B19,Int_Rate_Param,2,FALSE))&lt;1%+EIOPA_RFR!AU24,1%+EIOPA_RFR!AU24,EIOPA_RFR!AU24*(1%+VLOOKUP($B19,Int_Rate_Param,2,FALSE))))</f>
        <v>8.5129999999999997E-2</v>
      </c>
      <c r="AV19" s="94">
        <f>IF($B19&gt;20,IF(EIOPA_RFR!AV24*(1%+VLOOKUP($B$27,Int_Rate_Param,2,FALSE))&lt;1%+EIOPA_RFR!AV24,1%+EIOPA_RFR!AV24,EIOPA_RFR!AV24*(1%+VLOOKUP($B$27,Int_Rate_Param,2,FALSE))),IF(EIOPA_RFR!AV24*(1%+VLOOKUP($B19,Int_Rate_Param,2,FALSE))&lt;1%+EIOPA_RFR!AV24,1%+EIOPA_RFR!AV24,EIOPA_RFR!AV24*(1%+VLOOKUP($B19,Int_Rate_Param,2,FALSE))))</f>
        <v>4.462E-2</v>
      </c>
      <c r="AW19" s="94">
        <f>IF($B19&gt;20,IF(EIOPA_RFR!AW24*(1%+VLOOKUP($B$27,Int_Rate_Param,2,FALSE))&lt;1%+EIOPA_RFR!AW24,1%+EIOPA_RFR!AW24,EIOPA_RFR!AW24*(1%+VLOOKUP($B$27,Int_Rate_Param,2,FALSE))),IF(EIOPA_RFR!AW24*(1%+VLOOKUP($B19,Int_Rate_Param,2,FALSE))&lt;1%+EIOPA_RFR!AW24,1%+EIOPA_RFR!AW24,EIOPA_RFR!AW24*(1%+VLOOKUP($B19,Int_Rate_Param,2,FALSE))))</f>
        <v>3.4959999999999998E-2</v>
      </c>
      <c r="AX19" s="94">
        <f>IF($B19&gt;20,IF(EIOPA_RFR!AX24*(1%+VLOOKUP($B$27,Int_Rate_Param,2,FALSE))&lt;1%+EIOPA_RFR!AX24,1%+EIOPA_RFR!AX24,EIOPA_RFR!AX24*(1%+VLOOKUP($B$27,Int_Rate_Param,2,FALSE))),IF(EIOPA_RFR!AX24*(1%+VLOOKUP($B19,Int_Rate_Param,2,FALSE))&lt;1%+EIOPA_RFR!AX24,1%+EIOPA_RFR!AX24,EIOPA_RFR!AX24*(1%+VLOOKUP($B19,Int_Rate_Param,2,FALSE))))</f>
        <v>9.3599999999999989E-2</v>
      </c>
      <c r="AY19" s="94">
        <f>IF($B19&gt;20,IF(EIOPA_RFR!AY24*(1%+VLOOKUP($B$27,Int_Rate_Param,2,FALSE))&lt;1%+EIOPA_RFR!AY24,1%+EIOPA_RFR!AY24,EIOPA_RFR!AY24*(1%+VLOOKUP($B$27,Int_Rate_Param,2,FALSE))),IF(EIOPA_RFR!AY24*(1%+VLOOKUP($B19,Int_Rate_Param,2,FALSE))&lt;1%+EIOPA_RFR!AY24,1%+EIOPA_RFR!AY24,EIOPA_RFR!AY24*(1%+VLOOKUP($B19,Int_Rate_Param,2,FALSE))))</f>
        <v>2.8330000000000001E-2</v>
      </c>
      <c r="AZ19" s="94">
        <f>IF($B19&gt;20,IF(EIOPA_RFR!AZ24*(1%+VLOOKUP($B$27,Int_Rate_Param,2,FALSE))&lt;1%+EIOPA_RFR!AZ24,1%+EIOPA_RFR!AZ24,EIOPA_RFR!AZ24*(1%+VLOOKUP($B$27,Int_Rate_Param,2,FALSE))),IF(EIOPA_RFR!AZ24*(1%+VLOOKUP($B19,Int_Rate_Param,2,FALSE))&lt;1%+EIOPA_RFR!AZ24,1%+EIOPA_RFR!AZ24,EIOPA_RFR!AZ24*(1%+VLOOKUP($B19,Int_Rate_Param,2,FALSE))))</f>
        <v>2.2530000000000001E-2</v>
      </c>
      <c r="BA19" s="94">
        <f>IF($B19&gt;20,IF(EIOPA_RFR!BA24*(1%+VLOOKUP($B$27,Int_Rate_Param,2,FALSE))&lt;1%+EIOPA_RFR!BA24,1%+EIOPA_RFR!BA24,EIOPA_RFR!BA24*(1%+VLOOKUP($B$27,Int_Rate_Param,2,FALSE))),IF(EIOPA_RFR!BA24*(1%+VLOOKUP($B19,Int_Rate_Param,2,FALSE))&lt;1%+EIOPA_RFR!BA24,1%+EIOPA_RFR!BA24,EIOPA_RFR!BA24*(1%+VLOOKUP($B19,Int_Rate_Param,2,FALSE))))</f>
        <v>3.6549999999999999E-2</v>
      </c>
      <c r="BB19" s="94">
        <f>IF($B19&gt;20,IF(EIOPA_RFR!BB24*(1%+VLOOKUP($B$27,Int_Rate_Param,2,FALSE))&lt;1%+EIOPA_RFR!BB24,1%+EIOPA_RFR!BB24,EIOPA_RFR!BB24*(1%+VLOOKUP($B$27,Int_Rate_Param,2,FALSE))),IF(EIOPA_RFR!BB24*(1%+VLOOKUP($B19,Int_Rate_Param,2,FALSE))&lt;1%+EIOPA_RFR!BB24,1%+EIOPA_RFR!BB24,EIOPA_RFR!BB24*(1%+VLOOKUP($B19,Int_Rate_Param,2,FALSE))))</f>
        <v>0.11244</v>
      </c>
      <c r="BC19" s="94">
        <f>IF($B19&gt;20,IF(EIOPA_RFR!BC24*(1%+VLOOKUP($B$27,Int_Rate_Param,2,FALSE))&lt;1%+EIOPA_RFR!BC24,1%+EIOPA_RFR!BC24,EIOPA_RFR!BC24*(1%+VLOOKUP($B$27,Int_Rate_Param,2,FALSE))),IF(EIOPA_RFR!BC24*(1%+VLOOKUP($B19,Int_Rate_Param,2,FALSE))&lt;1%+EIOPA_RFR!BC24,1%+EIOPA_RFR!BC24,EIOPA_RFR!BC24*(1%+VLOOKUP($B19,Int_Rate_Param,2,FALSE))))</f>
        <v>3.3529999999999997E-2</v>
      </c>
    </row>
    <row r="20" spans="1:55" x14ac:dyDescent="0.25">
      <c r="A20">
        <f t="shared" si="0"/>
        <v>15</v>
      </c>
      <c r="B20" s="95">
        <v>13</v>
      </c>
      <c r="C20" s="94">
        <f>IF($B20&gt;20,IF(EIOPA_RFR!C25*(1%+VLOOKUP($B$27,Int_Rate_Param,2,FALSE))&lt;1%+EIOPA_RFR!C25,1%+EIOPA_RFR!C25,EIOPA_RFR!C25*(1%+VLOOKUP($B$27,Int_Rate_Param,2,FALSE))),IF(EIOPA_RFR!C25*(1%+VLOOKUP($B20,Int_Rate_Param,2,FALSE))&lt;1%+EIOPA_RFR!C25,1%+EIOPA_RFR!C25,EIOPA_RFR!C25*(1%+VLOOKUP($B20,Int_Rate_Param,2,FALSE))))</f>
        <v>1.9540000000000002E-2</v>
      </c>
      <c r="D20" s="94">
        <f>IF($B20&gt;20,IF(EIOPA_RFR!D25*(1%+VLOOKUP($B$27,Int_Rate_Param,2,FALSE))&lt;1%+EIOPA_RFR!D25,1%+EIOPA_RFR!D25,EIOPA_RFR!D25*(1%+VLOOKUP($B$27,Int_Rate_Param,2,FALSE))),IF(EIOPA_RFR!D25*(1%+VLOOKUP($B20,Int_Rate_Param,2,FALSE))&lt;1%+EIOPA_RFR!D25,1%+EIOPA_RFR!D25,EIOPA_RFR!D25*(1%+VLOOKUP($B20,Int_Rate_Param,2,FALSE))))</f>
        <v>1.9540000000000002E-2</v>
      </c>
      <c r="E20" s="94">
        <f>IF($B20&gt;20,IF(EIOPA_RFR!E25*(1%+VLOOKUP($B$27,Int_Rate_Param,2,FALSE))&lt;1%+EIOPA_RFR!E25,1%+EIOPA_RFR!E25,EIOPA_RFR!E25*(1%+VLOOKUP($B$27,Int_Rate_Param,2,FALSE))),IF(EIOPA_RFR!E25*(1%+VLOOKUP($B20,Int_Rate_Param,2,FALSE))&lt;1%+EIOPA_RFR!E25,1%+EIOPA_RFR!E25,EIOPA_RFR!E25*(1%+VLOOKUP($B20,Int_Rate_Param,2,FALSE))))</f>
        <v>1.9540000000000002E-2</v>
      </c>
      <c r="F20" s="94">
        <f>IF($B20&gt;20,IF(EIOPA_RFR!F25*(1%+VLOOKUP($B$27,Int_Rate_Param,2,FALSE))&lt;1%+EIOPA_RFR!F25,1%+EIOPA_RFR!F25,EIOPA_RFR!F25*(1%+VLOOKUP($B$27,Int_Rate_Param,2,FALSE))),IF(EIOPA_RFR!F25*(1%+VLOOKUP($B20,Int_Rate_Param,2,FALSE))&lt;1%+EIOPA_RFR!F25,1%+EIOPA_RFR!F25,EIOPA_RFR!F25*(1%+VLOOKUP($B20,Int_Rate_Param,2,FALSE))))</f>
        <v>1.9020000000000002E-2</v>
      </c>
      <c r="G20" s="94">
        <f>IF($B20&gt;20,IF(EIOPA_RFR!G25*(1%+VLOOKUP($B$27,Int_Rate_Param,2,FALSE))&lt;1%+EIOPA_RFR!G25,1%+EIOPA_RFR!G25,EIOPA_RFR!G25*(1%+VLOOKUP($B$27,Int_Rate_Param,2,FALSE))),IF(EIOPA_RFR!G25*(1%+VLOOKUP($B20,Int_Rate_Param,2,FALSE))&lt;1%+EIOPA_RFR!G25,1%+EIOPA_RFR!G25,EIOPA_RFR!G25*(1%+VLOOKUP($B20,Int_Rate_Param,2,FALSE))))</f>
        <v>4.0890000000000003E-2</v>
      </c>
      <c r="H20" s="94">
        <f>IF($B20&gt;20,IF(EIOPA_RFR!H25*(1%+VLOOKUP($B$27,Int_Rate_Param,2,FALSE))&lt;1%+EIOPA_RFR!H25,1%+EIOPA_RFR!H25,EIOPA_RFR!H25*(1%+VLOOKUP($B$27,Int_Rate_Param,2,FALSE))),IF(EIOPA_RFR!H25*(1%+VLOOKUP($B20,Int_Rate_Param,2,FALSE))&lt;1%+EIOPA_RFR!H25,1%+EIOPA_RFR!H25,EIOPA_RFR!H25*(1%+VLOOKUP($B20,Int_Rate_Param,2,FALSE))))</f>
        <v>1.9540000000000002E-2</v>
      </c>
      <c r="I20" s="94">
        <f>IF($B20&gt;20,IF(EIOPA_RFR!I25*(1%+VLOOKUP($B$27,Int_Rate_Param,2,FALSE))&lt;1%+EIOPA_RFR!I25,1%+EIOPA_RFR!I25,EIOPA_RFR!I25*(1%+VLOOKUP($B$27,Int_Rate_Param,2,FALSE))),IF(EIOPA_RFR!I25*(1%+VLOOKUP($B20,Int_Rate_Param,2,FALSE))&lt;1%+EIOPA_RFR!I25,1%+EIOPA_RFR!I25,EIOPA_RFR!I25*(1%+VLOOKUP($B20,Int_Rate_Param,2,FALSE))))</f>
        <v>2.196E-2</v>
      </c>
      <c r="J20" s="94">
        <f>IF($B20&gt;20,IF(EIOPA_RFR!J25*(1%+VLOOKUP($B$27,Int_Rate_Param,2,FALSE))&lt;1%+EIOPA_RFR!J25,1%+EIOPA_RFR!J25,EIOPA_RFR!J25*(1%+VLOOKUP($B$27,Int_Rate_Param,2,FALSE))),IF(EIOPA_RFR!J25*(1%+VLOOKUP($B20,Int_Rate_Param,2,FALSE))&lt;1%+EIOPA_RFR!J25,1%+EIOPA_RFR!J25,EIOPA_RFR!J25*(1%+VLOOKUP($B20,Int_Rate_Param,2,FALSE))))</f>
        <v>1.9439999999999999E-2</v>
      </c>
      <c r="K20" s="94">
        <f>IF($B20&gt;20,IF(EIOPA_RFR!K25*(1%+VLOOKUP($B$27,Int_Rate_Param,2,FALSE))&lt;1%+EIOPA_RFR!K25,1%+EIOPA_RFR!K25,EIOPA_RFR!K25*(1%+VLOOKUP($B$27,Int_Rate_Param,2,FALSE))),IF(EIOPA_RFR!K25*(1%+VLOOKUP($B20,Int_Rate_Param,2,FALSE))&lt;1%+EIOPA_RFR!K25,1%+EIOPA_RFR!K25,EIOPA_RFR!K25*(1%+VLOOKUP($B20,Int_Rate_Param,2,FALSE))))</f>
        <v>1.9540000000000002E-2</v>
      </c>
      <c r="L20" s="94">
        <f>IF($B20&gt;20,IF(EIOPA_RFR!L25*(1%+VLOOKUP($B$27,Int_Rate_Param,2,FALSE))&lt;1%+EIOPA_RFR!L25,1%+EIOPA_RFR!L25,EIOPA_RFR!L25*(1%+VLOOKUP($B$27,Int_Rate_Param,2,FALSE))),IF(EIOPA_RFR!L25*(1%+VLOOKUP($B20,Int_Rate_Param,2,FALSE))&lt;1%+EIOPA_RFR!L25,1%+EIOPA_RFR!L25,EIOPA_RFR!L25*(1%+VLOOKUP($B20,Int_Rate_Param,2,FALSE))))</f>
        <v>1.9540000000000002E-2</v>
      </c>
      <c r="M20" s="94">
        <f>IF($B20&gt;20,IF(EIOPA_RFR!M25*(1%+VLOOKUP($B$27,Int_Rate_Param,2,FALSE))&lt;1%+EIOPA_RFR!M25,1%+EIOPA_RFR!M25,EIOPA_RFR!M25*(1%+VLOOKUP($B$27,Int_Rate_Param,2,FALSE))),IF(EIOPA_RFR!M25*(1%+VLOOKUP($B20,Int_Rate_Param,2,FALSE))&lt;1%+EIOPA_RFR!M25,1%+EIOPA_RFR!M25,EIOPA_RFR!M25*(1%+VLOOKUP($B20,Int_Rate_Param,2,FALSE))))</f>
        <v>1.9540000000000002E-2</v>
      </c>
      <c r="N20" s="94">
        <f>IF($B20&gt;20,IF(EIOPA_RFR!N25*(1%+VLOOKUP($B$27,Int_Rate_Param,2,FALSE))&lt;1%+EIOPA_RFR!N25,1%+EIOPA_RFR!N25,EIOPA_RFR!N25*(1%+VLOOKUP($B$27,Int_Rate_Param,2,FALSE))),IF(EIOPA_RFR!N25*(1%+VLOOKUP($B20,Int_Rate_Param,2,FALSE))&lt;1%+EIOPA_RFR!N25,1%+EIOPA_RFR!N25,EIOPA_RFR!N25*(1%+VLOOKUP($B20,Int_Rate_Param,2,FALSE))))</f>
        <v>1.9540000000000002E-2</v>
      </c>
      <c r="O20" s="94">
        <f>IF($B20&gt;20,IF(EIOPA_RFR!O25*(1%+VLOOKUP($B$27,Int_Rate_Param,2,FALSE))&lt;1%+EIOPA_RFR!O25,1%+EIOPA_RFR!O25,EIOPA_RFR!O25*(1%+VLOOKUP($B$27,Int_Rate_Param,2,FALSE))),IF(EIOPA_RFR!O25*(1%+VLOOKUP($B20,Int_Rate_Param,2,FALSE))&lt;1%+EIOPA_RFR!O25,1%+EIOPA_RFR!O25,EIOPA_RFR!O25*(1%+VLOOKUP($B20,Int_Rate_Param,2,FALSE))))</f>
        <v>1.9540000000000002E-2</v>
      </c>
      <c r="P20" s="94">
        <f>IF($B20&gt;20,IF(EIOPA_RFR!P25*(1%+VLOOKUP($B$27,Int_Rate_Param,2,FALSE))&lt;1%+EIOPA_RFR!P25,1%+EIOPA_RFR!P25,EIOPA_RFR!P25*(1%+VLOOKUP($B$27,Int_Rate_Param,2,FALSE))),IF(EIOPA_RFR!P25*(1%+VLOOKUP($B20,Int_Rate_Param,2,FALSE))&lt;1%+EIOPA_RFR!P25,1%+EIOPA_RFR!P25,EIOPA_RFR!P25*(1%+VLOOKUP($B20,Int_Rate_Param,2,FALSE))))</f>
        <v>4.6190000000000002E-2</v>
      </c>
      <c r="Q20" s="94">
        <f>IF($B20&gt;20,IF(EIOPA_RFR!Q25*(1%+VLOOKUP($B$27,Int_Rate_Param,2,FALSE))&lt;1%+EIOPA_RFR!Q25,1%+EIOPA_RFR!Q25,EIOPA_RFR!Q25*(1%+VLOOKUP($B$27,Int_Rate_Param,2,FALSE))),IF(EIOPA_RFR!Q25*(1%+VLOOKUP($B20,Int_Rate_Param,2,FALSE))&lt;1%+EIOPA_RFR!Q25,1%+EIOPA_RFR!Q25,EIOPA_RFR!Q25*(1%+VLOOKUP($B20,Int_Rate_Param,2,FALSE))))</f>
        <v>5.7230000000000003E-2</v>
      </c>
      <c r="R20" s="94">
        <f>IF($B20&gt;20,IF(EIOPA_RFR!R25*(1%+VLOOKUP($B$27,Int_Rate_Param,2,FALSE))&lt;1%+EIOPA_RFR!R25,1%+EIOPA_RFR!R25,EIOPA_RFR!R25*(1%+VLOOKUP($B$27,Int_Rate_Param,2,FALSE))),IF(EIOPA_RFR!R25*(1%+VLOOKUP($B20,Int_Rate_Param,2,FALSE))&lt;1%+EIOPA_RFR!R25,1%+EIOPA_RFR!R25,EIOPA_RFR!R25*(1%+VLOOKUP($B20,Int_Rate_Param,2,FALSE))))</f>
        <v>1.9540000000000002E-2</v>
      </c>
      <c r="S20" s="94">
        <f>IF($B20&gt;20,IF(EIOPA_RFR!S25*(1%+VLOOKUP($B$27,Int_Rate_Param,2,FALSE))&lt;1%+EIOPA_RFR!S25,1%+EIOPA_RFR!S25,EIOPA_RFR!S25*(1%+VLOOKUP($B$27,Int_Rate_Param,2,FALSE))),IF(EIOPA_RFR!S25*(1%+VLOOKUP($B20,Int_Rate_Param,2,FALSE))&lt;1%+EIOPA_RFR!S25,1%+EIOPA_RFR!S25,EIOPA_RFR!S25*(1%+VLOOKUP($B20,Int_Rate_Param,2,FALSE))))</f>
        <v>1.9540000000000002E-2</v>
      </c>
      <c r="T20" s="94">
        <f>IF($B20&gt;20,IF(EIOPA_RFR!T25*(1%+VLOOKUP($B$27,Int_Rate_Param,2,FALSE))&lt;1%+EIOPA_RFR!T25,1%+EIOPA_RFR!T25,EIOPA_RFR!T25*(1%+VLOOKUP($B$27,Int_Rate_Param,2,FALSE))),IF(EIOPA_RFR!T25*(1%+VLOOKUP($B20,Int_Rate_Param,2,FALSE))&lt;1%+EIOPA_RFR!T25,1%+EIOPA_RFR!T25,EIOPA_RFR!T25*(1%+VLOOKUP($B20,Int_Rate_Param,2,FALSE))))</f>
        <v>1.9540000000000002E-2</v>
      </c>
      <c r="U20" s="94">
        <f>IF($B20&gt;20,IF(EIOPA_RFR!U25*(1%+VLOOKUP($B$27,Int_Rate_Param,2,FALSE))&lt;1%+EIOPA_RFR!U25,1%+EIOPA_RFR!U25,EIOPA_RFR!U25*(1%+VLOOKUP($B$27,Int_Rate_Param,2,FALSE))),IF(EIOPA_RFR!U25*(1%+VLOOKUP($B20,Int_Rate_Param,2,FALSE))&lt;1%+EIOPA_RFR!U25,1%+EIOPA_RFR!U25,EIOPA_RFR!U25*(1%+VLOOKUP($B20,Int_Rate_Param,2,FALSE))))</f>
        <v>1.196E-2</v>
      </c>
      <c r="V20" s="94">
        <f>IF($B20&gt;20,IF(EIOPA_RFR!V25*(1%+VLOOKUP($B$27,Int_Rate_Param,2,FALSE))&lt;1%+EIOPA_RFR!V25,1%+EIOPA_RFR!V25,EIOPA_RFR!V25*(1%+VLOOKUP($B$27,Int_Rate_Param,2,FALSE))),IF(EIOPA_RFR!V25*(1%+VLOOKUP($B20,Int_Rate_Param,2,FALSE))&lt;1%+EIOPA_RFR!V25,1%+EIOPA_RFR!V25,EIOPA_RFR!V25*(1%+VLOOKUP($B20,Int_Rate_Param,2,FALSE))))</f>
        <v>1.9540000000000002E-2</v>
      </c>
      <c r="W20" s="94">
        <f>IF($B20&gt;20,IF(EIOPA_RFR!W25*(1%+VLOOKUP($B$27,Int_Rate_Param,2,FALSE))&lt;1%+EIOPA_RFR!W25,1%+EIOPA_RFR!W25,EIOPA_RFR!W25*(1%+VLOOKUP($B$27,Int_Rate_Param,2,FALSE))),IF(EIOPA_RFR!W25*(1%+VLOOKUP($B20,Int_Rate_Param,2,FALSE))&lt;1%+EIOPA_RFR!W25,1%+EIOPA_RFR!W25,EIOPA_RFR!W25*(1%+VLOOKUP($B20,Int_Rate_Param,2,FALSE))))</f>
        <v>1.9540000000000002E-2</v>
      </c>
      <c r="X20" s="94">
        <f>IF($B20&gt;20,IF(EIOPA_RFR!X25*(1%+VLOOKUP($B$27,Int_Rate_Param,2,FALSE))&lt;1%+EIOPA_RFR!X25,1%+EIOPA_RFR!X25,EIOPA_RFR!X25*(1%+VLOOKUP($B$27,Int_Rate_Param,2,FALSE))),IF(EIOPA_RFR!X25*(1%+VLOOKUP($B20,Int_Rate_Param,2,FALSE))&lt;1%+EIOPA_RFR!X25,1%+EIOPA_RFR!X25,EIOPA_RFR!X25*(1%+VLOOKUP($B20,Int_Rate_Param,2,FALSE))))</f>
        <v>1.9540000000000002E-2</v>
      </c>
      <c r="Y20" s="94">
        <f>IF($B20&gt;20,IF(EIOPA_RFR!Y25*(1%+VLOOKUP($B$27,Int_Rate_Param,2,FALSE))&lt;1%+EIOPA_RFR!Y25,1%+EIOPA_RFR!Y25,EIOPA_RFR!Y25*(1%+VLOOKUP($B$27,Int_Rate_Param,2,FALSE))),IF(EIOPA_RFR!Y25*(1%+VLOOKUP($B20,Int_Rate_Param,2,FALSE))&lt;1%+EIOPA_RFR!Y25,1%+EIOPA_RFR!Y25,EIOPA_RFR!Y25*(1%+VLOOKUP($B20,Int_Rate_Param,2,FALSE))))</f>
        <v>1.9540000000000002E-2</v>
      </c>
      <c r="Z20" s="94">
        <f>IF($B20&gt;20,IF(EIOPA_RFR!Z25*(1%+VLOOKUP($B$27,Int_Rate_Param,2,FALSE))&lt;1%+EIOPA_RFR!Z25,1%+EIOPA_RFR!Z25,EIOPA_RFR!Z25*(1%+VLOOKUP($B$27,Int_Rate_Param,2,FALSE))),IF(EIOPA_RFR!Z25*(1%+VLOOKUP($B20,Int_Rate_Param,2,FALSE))&lt;1%+EIOPA_RFR!Z25,1%+EIOPA_RFR!Z25,EIOPA_RFR!Z25*(1%+VLOOKUP($B20,Int_Rate_Param,2,FALSE))))</f>
        <v>3.0510000000000002E-2</v>
      </c>
      <c r="AA20" s="94">
        <f>IF($B20&gt;20,IF(EIOPA_RFR!AA25*(1%+VLOOKUP($B$27,Int_Rate_Param,2,FALSE))&lt;1%+EIOPA_RFR!AA25,1%+EIOPA_RFR!AA25,EIOPA_RFR!AA25*(1%+VLOOKUP($B$27,Int_Rate_Param,2,FALSE))),IF(EIOPA_RFR!AA25*(1%+VLOOKUP($B20,Int_Rate_Param,2,FALSE))&lt;1%+EIOPA_RFR!AA25,1%+EIOPA_RFR!AA25,EIOPA_RFR!AA25*(1%+VLOOKUP($B20,Int_Rate_Param,2,FALSE))))</f>
        <v>4.5990000000000003E-2</v>
      </c>
      <c r="AB20" s="94">
        <f>IF($B20&gt;20,IF(EIOPA_RFR!AB25*(1%+VLOOKUP($B$27,Int_Rate_Param,2,FALSE))&lt;1%+EIOPA_RFR!AB25,1%+EIOPA_RFR!AB25,EIOPA_RFR!AB25*(1%+VLOOKUP($B$27,Int_Rate_Param,2,FALSE))),IF(EIOPA_RFR!AB25*(1%+VLOOKUP($B20,Int_Rate_Param,2,FALSE))&lt;1%+EIOPA_RFR!AB25,1%+EIOPA_RFR!AB25,EIOPA_RFR!AB25*(1%+VLOOKUP($B20,Int_Rate_Param,2,FALSE))))</f>
        <v>1.9540000000000002E-2</v>
      </c>
      <c r="AC20" s="94">
        <f>IF($B20&gt;20,IF(EIOPA_RFR!AC25*(1%+VLOOKUP($B$27,Int_Rate_Param,2,FALSE))&lt;1%+EIOPA_RFR!AC25,1%+EIOPA_RFR!AC25,EIOPA_RFR!AC25*(1%+VLOOKUP($B$27,Int_Rate_Param,2,FALSE))),IF(EIOPA_RFR!AC25*(1%+VLOOKUP($B20,Int_Rate_Param,2,FALSE))&lt;1%+EIOPA_RFR!AC25,1%+EIOPA_RFR!AC25,EIOPA_RFR!AC25*(1%+VLOOKUP($B20,Int_Rate_Param,2,FALSE))))</f>
        <v>5.1450000000000003E-2</v>
      </c>
      <c r="AD20" s="94">
        <f>IF($B20&gt;20,IF(EIOPA_RFR!AD25*(1%+VLOOKUP($B$27,Int_Rate_Param,2,FALSE))&lt;1%+EIOPA_RFR!AD25,1%+EIOPA_RFR!AD25,EIOPA_RFR!AD25*(1%+VLOOKUP($B$27,Int_Rate_Param,2,FALSE))),IF(EIOPA_RFR!AD25*(1%+VLOOKUP($B20,Int_Rate_Param,2,FALSE))&lt;1%+EIOPA_RFR!AD25,1%+EIOPA_RFR!AD25,EIOPA_RFR!AD25*(1%+VLOOKUP($B20,Int_Rate_Param,2,FALSE))))</f>
        <v>8.3769999999999997E-2</v>
      </c>
      <c r="AE20" s="94">
        <f>IF($B20&gt;20,IF(EIOPA_RFR!AE25*(1%+VLOOKUP($B$27,Int_Rate_Param,2,FALSE))&lt;1%+EIOPA_RFR!AE25,1%+EIOPA_RFR!AE25,EIOPA_RFR!AE25*(1%+VLOOKUP($B$27,Int_Rate_Param,2,FALSE))),IF(EIOPA_RFR!AE25*(1%+VLOOKUP($B20,Int_Rate_Param,2,FALSE))&lt;1%+EIOPA_RFR!AE25,1%+EIOPA_RFR!AE25,EIOPA_RFR!AE25*(1%+VLOOKUP($B20,Int_Rate_Param,2,FALSE))))</f>
        <v>1.9540000000000002E-2</v>
      </c>
      <c r="AF20" s="94">
        <f>IF($B20&gt;20,IF(EIOPA_RFR!AF25*(1%+VLOOKUP($B$27,Int_Rate_Param,2,FALSE))&lt;1%+EIOPA_RFR!AF25,1%+EIOPA_RFR!AF25,EIOPA_RFR!AF25*(1%+VLOOKUP($B$27,Int_Rate_Param,2,FALSE))),IF(EIOPA_RFR!AF25*(1%+VLOOKUP($B20,Int_Rate_Param,2,FALSE))&lt;1%+EIOPA_RFR!AF25,1%+EIOPA_RFR!AF25,EIOPA_RFR!AF25*(1%+VLOOKUP($B20,Int_Rate_Param,2,FALSE))))</f>
        <v>1.9540000000000002E-2</v>
      </c>
      <c r="AG20" s="94">
        <f>IF($B20&gt;20,IF(EIOPA_RFR!AG25*(1%+VLOOKUP($B$27,Int_Rate_Param,2,FALSE))&lt;1%+EIOPA_RFR!AG25,1%+EIOPA_RFR!AG25,EIOPA_RFR!AG25*(1%+VLOOKUP($B$27,Int_Rate_Param,2,FALSE))),IF(EIOPA_RFR!AG25*(1%+VLOOKUP($B20,Int_Rate_Param,2,FALSE))&lt;1%+EIOPA_RFR!AG25,1%+EIOPA_RFR!AG25,EIOPA_RFR!AG25*(1%+VLOOKUP($B20,Int_Rate_Param,2,FALSE))))</f>
        <v>1.9540000000000002E-2</v>
      </c>
      <c r="AH20" s="94">
        <f>IF($B20&gt;20,IF(EIOPA_RFR!AH25*(1%+VLOOKUP($B$27,Int_Rate_Param,2,FALSE))&lt;1%+EIOPA_RFR!AH25,1%+EIOPA_RFR!AH25,EIOPA_RFR!AH25*(1%+VLOOKUP($B$27,Int_Rate_Param,2,FALSE))),IF(EIOPA_RFR!AH25*(1%+VLOOKUP($B20,Int_Rate_Param,2,FALSE))&lt;1%+EIOPA_RFR!AH25,1%+EIOPA_RFR!AH25,EIOPA_RFR!AH25*(1%+VLOOKUP($B20,Int_Rate_Param,2,FALSE))))</f>
        <v>2.547E-2</v>
      </c>
      <c r="AI20" s="94">
        <f>IF($B20&gt;20,IF(EIOPA_RFR!AI25*(1%+VLOOKUP($B$27,Int_Rate_Param,2,FALSE))&lt;1%+EIOPA_RFR!AI25,1%+EIOPA_RFR!AI25,EIOPA_RFR!AI25*(1%+VLOOKUP($B$27,Int_Rate_Param,2,FALSE))),IF(EIOPA_RFR!AI25*(1%+VLOOKUP($B20,Int_Rate_Param,2,FALSE))&lt;1%+EIOPA_RFR!AI25,1%+EIOPA_RFR!AI25,EIOPA_RFR!AI25*(1%+VLOOKUP($B20,Int_Rate_Param,2,FALSE))))</f>
        <v>1.196E-2</v>
      </c>
      <c r="AJ20" s="94">
        <f>IF($B20&gt;20,IF(EIOPA_RFR!AJ25*(1%+VLOOKUP($B$27,Int_Rate_Param,2,FALSE))&lt;1%+EIOPA_RFR!AJ25,1%+EIOPA_RFR!AJ25,EIOPA_RFR!AJ25*(1%+VLOOKUP($B$27,Int_Rate_Param,2,FALSE))),IF(EIOPA_RFR!AJ25*(1%+VLOOKUP($B20,Int_Rate_Param,2,FALSE))&lt;1%+EIOPA_RFR!AJ25,1%+EIOPA_RFR!AJ25,EIOPA_RFR!AJ25*(1%+VLOOKUP($B20,Int_Rate_Param,2,FALSE))))</f>
        <v>2.1870000000000001E-2</v>
      </c>
      <c r="AK20" s="94">
        <f>IF($B20&gt;20,IF(EIOPA_RFR!AK25*(1%+VLOOKUP($B$27,Int_Rate_Param,2,FALSE))&lt;1%+EIOPA_RFR!AK25,1%+EIOPA_RFR!AK25,EIOPA_RFR!AK25*(1%+VLOOKUP($B$27,Int_Rate_Param,2,FALSE))),IF(EIOPA_RFR!AK25*(1%+VLOOKUP($B20,Int_Rate_Param,2,FALSE))&lt;1%+EIOPA_RFR!AK25,1%+EIOPA_RFR!AK25,EIOPA_RFR!AK25*(1%+VLOOKUP($B20,Int_Rate_Param,2,FALSE))))</f>
        <v>4.0190000000000003E-2</v>
      </c>
      <c r="AL20" s="94">
        <f>IF($B20&gt;20,IF(EIOPA_RFR!AL25*(1%+VLOOKUP($B$27,Int_Rate_Param,2,FALSE))&lt;1%+EIOPA_RFR!AL25,1%+EIOPA_RFR!AL25,EIOPA_RFR!AL25*(1%+VLOOKUP($B$27,Int_Rate_Param,2,FALSE))),IF(EIOPA_RFR!AL25*(1%+VLOOKUP($B20,Int_Rate_Param,2,FALSE))&lt;1%+EIOPA_RFR!AL25,1%+EIOPA_RFR!AL25,EIOPA_RFR!AL25*(1%+VLOOKUP($B20,Int_Rate_Param,2,FALSE))))</f>
        <v>0.10243999999999999</v>
      </c>
      <c r="AM20" s="94">
        <f>IF($B20&gt;20,IF(EIOPA_RFR!AM25*(1%+VLOOKUP($B$27,Int_Rate_Param,2,FALSE))&lt;1%+EIOPA_RFR!AM25,1%+EIOPA_RFR!AM25,EIOPA_RFR!AM25*(1%+VLOOKUP($B$27,Int_Rate_Param,2,FALSE))),IF(EIOPA_RFR!AM25*(1%+VLOOKUP($B20,Int_Rate_Param,2,FALSE))&lt;1%+EIOPA_RFR!AM25,1%+EIOPA_RFR!AM25,EIOPA_RFR!AM25*(1%+VLOOKUP($B20,Int_Rate_Param,2,FALSE))))</f>
        <v>2.9760000000000002E-2</v>
      </c>
      <c r="AN20" s="94">
        <f>IF($B20&gt;20,IF(EIOPA_RFR!AN25*(1%+VLOOKUP($B$27,Int_Rate_Param,2,FALSE))&lt;1%+EIOPA_RFR!AN25,1%+EIOPA_RFR!AN25,EIOPA_RFR!AN25*(1%+VLOOKUP($B$27,Int_Rate_Param,2,FALSE))),IF(EIOPA_RFR!AN25*(1%+VLOOKUP($B20,Int_Rate_Param,2,FALSE))&lt;1%+EIOPA_RFR!AN25,1%+EIOPA_RFR!AN25,EIOPA_RFR!AN25*(1%+VLOOKUP($B20,Int_Rate_Param,2,FALSE))))</f>
        <v>5.092E-2</v>
      </c>
      <c r="AO20" s="94">
        <f>IF($B20&gt;20,IF(EIOPA_RFR!AO25*(1%+VLOOKUP($B$27,Int_Rate_Param,2,FALSE))&lt;1%+EIOPA_RFR!AO25,1%+EIOPA_RFR!AO25,EIOPA_RFR!AO25*(1%+VLOOKUP($B$27,Int_Rate_Param,2,FALSE))),IF(EIOPA_RFR!AO25*(1%+VLOOKUP($B20,Int_Rate_Param,2,FALSE))&lt;1%+EIOPA_RFR!AO25,1%+EIOPA_RFR!AO25,EIOPA_RFR!AO25*(1%+VLOOKUP($B20,Int_Rate_Param,2,FALSE))))</f>
        <v>5.3450000000000004E-2</v>
      </c>
      <c r="AP20" s="94">
        <f>IF($B20&gt;20,IF(EIOPA_RFR!AP25*(1%+VLOOKUP($B$27,Int_Rate_Param,2,FALSE))&lt;1%+EIOPA_RFR!AP25,1%+EIOPA_RFR!AP25,EIOPA_RFR!AP25*(1%+VLOOKUP($B$27,Int_Rate_Param,2,FALSE))),IF(EIOPA_RFR!AP25*(1%+VLOOKUP($B20,Int_Rate_Param,2,FALSE))&lt;1%+EIOPA_RFR!AP25,1%+EIOPA_RFR!AP25,EIOPA_RFR!AP25*(1%+VLOOKUP($B20,Int_Rate_Param,2,FALSE))))</f>
        <v>7.3089999999999988E-2</v>
      </c>
      <c r="AQ20" s="94">
        <f>IF($B20&gt;20,IF(EIOPA_RFR!AQ25*(1%+VLOOKUP($B$27,Int_Rate_Param,2,FALSE))&lt;1%+EIOPA_RFR!AQ25,1%+EIOPA_RFR!AQ25,EIOPA_RFR!AQ25*(1%+VLOOKUP($B$27,Int_Rate_Param,2,FALSE))),IF(EIOPA_RFR!AQ25*(1%+VLOOKUP($B20,Int_Rate_Param,2,FALSE))&lt;1%+EIOPA_RFR!AQ25,1%+EIOPA_RFR!AQ25,EIOPA_RFR!AQ25*(1%+VLOOKUP($B20,Int_Rate_Param,2,FALSE))))</f>
        <v>3.3460000000000004E-2</v>
      </c>
      <c r="AR20" s="94">
        <f>IF($B20&gt;20,IF(EIOPA_RFR!AR25*(1%+VLOOKUP($B$27,Int_Rate_Param,2,FALSE))&lt;1%+EIOPA_RFR!AR25,1%+EIOPA_RFR!AR25,EIOPA_RFR!AR25*(1%+VLOOKUP($B$27,Int_Rate_Param,2,FALSE))),IF(EIOPA_RFR!AR25*(1%+VLOOKUP($B20,Int_Rate_Param,2,FALSE))&lt;1%+EIOPA_RFR!AR25,1%+EIOPA_RFR!AR25,EIOPA_RFR!AR25*(1%+VLOOKUP($B20,Int_Rate_Param,2,FALSE))))</f>
        <v>7.8750000000000001E-2</v>
      </c>
      <c r="AS20" s="94">
        <f>IF($B20&gt;20,IF(EIOPA_RFR!AS25*(1%+VLOOKUP($B$27,Int_Rate_Param,2,FALSE))&lt;1%+EIOPA_RFR!AS25,1%+EIOPA_RFR!AS25,EIOPA_RFR!AS25*(1%+VLOOKUP($B$27,Int_Rate_Param,2,FALSE))),IF(EIOPA_RFR!AS25*(1%+VLOOKUP($B20,Int_Rate_Param,2,FALSE))&lt;1%+EIOPA_RFR!AS25,1%+EIOPA_RFR!AS25,EIOPA_RFR!AS25*(1%+VLOOKUP($B20,Int_Rate_Param,2,FALSE))))</f>
        <v>1.299E-2</v>
      </c>
      <c r="AT20" s="94">
        <f>IF($B20&gt;20,IF(EIOPA_RFR!AT25*(1%+VLOOKUP($B$27,Int_Rate_Param,2,FALSE))&lt;1%+EIOPA_RFR!AT25,1%+EIOPA_RFR!AT25,EIOPA_RFR!AT25*(1%+VLOOKUP($B$27,Int_Rate_Param,2,FALSE))),IF(EIOPA_RFR!AT25*(1%+VLOOKUP($B20,Int_Rate_Param,2,FALSE))&lt;1%+EIOPA_RFR!AT25,1%+EIOPA_RFR!AT25,EIOPA_RFR!AT25*(1%+VLOOKUP($B20,Int_Rate_Param,2,FALSE))))</f>
        <v>5.1400000000000001E-2</v>
      </c>
      <c r="AU20" s="94">
        <f>IF($B20&gt;20,IF(EIOPA_RFR!AU25*(1%+VLOOKUP($B$27,Int_Rate_Param,2,FALSE))&lt;1%+EIOPA_RFR!AU25,1%+EIOPA_RFR!AU25,EIOPA_RFR!AU25*(1%+VLOOKUP($B$27,Int_Rate_Param,2,FALSE))),IF(EIOPA_RFR!AU25*(1%+VLOOKUP($B20,Int_Rate_Param,2,FALSE))&lt;1%+EIOPA_RFR!AU25,1%+EIOPA_RFR!AU25,EIOPA_RFR!AU25*(1%+VLOOKUP($B20,Int_Rate_Param,2,FALSE))))</f>
        <v>8.5859999999999992E-2</v>
      </c>
      <c r="AV20" s="94">
        <f>IF($B20&gt;20,IF(EIOPA_RFR!AV25*(1%+VLOOKUP($B$27,Int_Rate_Param,2,FALSE))&lt;1%+EIOPA_RFR!AV25,1%+EIOPA_RFR!AV25,EIOPA_RFR!AV25*(1%+VLOOKUP($B$27,Int_Rate_Param,2,FALSE))),IF(EIOPA_RFR!AV25*(1%+VLOOKUP($B20,Int_Rate_Param,2,FALSE))&lt;1%+EIOPA_RFR!AV25,1%+EIOPA_RFR!AV25,EIOPA_RFR!AV25*(1%+VLOOKUP($B20,Int_Rate_Param,2,FALSE))))</f>
        <v>4.5420000000000002E-2</v>
      </c>
      <c r="AW20" s="94">
        <f>IF($B20&gt;20,IF(EIOPA_RFR!AW25*(1%+VLOOKUP($B$27,Int_Rate_Param,2,FALSE))&lt;1%+EIOPA_RFR!AW25,1%+EIOPA_RFR!AW25,EIOPA_RFR!AW25*(1%+VLOOKUP($B$27,Int_Rate_Param,2,FALSE))),IF(EIOPA_RFR!AW25*(1%+VLOOKUP($B20,Int_Rate_Param,2,FALSE))&lt;1%+EIOPA_RFR!AW25,1%+EIOPA_RFR!AW25,EIOPA_RFR!AW25*(1%+VLOOKUP($B20,Int_Rate_Param,2,FALSE))))</f>
        <v>3.5319999999999997E-2</v>
      </c>
      <c r="AX20" s="94">
        <f>IF($B20&gt;20,IF(EIOPA_RFR!AX25*(1%+VLOOKUP($B$27,Int_Rate_Param,2,FALSE))&lt;1%+EIOPA_RFR!AX25,1%+EIOPA_RFR!AX25,EIOPA_RFR!AX25*(1%+VLOOKUP($B$27,Int_Rate_Param,2,FALSE))),IF(EIOPA_RFR!AX25*(1%+VLOOKUP($B20,Int_Rate_Param,2,FALSE))&lt;1%+EIOPA_RFR!AX25,1%+EIOPA_RFR!AX25,EIOPA_RFR!AX25*(1%+VLOOKUP($B20,Int_Rate_Param,2,FALSE))))</f>
        <v>9.4079999999999997E-2</v>
      </c>
      <c r="AY20" s="94">
        <f>IF($B20&gt;20,IF(EIOPA_RFR!AY25*(1%+VLOOKUP($B$27,Int_Rate_Param,2,FALSE))&lt;1%+EIOPA_RFR!AY25,1%+EIOPA_RFR!AY25,EIOPA_RFR!AY25*(1%+VLOOKUP($B$27,Int_Rate_Param,2,FALSE))),IF(EIOPA_RFR!AY25*(1%+VLOOKUP($B20,Int_Rate_Param,2,FALSE))&lt;1%+EIOPA_RFR!AY25,1%+EIOPA_RFR!AY25,EIOPA_RFR!AY25*(1%+VLOOKUP($B20,Int_Rate_Param,2,FALSE))))</f>
        <v>2.8389999999999999E-2</v>
      </c>
      <c r="AZ20" s="94">
        <f>IF($B20&gt;20,IF(EIOPA_RFR!AZ25*(1%+VLOOKUP($B$27,Int_Rate_Param,2,FALSE))&lt;1%+EIOPA_RFR!AZ25,1%+EIOPA_RFR!AZ25,EIOPA_RFR!AZ25*(1%+VLOOKUP($B$27,Int_Rate_Param,2,FALSE))),IF(EIOPA_RFR!AZ25*(1%+VLOOKUP($B20,Int_Rate_Param,2,FALSE))&lt;1%+EIOPA_RFR!AZ25,1%+EIOPA_RFR!AZ25,EIOPA_RFR!AZ25*(1%+VLOOKUP($B20,Int_Rate_Param,2,FALSE))))</f>
        <v>2.3400000000000001E-2</v>
      </c>
      <c r="BA20" s="94">
        <f>IF($B20&gt;20,IF(EIOPA_RFR!BA25*(1%+VLOOKUP($B$27,Int_Rate_Param,2,FALSE))&lt;1%+EIOPA_RFR!BA25,1%+EIOPA_RFR!BA25,EIOPA_RFR!BA25*(1%+VLOOKUP($B$27,Int_Rate_Param,2,FALSE))),IF(EIOPA_RFR!BA25*(1%+VLOOKUP($B20,Int_Rate_Param,2,FALSE))&lt;1%+EIOPA_RFR!BA25,1%+EIOPA_RFR!BA25,EIOPA_RFR!BA25*(1%+VLOOKUP($B20,Int_Rate_Param,2,FALSE))))</f>
        <v>3.7010000000000001E-2</v>
      </c>
      <c r="BB20" s="94">
        <f>IF($B20&gt;20,IF(EIOPA_RFR!BB25*(1%+VLOOKUP($B$27,Int_Rate_Param,2,FALSE))&lt;1%+EIOPA_RFR!BB25,1%+EIOPA_RFR!BB25,EIOPA_RFR!BB25*(1%+VLOOKUP($B$27,Int_Rate_Param,2,FALSE))),IF(EIOPA_RFR!BB25*(1%+VLOOKUP($B20,Int_Rate_Param,2,FALSE))&lt;1%+EIOPA_RFR!BB25,1%+EIOPA_RFR!BB25,EIOPA_RFR!BB25*(1%+VLOOKUP($B20,Int_Rate_Param,2,FALSE))))</f>
        <v>0.11086</v>
      </c>
      <c r="BC20" s="94">
        <f>IF($B20&gt;20,IF(EIOPA_RFR!BC25*(1%+VLOOKUP($B$27,Int_Rate_Param,2,FALSE))&lt;1%+EIOPA_RFR!BC25,1%+EIOPA_RFR!BC25,EIOPA_RFR!BC25*(1%+VLOOKUP($B$27,Int_Rate_Param,2,FALSE))),IF(EIOPA_RFR!BC25*(1%+VLOOKUP($B20,Int_Rate_Param,2,FALSE))&lt;1%+EIOPA_RFR!BC25,1%+EIOPA_RFR!BC25,EIOPA_RFR!BC25*(1%+VLOOKUP($B20,Int_Rate_Param,2,FALSE))))</f>
        <v>3.388E-2</v>
      </c>
    </row>
    <row r="21" spans="1:55" x14ac:dyDescent="0.25">
      <c r="A21">
        <f t="shared" si="0"/>
        <v>16</v>
      </c>
      <c r="B21" s="95">
        <v>14</v>
      </c>
      <c r="C21" s="94">
        <f>IF($B21&gt;20,IF(EIOPA_RFR!C26*(1%+VLOOKUP($B$27,Int_Rate_Param,2,FALSE))&lt;1%+EIOPA_RFR!C26,1%+EIOPA_RFR!C26,EIOPA_RFR!C26*(1%+VLOOKUP($B$27,Int_Rate_Param,2,FALSE))),IF(EIOPA_RFR!C26*(1%+VLOOKUP($B21,Int_Rate_Param,2,FALSE))&lt;1%+EIOPA_RFR!C26,1%+EIOPA_RFR!C26,EIOPA_RFR!C26*(1%+VLOOKUP($B21,Int_Rate_Param,2,FALSE))))</f>
        <v>2.0240000000000001E-2</v>
      </c>
      <c r="D21" s="94">
        <f>IF($B21&gt;20,IF(EIOPA_RFR!D26*(1%+VLOOKUP($B$27,Int_Rate_Param,2,FALSE))&lt;1%+EIOPA_RFR!D26,1%+EIOPA_RFR!D26,EIOPA_RFR!D26*(1%+VLOOKUP($B$27,Int_Rate_Param,2,FALSE))),IF(EIOPA_RFR!D26*(1%+VLOOKUP($B21,Int_Rate_Param,2,FALSE))&lt;1%+EIOPA_RFR!D26,1%+EIOPA_RFR!D26,EIOPA_RFR!D26*(1%+VLOOKUP($B21,Int_Rate_Param,2,FALSE))))</f>
        <v>2.0240000000000001E-2</v>
      </c>
      <c r="E21" s="94">
        <f>IF($B21&gt;20,IF(EIOPA_RFR!E26*(1%+VLOOKUP($B$27,Int_Rate_Param,2,FALSE))&lt;1%+EIOPA_RFR!E26,1%+EIOPA_RFR!E26,EIOPA_RFR!E26*(1%+VLOOKUP($B$27,Int_Rate_Param,2,FALSE))),IF(EIOPA_RFR!E26*(1%+VLOOKUP($B21,Int_Rate_Param,2,FALSE))&lt;1%+EIOPA_RFR!E26,1%+EIOPA_RFR!E26,EIOPA_RFR!E26*(1%+VLOOKUP($B21,Int_Rate_Param,2,FALSE))))</f>
        <v>2.0240000000000001E-2</v>
      </c>
      <c r="F21" s="94">
        <f>IF($B21&gt;20,IF(EIOPA_RFR!F26*(1%+VLOOKUP($B$27,Int_Rate_Param,2,FALSE))&lt;1%+EIOPA_RFR!F26,1%+EIOPA_RFR!F26,EIOPA_RFR!F26*(1%+VLOOKUP($B$27,Int_Rate_Param,2,FALSE))),IF(EIOPA_RFR!F26*(1%+VLOOKUP($B21,Int_Rate_Param,2,FALSE))&lt;1%+EIOPA_RFR!F26,1%+EIOPA_RFR!F26,EIOPA_RFR!F26*(1%+VLOOKUP($B21,Int_Rate_Param,2,FALSE))))</f>
        <v>1.9720000000000001E-2</v>
      </c>
      <c r="G21" s="94">
        <f>IF($B21&gt;20,IF(EIOPA_RFR!G26*(1%+VLOOKUP($B$27,Int_Rate_Param,2,FALSE))&lt;1%+EIOPA_RFR!G26,1%+EIOPA_RFR!G26,EIOPA_RFR!G26*(1%+VLOOKUP($B$27,Int_Rate_Param,2,FALSE))),IF(EIOPA_RFR!G26*(1%+VLOOKUP($B21,Int_Rate_Param,2,FALSE))&lt;1%+EIOPA_RFR!G26,1%+EIOPA_RFR!G26,EIOPA_RFR!G26*(1%+VLOOKUP($B21,Int_Rate_Param,2,FALSE))))</f>
        <v>4.138E-2</v>
      </c>
      <c r="H21" s="94">
        <f>IF($B21&gt;20,IF(EIOPA_RFR!H26*(1%+VLOOKUP($B$27,Int_Rate_Param,2,FALSE))&lt;1%+EIOPA_RFR!H26,1%+EIOPA_RFR!H26,EIOPA_RFR!H26*(1%+VLOOKUP($B$27,Int_Rate_Param,2,FALSE))),IF(EIOPA_RFR!H26*(1%+VLOOKUP($B21,Int_Rate_Param,2,FALSE))&lt;1%+EIOPA_RFR!H26,1%+EIOPA_RFR!H26,EIOPA_RFR!H26*(1%+VLOOKUP($B21,Int_Rate_Param,2,FALSE))))</f>
        <v>2.0240000000000001E-2</v>
      </c>
      <c r="I21" s="94">
        <f>IF($B21&gt;20,IF(EIOPA_RFR!I26*(1%+VLOOKUP($B$27,Int_Rate_Param,2,FALSE))&lt;1%+EIOPA_RFR!I26,1%+EIOPA_RFR!I26,EIOPA_RFR!I26*(1%+VLOOKUP($B$27,Int_Rate_Param,2,FALSE))),IF(EIOPA_RFR!I26*(1%+VLOOKUP($B21,Int_Rate_Param,2,FALSE))&lt;1%+EIOPA_RFR!I26,1%+EIOPA_RFR!I26,EIOPA_RFR!I26*(1%+VLOOKUP($B21,Int_Rate_Param,2,FALSE))))</f>
        <v>2.2510000000000002E-2</v>
      </c>
      <c r="J21" s="94">
        <f>IF($B21&gt;20,IF(EIOPA_RFR!J26*(1%+VLOOKUP($B$27,Int_Rate_Param,2,FALSE))&lt;1%+EIOPA_RFR!J26,1%+EIOPA_RFR!J26,EIOPA_RFR!J26*(1%+VLOOKUP($B$27,Int_Rate_Param,2,FALSE))),IF(EIOPA_RFR!J26*(1%+VLOOKUP($B21,Int_Rate_Param,2,FALSE))&lt;1%+EIOPA_RFR!J26,1%+EIOPA_RFR!J26,EIOPA_RFR!J26*(1%+VLOOKUP($B21,Int_Rate_Param,2,FALSE))))</f>
        <v>2.0130000000000002E-2</v>
      </c>
      <c r="K21" s="94">
        <f>IF($B21&gt;20,IF(EIOPA_RFR!K26*(1%+VLOOKUP($B$27,Int_Rate_Param,2,FALSE))&lt;1%+EIOPA_RFR!K26,1%+EIOPA_RFR!K26,EIOPA_RFR!K26*(1%+VLOOKUP($B$27,Int_Rate_Param,2,FALSE))),IF(EIOPA_RFR!K26*(1%+VLOOKUP($B21,Int_Rate_Param,2,FALSE))&lt;1%+EIOPA_RFR!K26,1%+EIOPA_RFR!K26,EIOPA_RFR!K26*(1%+VLOOKUP($B21,Int_Rate_Param,2,FALSE))))</f>
        <v>2.0240000000000001E-2</v>
      </c>
      <c r="L21" s="94">
        <f>IF($B21&gt;20,IF(EIOPA_RFR!L26*(1%+VLOOKUP($B$27,Int_Rate_Param,2,FALSE))&lt;1%+EIOPA_RFR!L26,1%+EIOPA_RFR!L26,EIOPA_RFR!L26*(1%+VLOOKUP($B$27,Int_Rate_Param,2,FALSE))),IF(EIOPA_RFR!L26*(1%+VLOOKUP($B21,Int_Rate_Param,2,FALSE))&lt;1%+EIOPA_RFR!L26,1%+EIOPA_RFR!L26,EIOPA_RFR!L26*(1%+VLOOKUP($B21,Int_Rate_Param,2,FALSE))))</f>
        <v>2.0240000000000001E-2</v>
      </c>
      <c r="M21" s="94">
        <f>IF($B21&gt;20,IF(EIOPA_RFR!M26*(1%+VLOOKUP($B$27,Int_Rate_Param,2,FALSE))&lt;1%+EIOPA_RFR!M26,1%+EIOPA_RFR!M26,EIOPA_RFR!M26*(1%+VLOOKUP($B$27,Int_Rate_Param,2,FALSE))),IF(EIOPA_RFR!M26*(1%+VLOOKUP($B21,Int_Rate_Param,2,FALSE))&lt;1%+EIOPA_RFR!M26,1%+EIOPA_RFR!M26,EIOPA_RFR!M26*(1%+VLOOKUP($B21,Int_Rate_Param,2,FALSE))))</f>
        <v>2.0240000000000001E-2</v>
      </c>
      <c r="N21" s="94">
        <f>IF($B21&gt;20,IF(EIOPA_RFR!N26*(1%+VLOOKUP($B$27,Int_Rate_Param,2,FALSE))&lt;1%+EIOPA_RFR!N26,1%+EIOPA_RFR!N26,EIOPA_RFR!N26*(1%+VLOOKUP($B$27,Int_Rate_Param,2,FALSE))),IF(EIOPA_RFR!N26*(1%+VLOOKUP($B21,Int_Rate_Param,2,FALSE))&lt;1%+EIOPA_RFR!N26,1%+EIOPA_RFR!N26,EIOPA_RFR!N26*(1%+VLOOKUP($B21,Int_Rate_Param,2,FALSE))))</f>
        <v>2.0240000000000001E-2</v>
      </c>
      <c r="O21" s="94">
        <f>IF($B21&gt;20,IF(EIOPA_RFR!O26*(1%+VLOOKUP($B$27,Int_Rate_Param,2,FALSE))&lt;1%+EIOPA_RFR!O26,1%+EIOPA_RFR!O26,EIOPA_RFR!O26*(1%+VLOOKUP($B$27,Int_Rate_Param,2,FALSE))),IF(EIOPA_RFR!O26*(1%+VLOOKUP($B21,Int_Rate_Param,2,FALSE))&lt;1%+EIOPA_RFR!O26,1%+EIOPA_RFR!O26,EIOPA_RFR!O26*(1%+VLOOKUP($B21,Int_Rate_Param,2,FALSE))))</f>
        <v>2.0240000000000001E-2</v>
      </c>
      <c r="P21" s="94">
        <f>IF($B21&gt;20,IF(EIOPA_RFR!P26*(1%+VLOOKUP($B$27,Int_Rate_Param,2,FALSE))&lt;1%+EIOPA_RFR!P26,1%+EIOPA_RFR!P26,EIOPA_RFR!P26*(1%+VLOOKUP($B$27,Int_Rate_Param,2,FALSE))),IF(EIOPA_RFR!P26*(1%+VLOOKUP($B21,Int_Rate_Param,2,FALSE))&lt;1%+EIOPA_RFR!P26,1%+EIOPA_RFR!P26,EIOPA_RFR!P26*(1%+VLOOKUP($B21,Int_Rate_Param,2,FALSE))))</f>
        <v>4.7490000000000004E-2</v>
      </c>
      <c r="Q21" s="94">
        <f>IF($B21&gt;20,IF(EIOPA_RFR!Q26*(1%+VLOOKUP($B$27,Int_Rate_Param,2,FALSE))&lt;1%+EIOPA_RFR!Q26,1%+EIOPA_RFR!Q26,EIOPA_RFR!Q26*(1%+VLOOKUP($B$27,Int_Rate_Param,2,FALSE))),IF(EIOPA_RFR!Q26*(1%+VLOOKUP($B21,Int_Rate_Param,2,FALSE))&lt;1%+EIOPA_RFR!Q26,1%+EIOPA_RFR!Q26,EIOPA_RFR!Q26*(1%+VLOOKUP($B21,Int_Rate_Param,2,FALSE))))</f>
        <v>5.7110000000000001E-2</v>
      </c>
      <c r="R21" s="94">
        <f>IF($B21&gt;20,IF(EIOPA_RFR!R26*(1%+VLOOKUP($B$27,Int_Rate_Param,2,FALSE))&lt;1%+EIOPA_RFR!R26,1%+EIOPA_RFR!R26,EIOPA_RFR!R26*(1%+VLOOKUP($B$27,Int_Rate_Param,2,FALSE))),IF(EIOPA_RFR!R26*(1%+VLOOKUP($B21,Int_Rate_Param,2,FALSE))&lt;1%+EIOPA_RFR!R26,1%+EIOPA_RFR!R26,EIOPA_RFR!R26*(1%+VLOOKUP($B21,Int_Rate_Param,2,FALSE))))</f>
        <v>2.0240000000000001E-2</v>
      </c>
      <c r="S21" s="94">
        <f>IF($B21&gt;20,IF(EIOPA_RFR!S26*(1%+VLOOKUP($B$27,Int_Rate_Param,2,FALSE))&lt;1%+EIOPA_RFR!S26,1%+EIOPA_RFR!S26,EIOPA_RFR!S26*(1%+VLOOKUP($B$27,Int_Rate_Param,2,FALSE))),IF(EIOPA_RFR!S26*(1%+VLOOKUP($B21,Int_Rate_Param,2,FALSE))&lt;1%+EIOPA_RFR!S26,1%+EIOPA_RFR!S26,EIOPA_RFR!S26*(1%+VLOOKUP($B21,Int_Rate_Param,2,FALSE))))</f>
        <v>2.0240000000000001E-2</v>
      </c>
      <c r="T21" s="94">
        <f>IF($B21&gt;20,IF(EIOPA_RFR!T26*(1%+VLOOKUP($B$27,Int_Rate_Param,2,FALSE))&lt;1%+EIOPA_RFR!T26,1%+EIOPA_RFR!T26,EIOPA_RFR!T26*(1%+VLOOKUP($B$27,Int_Rate_Param,2,FALSE))),IF(EIOPA_RFR!T26*(1%+VLOOKUP($B21,Int_Rate_Param,2,FALSE))&lt;1%+EIOPA_RFR!T26,1%+EIOPA_RFR!T26,EIOPA_RFR!T26*(1%+VLOOKUP($B21,Int_Rate_Param,2,FALSE))))</f>
        <v>2.0240000000000001E-2</v>
      </c>
      <c r="U21" s="94">
        <f>IF($B21&gt;20,IF(EIOPA_RFR!U26*(1%+VLOOKUP($B$27,Int_Rate_Param,2,FALSE))&lt;1%+EIOPA_RFR!U26,1%+EIOPA_RFR!U26,EIOPA_RFR!U26*(1%+VLOOKUP($B$27,Int_Rate_Param,2,FALSE))),IF(EIOPA_RFR!U26*(1%+VLOOKUP($B21,Int_Rate_Param,2,FALSE))&lt;1%+EIOPA_RFR!U26,1%+EIOPA_RFR!U26,EIOPA_RFR!U26*(1%+VLOOKUP($B21,Int_Rate_Param,2,FALSE))))</f>
        <v>1.248E-2</v>
      </c>
      <c r="V21" s="94">
        <f>IF($B21&gt;20,IF(EIOPA_RFR!V26*(1%+VLOOKUP($B$27,Int_Rate_Param,2,FALSE))&lt;1%+EIOPA_RFR!V26,1%+EIOPA_RFR!V26,EIOPA_RFR!V26*(1%+VLOOKUP($B$27,Int_Rate_Param,2,FALSE))),IF(EIOPA_RFR!V26*(1%+VLOOKUP($B21,Int_Rate_Param,2,FALSE))&lt;1%+EIOPA_RFR!V26,1%+EIOPA_RFR!V26,EIOPA_RFR!V26*(1%+VLOOKUP($B21,Int_Rate_Param,2,FALSE))))</f>
        <v>2.0240000000000001E-2</v>
      </c>
      <c r="W21" s="94">
        <f>IF($B21&gt;20,IF(EIOPA_RFR!W26*(1%+VLOOKUP($B$27,Int_Rate_Param,2,FALSE))&lt;1%+EIOPA_RFR!W26,1%+EIOPA_RFR!W26,EIOPA_RFR!W26*(1%+VLOOKUP($B$27,Int_Rate_Param,2,FALSE))),IF(EIOPA_RFR!W26*(1%+VLOOKUP($B21,Int_Rate_Param,2,FALSE))&lt;1%+EIOPA_RFR!W26,1%+EIOPA_RFR!W26,EIOPA_RFR!W26*(1%+VLOOKUP($B21,Int_Rate_Param,2,FALSE))))</f>
        <v>2.0240000000000001E-2</v>
      </c>
      <c r="X21" s="94">
        <f>IF($B21&gt;20,IF(EIOPA_RFR!X26*(1%+VLOOKUP($B$27,Int_Rate_Param,2,FALSE))&lt;1%+EIOPA_RFR!X26,1%+EIOPA_RFR!X26,EIOPA_RFR!X26*(1%+VLOOKUP($B$27,Int_Rate_Param,2,FALSE))),IF(EIOPA_RFR!X26*(1%+VLOOKUP($B21,Int_Rate_Param,2,FALSE))&lt;1%+EIOPA_RFR!X26,1%+EIOPA_RFR!X26,EIOPA_RFR!X26*(1%+VLOOKUP($B21,Int_Rate_Param,2,FALSE))))</f>
        <v>2.0240000000000001E-2</v>
      </c>
      <c r="Y21" s="94">
        <f>IF($B21&gt;20,IF(EIOPA_RFR!Y26*(1%+VLOOKUP($B$27,Int_Rate_Param,2,FALSE))&lt;1%+EIOPA_RFR!Y26,1%+EIOPA_RFR!Y26,EIOPA_RFR!Y26*(1%+VLOOKUP($B$27,Int_Rate_Param,2,FALSE))),IF(EIOPA_RFR!Y26*(1%+VLOOKUP($B21,Int_Rate_Param,2,FALSE))&lt;1%+EIOPA_RFR!Y26,1%+EIOPA_RFR!Y26,EIOPA_RFR!Y26*(1%+VLOOKUP($B21,Int_Rate_Param,2,FALSE))))</f>
        <v>2.0240000000000001E-2</v>
      </c>
      <c r="Z21" s="94">
        <f>IF($B21&gt;20,IF(EIOPA_RFR!Z26*(1%+VLOOKUP($B$27,Int_Rate_Param,2,FALSE))&lt;1%+EIOPA_RFR!Z26,1%+EIOPA_RFR!Z26,EIOPA_RFR!Z26*(1%+VLOOKUP($B$27,Int_Rate_Param,2,FALSE))),IF(EIOPA_RFR!Z26*(1%+VLOOKUP($B21,Int_Rate_Param,2,FALSE))&lt;1%+EIOPA_RFR!Z26,1%+EIOPA_RFR!Z26,EIOPA_RFR!Z26*(1%+VLOOKUP($B21,Int_Rate_Param,2,FALSE))))</f>
        <v>3.1219999999999998E-2</v>
      </c>
      <c r="AA21" s="94">
        <f>IF($B21&gt;20,IF(EIOPA_RFR!AA26*(1%+VLOOKUP($B$27,Int_Rate_Param,2,FALSE))&lt;1%+EIOPA_RFR!AA26,1%+EIOPA_RFR!AA26,EIOPA_RFR!AA26*(1%+VLOOKUP($B$27,Int_Rate_Param,2,FALSE))),IF(EIOPA_RFR!AA26*(1%+VLOOKUP($B21,Int_Rate_Param,2,FALSE))&lt;1%+EIOPA_RFR!AA26,1%+EIOPA_RFR!AA26,EIOPA_RFR!AA26*(1%+VLOOKUP($B21,Int_Rate_Param,2,FALSE))))</f>
        <v>4.6580000000000003E-2</v>
      </c>
      <c r="AB21" s="94">
        <f>IF($B21&gt;20,IF(EIOPA_RFR!AB26*(1%+VLOOKUP($B$27,Int_Rate_Param,2,FALSE))&lt;1%+EIOPA_RFR!AB26,1%+EIOPA_RFR!AB26,EIOPA_RFR!AB26*(1%+VLOOKUP($B$27,Int_Rate_Param,2,FALSE))),IF(EIOPA_RFR!AB26*(1%+VLOOKUP($B21,Int_Rate_Param,2,FALSE))&lt;1%+EIOPA_RFR!AB26,1%+EIOPA_RFR!AB26,EIOPA_RFR!AB26*(1%+VLOOKUP($B21,Int_Rate_Param,2,FALSE))))</f>
        <v>2.0240000000000001E-2</v>
      </c>
      <c r="AC21" s="94">
        <f>IF($B21&gt;20,IF(EIOPA_RFR!AC26*(1%+VLOOKUP($B$27,Int_Rate_Param,2,FALSE))&lt;1%+EIOPA_RFR!AC26,1%+EIOPA_RFR!AC26,EIOPA_RFR!AC26*(1%+VLOOKUP($B$27,Int_Rate_Param,2,FALSE))),IF(EIOPA_RFR!AC26*(1%+VLOOKUP($B21,Int_Rate_Param,2,FALSE))&lt;1%+EIOPA_RFR!AC26,1%+EIOPA_RFR!AC26,EIOPA_RFR!AC26*(1%+VLOOKUP($B21,Int_Rate_Param,2,FALSE))))</f>
        <v>5.2000000000000005E-2</v>
      </c>
      <c r="AD21" s="94">
        <f>IF($B21&gt;20,IF(EIOPA_RFR!AD26*(1%+VLOOKUP($B$27,Int_Rate_Param,2,FALSE))&lt;1%+EIOPA_RFR!AD26,1%+EIOPA_RFR!AD26,EIOPA_RFR!AD26*(1%+VLOOKUP($B$27,Int_Rate_Param,2,FALSE))),IF(EIOPA_RFR!AD26*(1%+VLOOKUP($B21,Int_Rate_Param,2,FALSE))&lt;1%+EIOPA_RFR!AD26,1%+EIOPA_RFR!AD26,EIOPA_RFR!AD26*(1%+VLOOKUP($B21,Int_Rate_Param,2,FALSE))))</f>
        <v>8.2819999999999991E-2</v>
      </c>
      <c r="AE21" s="94">
        <f>IF($B21&gt;20,IF(EIOPA_RFR!AE26*(1%+VLOOKUP($B$27,Int_Rate_Param,2,FALSE))&lt;1%+EIOPA_RFR!AE26,1%+EIOPA_RFR!AE26,EIOPA_RFR!AE26*(1%+VLOOKUP($B$27,Int_Rate_Param,2,FALSE))),IF(EIOPA_RFR!AE26*(1%+VLOOKUP($B21,Int_Rate_Param,2,FALSE))&lt;1%+EIOPA_RFR!AE26,1%+EIOPA_RFR!AE26,EIOPA_RFR!AE26*(1%+VLOOKUP($B21,Int_Rate_Param,2,FALSE))))</f>
        <v>2.0240000000000001E-2</v>
      </c>
      <c r="AF21" s="94">
        <f>IF($B21&gt;20,IF(EIOPA_RFR!AF26*(1%+VLOOKUP($B$27,Int_Rate_Param,2,FALSE))&lt;1%+EIOPA_RFR!AF26,1%+EIOPA_RFR!AF26,EIOPA_RFR!AF26*(1%+VLOOKUP($B$27,Int_Rate_Param,2,FALSE))),IF(EIOPA_RFR!AF26*(1%+VLOOKUP($B21,Int_Rate_Param,2,FALSE))&lt;1%+EIOPA_RFR!AF26,1%+EIOPA_RFR!AF26,EIOPA_RFR!AF26*(1%+VLOOKUP($B21,Int_Rate_Param,2,FALSE))))</f>
        <v>2.0240000000000001E-2</v>
      </c>
      <c r="AG21" s="94">
        <f>IF($B21&gt;20,IF(EIOPA_RFR!AG26*(1%+VLOOKUP($B$27,Int_Rate_Param,2,FALSE))&lt;1%+EIOPA_RFR!AG26,1%+EIOPA_RFR!AG26,EIOPA_RFR!AG26*(1%+VLOOKUP($B$27,Int_Rate_Param,2,FALSE))),IF(EIOPA_RFR!AG26*(1%+VLOOKUP($B21,Int_Rate_Param,2,FALSE))&lt;1%+EIOPA_RFR!AG26,1%+EIOPA_RFR!AG26,EIOPA_RFR!AG26*(1%+VLOOKUP($B21,Int_Rate_Param,2,FALSE))))</f>
        <v>2.0240000000000001E-2</v>
      </c>
      <c r="AH21" s="94">
        <f>IF($B21&gt;20,IF(EIOPA_RFR!AH26*(1%+VLOOKUP($B$27,Int_Rate_Param,2,FALSE))&lt;1%+EIOPA_RFR!AH26,1%+EIOPA_RFR!AH26,EIOPA_RFR!AH26*(1%+VLOOKUP($B$27,Int_Rate_Param,2,FALSE))),IF(EIOPA_RFR!AH26*(1%+VLOOKUP($B21,Int_Rate_Param,2,FALSE))&lt;1%+EIOPA_RFR!AH26,1%+EIOPA_RFR!AH26,EIOPA_RFR!AH26*(1%+VLOOKUP($B21,Int_Rate_Param,2,FALSE))))</f>
        <v>2.7139999999999997E-2</v>
      </c>
      <c r="AI21" s="94">
        <f>IF($B21&gt;20,IF(EIOPA_RFR!AI26*(1%+VLOOKUP($B$27,Int_Rate_Param,2,FALSE))&lt;1%+EIOPA_RFR!AI26,1%+EIOPA_RFR!AI26,EIOPA_RFR!AI26*(1%+VLOOKUP($B$27,Int_Rate_Param,2,FALSE))),IF(EIOPA_RFR!AI26*(1%+VLOOKUP($B21,Int_Rate_Param,2,FALSE))&lt;1%+EIOPA_RFR!AI26,1%+EIOPA_RFR!AI26,EIOPA_RFR!AI26*(1%+VLOOKUP($B21,Int_Rate_Param,2,FALSE))))</f>
        <v>1.248E-2</v>
      </c>
      <c r="AJ21" s="94">
        <f>IF($B21&gt;20,IF(EIOPA_RFR!AJ26*(1%+VLOOKUP($B$27,Int_Rate_Param,2,FALSE))&lt;1%+EIOPA_RFR!AJ26,1%+EIOPA_RFR!AJ26,EIOPA_RFR!AJ26*(1%+VLOOKUP($B$27,Int_Rate_Param,2,FALSE))),IF(EIOPA_RFR!AJ26*(1%+VLOOKUP($B21,Int_Rate_Param,2,FALSE))&lt;1%+EIOPA_RFR!AJ26,1%+EIOPA_RFR!AJ26,EIOPA_RFR!AJ26*(1%+VLOOKUP($B21,Int_Rate_Param,2,FALSE))))</f>
        <v>2.2190000000000001E-2</v>
      </c>
      <c r="AK21" s="94">
        <f>IF($B21&gt;20,IF(EIOPA_RFR!AK26*(1%+VLOOKUP($B$27,Int_Rate_Param,2,FALSE))&lt;1%+EIOPA_RFR!AK26,1%+EIOPA_RFR!AK26,EIOPA_RFR!AK26*(1%+VLOOKUP($B$27,Int_Rate_Param,2,FALSE))),IF(EIOPA_RFR!AK26*(1%+VLOOKUP($B21,Int_Rate_Param,2,FALSE))&lt;1%+EIOPA_RFR!AK26,1%+EIOPA_RFR!AK26,EIOPA_RFR!AK26*(1%+VLOOKUP($B21,Int_Rate_Param,2,FALSE))))</f>
        <v>4.0669999999999998E-2</v>
      </c>
      <c r="AL21" s="94">
        <f>IF($B21&gt;20,IF(EIOPA_RFR!AL26*(1%+VLOOKUP($B$27,Int_Rate_Param,2,FALSE))&lt;1%+EIOPA_RFR!AL26,1%+EIOPA_RFR!AL26,EIOPA_RFR!AL26*(1%+VLOOKUP($B$27,Int_Rate_Param,2,FALSE))),IF(EIOPA_RFR!AL26*(1%+VLOOKUP($B21,Int_Rate_Param,2,FALSE))&lt;1%+EIOPA_RFR!AL26,1%+EIOPA_RFR!AL26,EIOPA_RFR!AL26*(1%+VLOOKUP($B21,Int_Rate_Param,2,FALSE))))</f>
        <v>0.10167</v>
      </c>
      <c r="AM21" s="94">
        <f>IF($B21&gt;20,IF(EIOPA_RFR!AM26*(1%+VLOOKUP($B$27,Int_Rate_Param,2,FALSE))&lt;1%+EIOPA_RFR!AM26,1%+EIOPA_RFR!AM26,EIOPA_RFR!AM26*(1%+VLOOKUP($B$27,Int_Rate_Param,2,FALSE))),IF(EIOPA_RFR!AM26*(1%+VLOOKUP($B21,Int_Rate_Param,2,FALSE))&lt;1%+EIOPA_RFR!AM26,1%+EIOPA_RFR!AM26,EIOPA_RFR!AM26*(1%+VLOOKUP($B21,Int_Rate_Param,2,FALSE))))</f>
        <v>3.0440000000000002E-2</v>
      </c>
      <c r="AN21" s="94">
        <f>IF($B21&gt;20,IF(EIOPA_RFR!AN26*(1%+VLOOKUP($B$27,Int_Rate_Param,2,FALSE))&lt;1%+EIOPA_RFR!AN26,1%+EIOPA_RFR!AN26,EIOPA_RFR!AN26*(1%+VLOOKUP($B$27,Int_Rate_Param,2,FALSE))),IF(EIOPA_RFR!AN26*(1%+VLOOKUP($B21,Int_Rate_Param,2,FALSE))&lt;1%+EIOPA_RFR!AN26,1%+EIOPA_RFR!AN26,EIOPA_RFR!AN26*(1%+VLOOKUP($B21,Int_Rate_Param,2,FALSE))))</f>
        <v>5.1200000000000002E-2</v>
      </c>
      <c r="AO21" s="94">
        <f>IF($B21&gt;20,IF(EIOPA_RFR!AO26*(1%+VLOOKUP($B$27,Int_Rate_Param,2,FALSE))&lt;1%+EIOPA_RFR!AO26,1%+EIOPA_RFR!AO26,EIOPA_RFR!AO26*(1%+VLOOKUP($B$27,Int_Rate_Param,2,FALSE))),IF(EIOPA_RFR!AO26*(1%+VLOOKUP($B21,Int_Rate_Param,2,FALSE))&lt;1%+EIOPA_RFR!AO26,1%+EIOPA_RFR!AO26,EIOPA_RFR!AO26*(1%+VLOOKUP($B21,Int_Rate_Param,2,FALSE))))</f>
        <v>5.3679999999999999E-2</v>
      </c>
      <c r="AP21" s="94">
        <f>IF($B21&gt;20,IF(EIOPA_RFR!AP26*(1%+VLOOKUP($B$27,Int_Rate_Param,2,FALSE))&lt;1%+EIOPA_RFR!AP26,1%+EIOPA_RFR!AP26,EIOPA_RFR!AP26*(1%+VLOOKUP($B$27,Int_Rate_Param,2,FALSE))),IF(EIOPA_RFR!AP26*(1%+VLOOKUP($B21,Int_Rate_Param,2,FALSE))&lt;1%+EIOPA_RFR!AP26,1%+EIOPA_RFR!AP26,EIOPA_RFR!AP26*(1%+VLOOKUP($B21,Int_Rate_Param,2,FALSE))))</f>
        <v>7.2919999999999999E-2</v>
      </c>
      <c r="AQ21" s="94">
        <f>IF($B21&gt;20,IF(EIOPA_RFR!AQ26*(1%+VLOOKUP($B$27,Int_Rate_Param,2,FALSE))&lt;1%+EIOPA_RFR!AQ26,1%+EIOPA_RFR!AQ26,EIOPA_RFR!AQ26*(1%+VLOOKUP($B$27,Int_Rate_Param,2,FALSE))),IF(EIOPA_RFR!AQ26*(1%+VLOOKUP($B21,Int_Rate_Param,2,FALSE))&lt;1%+EIOPA_RFR!AQ26,1%+EIOPA_RFR!AQ26,EIOPA_RFR!AQ26*(1%+VLOOKUP($B21,Int_Rate_Param,2,FALSE))))</f>
        <v>3.3790000000000001E-2</v>
      </c>
      <c r="AR21" s="94">
        <f>IF($B21&gt;20,IF(EIOPA_RFR!AR26*(1%+VLOOKUP($B$27,Int_Rate_Param,2,FALSE))&lt;1%+EIOPA_RFR!AR26,1%+EIOPA_RFR!AR26,EIOPA_RFR!AR26*(1%+VLOOKUP($B$27,Int_Rate_Param,2,FALSE))),IF(EIOPA_RFR!AR26*(1%+VLOOKUP($B21,Int_Rate_Param,2,FALSE))&lt;1%+EIOPA_RFR!AR26,1%+EIOPA_RFR!AR26,EIOPA_RFR!AR26*(1%+VLOOKUP($B21,Int_Rate_Param,2,FALSE))))</f>
        <v>7.8699999999999992E-2</v>
      </c>
      <c r="AS21" s="94">
        <f>IF($B21&gt;20,IF(EIOPA_RFR!AS26*(1%+VLOOKUP($B$27,Int_Rate_Param,2,FALSE))&lt;1%+EIOPA_RFR!AS26,1%+EIOPA_RFR!AS26,EIOPA_RFR!AS26*(1%+VLOOKUP($B$27,Int_Rate_Param,2,FALSE))),IF(EIOPA_RFR!AS26*(1%+VLOOKUP($B21,Int_Rate_Param,2,FALSE))&lt;1%+EIOPA_RFR!AS26,1%+EIOPA_RFR!AS26,EIOPA_RFR!AS26*(1%+VLOOKUP($B21,Int_Rate_Param,2,FALSE))))</f>
        <v>1.3469999999999999E-2</v>
      </c>
      <c r="AT21" s="94">
        <f>IF($B21&gt;20,IF(EIOPA_RFR!AT26*(1%+VLOOKUP($B$27,Int_Rate_Param,2,FALSE))&lt;1%+EIOPA_RFR!AT26,1%+EIOPA_RFR!AT26,EIOPA_RFR!AT26*(1%+VLOOKUP($B$27,Int_Rate_Param,2,FALSE))),IF(EIOPA_RFR!AT26*(1%+VLOOKUP($B21,Int_Rate_Param,2,FALSE))&lt;1%+EIOPA_RFR!AT26,1%+EIOPA_RFR!AT26,EIOPA_RFR!AT26*(1%+VLOOKUP($B21,Int_Rate_Param,2,FALSE))))</f>
        <v>5.2000000000000005E-2</v>
      </c>
      <c r="AU21" s="94">
        <f>IF($B21&gt;20,IF(EIOPA_RFR!AU26*(1%+VLOOKUP($B$27,Int_Rate_Param,2,FALSE))&lt;1%+EIOPA_RFR!AU26,1%+EIOPA_RFR!AU26,EIOPA_RFR!AU26*(1%+VLOOKUP($B$27,Int_Rate_Param,2,FALSE))),IF(EIOPA_RFR!AU26*(1%+VLOOKUP($B21,Int_Rate_Param,2,FALSE))&lt;1%+EIOPA_RFR!AU26,1%+EIOPA_RFR!AU26,EIOPA_RFR!AU26*(1%+VLOOKUP($B21,Int_Rate_Param,2,FALSE))))</f>
        <v>8.657999999999999E-2</v>
      </c>
      <c r="AV21" s="94">
        <f>IF($B21&gt;20,IF(EIOPA_RFR!AV26*(1%+VLOOKUP($B$27,Int_Rate_Param,2,FALSE))&lt;1%+EIOPA_RFR!AV26,1%+EIOPA_RFR!AV26,EIOPA_RFR!AV26*(1%+VLOOKUP($B$27,Int_Rate_Param,2,FALSE))),IF(EIOPA_RFR!AV26*(1%+VLOOKUP($B21,Int_Rate_Param,2,FALSE))&lt;1%+EIOPA_RFR!AV26,1%+EIOPA_RFR!AV26,EIOPA_RFR!AV26*(1%+VLOOKUP($B21,Int_Rate_Param,2,FALSE))))</f>
        <v>4.6190000000000002E-2</v>
      </c>
      <c r="AW21" s="94">
        <f>IF($B21&gt;20,IF(EIOPA_RFR!AW26*(1%+VLOOKUP($B$27,Int_Rate_Param,2,FALSE))&lt;1%+EIOPA_RFR!AW26,1%+EIOPA_RFR!AW26,EIOPA_RFR!AW26*(1%+VLOOKUP($B$27,Int_Rate_Param,2,FALSE))),IF(EIOPA_RFR!AW26*(1%+VLOOKUP($B21,Int_Rate_Param,2,FALSE))&lt;1%+EIOPA_RFR!AW26,1%+EIOPA_RFR!AW26,EIOPA_RFR!AW26*(1%+VLOOKUP($B21,Int_Rate_Param,2,FALSE))))</f>
        <v>3.5630000000000002E-2</v>
      </c>
      <c r="AX21" s="94">
        <f>IF($B21&gt;20,IF(EIOPA_RFR!AX26*(1%+VLOOKUP($B$27,Int_Rate_Param,2,FALSE))&lt;1%+EIOPA_RFR!AX26,1%+EIOPA_RFR!AX26,EIOPA_RFR!AX26*(1%+VLOOKUP($B$27,Int_Rate_Param,2,FALSE))),IF(EIOPA_RFR!AX26*(1%+VLOOKUP($B21,Int_Rate_Param,2,FALSE))&lt;1%+EIOPA_RFR!AX26,1%+EIOPA_RFR!AX26,EIOPA_RFR!AX26*(1%+VLOOKUP($B21,Int_Rate_Param,2,FALSE))))</f>
        <v>9.4320000000000001E-2</v>
      </c>
      <c r="AY21" s="94">
        <f>IF($B21&gt;20,IF(EIOPA_RFR!AY26*(1%+VLOOKUP($B$27,Int_Rate_Param,2,FALSE))&lt;1%+EIOPA_RFR!AY26,1%+EIOPA_RFR!AY26,EIOPA_RFR!AY26*(1%+VLOOKUP($B$27,Int_Rate_Param,2,FALSE))),IF(EIOPA_RFR!AY26*(1%+VLOOKUP($B21,Int_Rate_Param,2,FALSE))&lt;1%+EIOPA_RFR!AY26,1%+EIOPA_RFR!AY26,EIOPA_RFR!AY26*(1%+VLOOKUP($B21,Int_Rate_Param,2,FALSE))))</f>
        <v>2.8389999999999999E-2</v>
      </c>
      <c r="AZ21" s="94">
        <f>IF($B21&gt;20,IF(EIOPA_RFR!AZ26*(1%+VLOOKUP($B$27,Int_Rate_Param,2,FALSE))&lt;1%+EIOPA_RFR!AZ26,1%+EIOPA_RFR!AZ26,EIOPA_RFR!AZ26*(1%+VLOOKUP($B$27,Int_Rate_Param,2,FALSE))),IF(EIOPA_RFR!AZ26*(1%+VLOOKUP($B21,Int_Rate_Param,2,FALSE))&lt;1%+EIOPA_RFR!AZ26,1%+EIOPA_RFR!AZ26,EIOPA_RFR!AZ26*(1%+VLOOKUP($B21,Int_Rate_Param,2,FALSE))))</f>
        <v>2.4300000000000002E-2</v>
      </c>
      <c r="BA21" s="94">
        <f>IF($B21&gt;20,IF(EIOPA_RFR!BA26*(1%+VLOOKUP($B$27,Int_Rate_Param,2,FALSE))&lt;1%+EIOPA_RFR!BA26,1%+EIOPA_RFR!BA26,EIOPA_RFR!BA26*(1%+VLOOKUP($B$27,Int_Rate_Param,2,FALSE))),IF(EIOPA_RFR!BA26*(1%+VLOOKUP($B21,Int_Rate_Param,2,FALSE))&lt;1%+EIOPA_RFR!BA26,1%+EIOPA_RFR!BA26,EIOPA_RFR!BA26*(1%+VLOOKUP($B21,Int_Rate_Param,2,FALSE))))</f>
        <v>3.7470000000000003E-2</v>
      </c>
      <c r="BB21" s="94">
        <f>IF($B21&gt;20,IF(EIOPA_RFR!BB26*(1%+VLOOKUP($B$27,Int_Rate_Param,2,FALSE))&lt;1%+EIOPA_RFR!BB26,1%+EIOPA_RFR!BB26,EIOPA_RFR!BB26*(1%+VLOOKUP($B$27,Int_Rate_Param,2,FALSE))),IF(EIOPA_RFR!BB26*(1%+VLOOKUP($B21,Int_Rate_Param,2,FALSE))&lt;1%+EIOPA_RFR!BB26,1%+EIOPA_RFR!BB26,EIOPA_RFR!BB26*(1%+VLOOKUP($B21,Int_Rate_Param,2,FALSE))))</f>
        <v>0.10929</v>
      </c>
      <c r="BC21" s="94">
        <f>IF($B21&gt;20,IF(EIOPA_RFR!BC26*(1%+VLOOKUP($B$27,Int_Rate_Param,2,FALSE))&lt;1%+EIOPA_RFR!BC26,1%+EIOPA_RFR!BC26,EIOPA_RFR!BC26*(1%+VLOOKUP($B$27,Int_Rate_Param,2,FALSE))),IF(EIOPA_RFR!BC26*(1%+VLOOKUP($B21,Int_Rate_Param,2,FALSE))&lt;1%+EIOPA_RFR!BC26,1%+EIOPA_RFR!BC26,EIOPA_RFR!BC26*(1%+VLOOKUP($B21,Int_Rate_Param,2,FALSE))))</f>
        <v>3.4160000000000003E-2</v>
      </c>
    </row>
    <row r="22" spans="1:55" x14ac:dyDescent="0.25">
      <c r="A22">
        <f t="shared" si="0"/>
        <v>17</v>
      </c>
      <c r="B22" s="95">
        <v>15</v>
      </c>
      <c r="C22" s="94">
        <f>IF($B22&gt;20,IF(EIOPA_RFR!C27*(1%+VLOOKUP($B$27,Int_Rate_Param,2,FALSE))&lt;1%+EIOPA_RFR!C27,1%+EIOPA_RFR!C27,EIOPA_RFR!C27*(1%+VLOOKUP($B$27,Int_Rate_Param,2,FALSE))),IF(EIOPA_RFR!C27*(1%+VLOOKUP($B22,Int_Rate_Param,2,FALSE))&lt;1%+EIOPA_RFR!C27,1%+EIOPA_RFR!C27,EIOPA_RFR!C27*(1%+VLOOKUP($B22,Int_Rate_Param,2,FALSE))))</f>
        <v>2.078E-2</v>
      </c>
      <c r="D22" s="94">
        <f>IF($B22&gt;20,IF(EIOPA_RFR!D27*(1%+VLOOKUP($B$27,Int_Rate_Param,2,FALSE))&lt;1%+EIOPA_RFR!D27,1%+EIOPA_RFR!D27,EIOPA_RFR!D27*(1%+VLOOKUP($B$27,Int_Rate_Param,2,FALSE))),IF(EIOPA_RFR!D27*(1%+VLOOKUP($B22,Int_Rate_Param,2,FALSE))&lt;1%+EIOPA_RFR!D27,1%+EIOPA_RFR!D27,EIOPA_RFR!D27*(1%+VLOOKUP($B22,Int_Rate_Param,2,FALSE))))</f>
        <v>2.078E-2</v>
      </c>
      <c r="E22" s="94">
        <f>IF($B22&gt;20,IF(EIOPA_RFR!E27*(1%+VLOOKUP($B$27,Int_Rate_Param,2,FALSE))&lt;1%+EIOPA_RFR!E27,1%+EIOPA_RFR!E27,EIOPA_RFR!E27*(1%+VLOOKUP($B$27,Int_Rate_Param,2,FALSE))),IF(EIOPA_RFR!E27*(1%+VLOOKUP($B22,Int_Rate_Param,2,FALSE))&lt;1%+EIOPA_RFR!E27,1%+EIOPA_RFR!E27,EIOPA_RFR!E27*(1%+VLOOKUP($B22,Int_Rate_Param,2,FALSE))))</f>
        <v>2.078E-2</v>
      </c>
      <c r="F22" s="94">
        <f>IF($B22&gt;20,IF(EIOPA_RFR!F27*(1%+VLOOKUP($B$27,Int_Rate_Param,2,FALSE))&lt;1%+EIOPA_RFR!F27,1%+EIOPA_RFR!F27,EIOPA_RFR!F27*(1%+VLOOKUP($B$27,Int_Rate_Param,2,FALSE))),IF(EIOPA_RFR!F27*(1%+VLOOKUP($B22,Int_Rate_Param,2,FALSE))&lt;1%+EIOPA_RFR!F27,1%+EIOPA_RFR!F27,EIOPA_RFR!F27*(1%+VLOOKUP($B22,Int_Rate_Param,2,FALSE))))</f>
        <v>2.026E-2</v>
      </c>
      <c r="G22" s="94">
        <f>IF($B22&gt;20,IF(EIOPA_RFR!G27*(1%+VLOOKUP($B$27,Int_Rate_Param,2,FALSE))&lt;1%+EIOPA_RFR!G27,1%+EIOPA_RFR!G27,EIOPA_RFR!G27*(1%+VLOOKUP($B$27,Int_Rate_Param,2,FALSE))),IF(EIOPA_RFR!G27*(1%+VLOOKUP($B22,Int_Rate_Param,2,FALSE))&lt;1%+EIOPA_RFR!G27,1%+EIOPA_RFR!G27,EIOPA_RFR!G27*(1%+VLOOKUP($B22,Int_Rate_Param,2,FALSE))))</f>
        <v>4.1829999999999999E-2</v>
      </c>
      <c r="H22" s="94">
        <f>IF($B22&gt;20,IF(EIOPA_RFR!H27*(1%+VLOOKUP($B$27,Int_Rate_Param,2,FALSE))&lt;1%+EIOPA_RFR!H27,1%+EIOPA_RFR!H27,EIOPA_RFR!H27*(1%+VLOOKUP($B$27,Int_Rate_Param,2,FALSE))),IF(EIOPA_RFR!H27*(1%+VLOOKUP($B22,Int_Rate_Param,2,FALSE))&lt;1%+EIOPA_RFR!H27,1%+EIOPA_RFR!H27,EIOPA_RFR!H27*(1%+VLOOKUP($B22,Int_Rate_Param,2,FALSE))))</f>
        <v>2.078E-2</v>
      </c>
      <c r="I22" s="94">
        <f>IF($B22&gt;20,IF(EIOPA_RFR!I27*(1%+VLOOKUP($B$27,Int_Rate_Param,2,FALSE))&lt;1%+EIOPA_RFR!I27,1%+EIOPA_RFR!I27,EIOPA_RFR!I27*(1%+VLOOKUP($B$27,Int_Rate_Param,2,FALSE))),IF(EIOPA_RFR!I27*(1%+VLOOKUP($B22,Int_Rate_Param,2,FALSE))&lt;1%+EIOPA_RFR!I27,1%+EIOPA_RFR!I27,EIOPA_RFR!I27*(1%+VLOOKUP($B22,Int_Rate_Param,2,FALSE))))</f>
        <v>2.3089999999999999E-2</v>
      </c>
      <c r="J22" s="94">
        <f>IF($B22&gt;20,IF(EIOPA_RFR!J27*(1%+VLOOKUP($B$27,Int_Rate_Param,2,FALSE))&lt;1%+EIOPA_RFR!J27,1%+EIOPA_RFR!J27,EIOPA_RFR!J27*(1%+VLOOKUP($B$27,Int_Rate_Param,2,FALSE))),IF(EIOPA_RFR!J27*(1%+VLOOKUP($B22,Int_Rate_Param,2,FALSE))&lt;1%+EIOPA_RFR!J27,1%+EIOPA_RFR!J27,EIOPA_RFR!J27*(1%+VLOOKUP($B22,Int_Rate_Param,2,FALSE))))</f>
        <v>2.0670000000000001E-2</v>
      </c>
      <c r="K22" s="94">
        <f>IF($B22&gt;20,IF(EIOPA_RFR!K27*(1%+VLOOKUP($B$27,Int_Rate_Param,2,FALSE))&lt;1%+EIOPA_RFR!K27,1%+EIOPA_RFR!K27,EIOPA_RFR!K27*(1%+VLOOKUP($B$27,Int_Rate_Param,2,FALSE))),IF(EIOPA_RFR!K27*(1%+VLOOKUP($B22,Int_Rate_Param,2,FALSE))&lt;1%+EIOPA_RFR!K27,1%+EIOPA_RFR!K27,EIOPA_RFR!K27*(1%+VLOOKUP($B22,Int_Rate_Param,2,FALSE))))</f>
        <v>2.078E-2</v>
      </c>
      <c r="L22" s="94">
        <f>IF($B22&gt;20,IF(EIOPA_RFR!L27*(1%+VLOOKUP($B$27,Int_Rate_Param,2,FALSE))&lt;1%+EIOPA_RFR!L27,1%+EIOPA_RFR!L27,EIOPA_RFR!L27*(1%+VLOOKUP($B$27,Int_Rate_Param,2,FALSE))),IF(EIOPA_RFR!L27*(1%+VLOOKUP($B22,Int_Rate_Param,2,FALSE))&lt;1%+EIOPA_RFR!L27,1%+EIOPA_RFR!L27,EIOPA_RFR!L27*(1%+VLOOKUP($B22,Int_Rate_Param,2,FALSE))))</f>
        <v>2.078E-2</v>
      </c>
      <c r="M22" s="94">
        <f>IF($B22&gt;20,IF(EIOPA_RFR!M27*(1%+VLOOKUP($B$27,Int_Rate_Param,2,FALSE))&lt;1%+EIOPA_RFR!M27,1%+EIOPA_RFR!M27,EIOPA_RFR!M27*(1%+VLOOKUP($B$27,Int_Rate_Param,2,FALSE))),IF(EIOPA_RFR!M27*(1%+VLOOKUP($B22,Int_Rate_Param,2,FALSE))&lt;1%+EIOPA_RFR!M27,1%+EIOPA_RFR!M27,EIOPA_RFR!M27*(1%+VLOOKUP($B22,Int_Rate_Param,2,FALSE))))</f>
        <v>2.078E-2</v>
      </c>
      <c r="N22" s="94">
        <f>IF($B22&gt;20,IF(EIOPA_RFR!N27*(1%+VLOOKUP($B$27,Int_Rate_Param,2,FALSE))&lt;1%+EIOPA_RFR!N27,1%+EIOPA_RFR!N27,EIOPA_RFR!N27*(1%+VLOOKUP($B$27,Int_Rate_Param,2,FALSE))),IF(EIOPA_RFR!N27*(1%+VLOOKUP($B22,Int_Rate_Param,2,FALSE))&lt;1%+EIOPA_RFR!N27,1%+EIOPA_RFR!N27,EIOPA_RFR!N27*(1%+VLOOKUP($B22,Int_Rate_Param,2,FALSE))))</f>
        <v>2.078E-2</v>
      </c>
      <c r="O22" s="94">
        <f>IF($B22&gt;20,IF(EIOPA_RFR!O27*(1%+VLOOKUP($B$27,Int_Rate_Param,2,FALSE))&lt;1%+EIOPA_RFR!O27,1%+EIOPA_RFR!O27,EIOPA_RFR!O27*(1%+VLOOKUP($B$27,Int_Rate_Param,2,FALSE))),IF(EIOPA_RFR!O27*(1%+VLOOKUP($B22,Int_Rate_Param,2,FALSE))&lt;1%+EIOPA_RFR!O27,1%+EIOPA_RFR!O27,EIOPA_RFR!O27*(1%+VLOOKUP($B22,Int_Rate_Param,2,FALSE))))</f>
        <v>2.078E-2</v>
      </c>
      <c r="P22" s="94">
        <f>IF($B22&gt;20,IF(EIOPA_RFR!P27*(1%+VLOOKUP($B$27,Int_Rate_Param,2,FALSE))&lt;1%+EIOPA_RFR!P27,1%+EIOPA_RFR!P27,EIOPA_RFR!P27*(1%+VLOOKUP($B$27,Int_Rate_Param,2,FALSE))),IF(EIOPA_RFR!P27*(1%+VLOOKUP($B22,Int_Rate_Param,2,FALSE))&lt;1%+EIOPA_RFR!P27,1%+EIOPA_RFR!P27,EIOPA_RFR!P27*(1%+VLOOKUP($B22,Int_Rate_Param,2,FALSE))))</f>
        <v>4.8600000000000004E-2</v>
      </c>
      <c r="Q22" s="94">
        <f>IF($B22&gt;20,IF(EIOPA_RFR!Q27*(1%+VLOOKUP($B$27,Int_Rate_Param,2,FALSE))&lt;1%+EIOPA_RFR!Q27,1%+EIOPA_RFR!Q27,EIOPA_RFR!Q27*(1%+VLOOKUP($B$27,Int_Rate_Param,2,FALSE))),IF(EIOPA_RFR!Q27*(1%+VLOOKUP($B22,Int_Rate_Param,2,FALSE))&lt;1%+EIOPA_RFR!Q27,1%+EIOPA_RFR!Q27,EIOPA_RFR!Q27*(1%+VLOOKUP($B22,Int_Rate_Param,2,FALSE))))</f>
        <v>5.6989999999999999E-2</v>
      </c>
      <c r="R22" s="94">
        <f>IF($B22&gt;20,IF(EIOPA_RFR!R27*(1%+VLOOKUP($B$27,Int_Rate_Param,2,FALSE))&lt;1%+EIOPA_RFR!R27,1%+EIOPA_RFR!R27,EIOPA_RFR!R27*(1%+VLOOKUP($B$27,Int_Rate_Param,2,FALSE))),IF(EIOPA_RFR!R27*(1%+VLOOKUP($B22,Int_Rate_Param,2,FALSE))&lt;1%+EIOPA_RFR!R27,1%+EIOPA_RFR!R27,EIOPA_RFR!R27*(1%+VLOOKUP($B22,Int_Rate_Param,2,FALSE))))</f>
        <v>2.078E-2</v>
      </c>
      <c r="S22" s="94">
        <f>IF($B22&gt;20,IF(EIOPA_RFR!S27*(1%+VLOOKUP($B$27,Int_Rate_Param,2,FALSE))&lt;1%+EIOPA_RFR!S27,1%+EIOPA_RFR!S27,EIOPA_RFR!S27*(1%+VLOOKUP($B$27,Int_Rate_Param,2,FALSE))),IF(EIOPA_RFR!S27*(1%+VLOOKUP($B22,Int_Rate_Param,2,FALSE))&lt;1%+EIOPA_RFR!S27,1%+EIOPA_RFR!S27,EIOPA_RFR!S27*(1%+VLOOKUP($B22,Int_Rate_Param,2,FALSE))))</f>
        <v>2.078E-2</v>
      </c>
      <c r="T22" s="94">
        <f>IF($B22&gt;20,IF(EIOPA_RFR!T27*(1%+VLOOKUP($B$27,Int_Rate_Param,2,FALSE))&lt;1%+EIOPA_RFR!T27,1%+EIOPA_RFR!T27,EIOPA_RFR!T27*(1%+VLOOKUP($B$27,Int_Rate_Param,2,FALSE))),IF(EIOPA_RFR!T27*(1%+VLOOKUP($B22,Int_Rate_Param,2,FALSE))&lt;1%+EIOPA_RFR!T27,1%+EIOPA_RFR!T27,EIOPA_RFR!T27*(1%+VLOOKUP($B22,Int_Rate_Param,2,FALSE))))</f>
        <v>2.078E-2</v>
      </c>
      <c r="U22" s="94">
        <f>IF($B22&gt;20,IF(EIOPA_RFR!U27*(1%+VLOOKUP($B$27,Int_Rate_Param,2,FALSE))&lt;1%+EIOPA_RFR!U27,1%+EIOPA_RFR!U27,EIOPA_RFR!U27*(1%+VLOOKUP($B$27,Int_Rate_Param,2,FALSE))),IF(EIOPA_RFR!U27*(1%+VLOOKUP($B22,Int_Rate_Param,2,FALSE))&lt;1%+EIOPA_RFR!U27,1%+EIOPA_RFR!U27,EIOPA_RFR!U27*(1%+VLOOKUP($B22,Int_Rate_Param,2,FALSE))))</f>
        <v>1.289E-2</v>
      </c>
      <c r="V22" s="94">
        <f>IF($B22&gt;20,IF(EIOPA_RFR!V27*(1%+VLOOKUP($B$27,Int_Rate_Param,2,FALSE))&lt;1%+EIOPA_RFR!V27,1%+EIOPA_RFR!V27,EIOPA_RFR!V27*(1%+VLOOKUP($B$27,Int_Rate_Param,2,FALSE))),IF(EIOPA_RFR!V27*(1%+VLOOKUP($B22,Int_Rate_Param,2,FALSE))&lt;1%+EIOPA_RFR!V27,1%+EIOPA_RFR!V27,EIOPA_RFR!V27*(1%+VLOOKUP($B22,Int_Rate_Param,2,FALSE))))</f>
        <v>2.078E-2</v>
      </c>
      <c r="W22" s="94">
        <f>IF($B22&gt;20,IF(EIOPA_RFR!W27*(1%+VLOOKUP($B$27,Int_Rate_Param,2,FALSE))&lt;1%+EIOPA_RFR!W27,1%+EIOPA_RFR!W27,EIOPA_RFR!W27*(1%+VLOOKUP($B$27,Int_Rate_Param,2,FALSE))),IF(EIOPA_RFR!W27*(1%+VLOOKUP($B22,Int_Rate_Param,2,FALSE))&lt;1%+EIOPA_RFR!W27,1%+EIOPA_RFR!W27,EIOPA_RFR!W27*(1%+VLOOKUP($B22,Int_Rate_Param,2,FALSE))))</f>
        <v>2.078E-2</v>
      </c>
      <c r="X22" s="94">
        <f>IF($B22&gt;20,IF(EIOPA_RFR!X27*(1%+VLOOKUP($B$27,Int_Rate_Param,2,FALSE))&lt;1%+EIOPA_RFR!X27,1%+EIOPA_RFR!X27,EIOPA_RFR!X27*(1%+VLOOKUP($B$27,Int_Rate_Param,2,FALSE))),IF(EIOPA_RFR!X27*(1%+VLOOKUP($B22,Int_Rate_Param,2,FALSE))&lt;1%+EIOPA_RFR!X27,1%+EIOPA_RFR!X27,EIOPA_RFR!X27*(1%+VLOOKUP($B22,Int_Rate_Param,2,FALSE))))</f>
        <v>2.078E-2</v>
      </c>
      <c r="Y22" s="94">
        <f>IF($B22&gt;20,IF(EIOPA_RFR!Y27*(1%+VLOOKUP($B$27,Int_Rate_Param,2,FALSE))&lt;1%+EIOPA_RFR!Y27,1%+EIOPA_RFR!Y27,EIOPA_RFR!Y27*(1%+VLOOKUP($B$27,Int_Rate_Param,2,FALSE))),IF(EIOPA_RFR!Y27*(1%+VLOOKUP($B22,Int_Rate_Param,2,FALSE))&lt;1%+EIOPA_RFR!Y27,1%+EIOPA_RFR!Y27,EIOPA_RFR!Y27*(1%+VLOOKUP($B22,Int_Rate_Param,2,FALSE))))</f>
        <v>2.078E-2</v>
      </c>
      <c r="Z22" s="94">
        <f>IF($B22&gt;20,IF(EIOPA_RFR!Z27*(1%+VLOOKUP($B$27,Int_Rate_Param,2,FALSE))&lt;1%+EIOPA_RFR!Z27,1%+EIOPA_RFR!Z27,EIOPA_RFR!Z27*(1%+VLOOKUP($B$27,Int_Rate_Param,2,FALSE))),IF(EIOPA_RFR!Z27*(1%+VLOOKUP($B22,Int_Rate_Param,2,FALSE))&lt;1%+EIOPA_RFR!Z27,1%+EIOPA_RFR!Z27,EIOPA_RFR!Z27*(1%+VLOOKUP($B22,Int_Rate_Param,2,FALSE))))</f>
        <v>3.1919999999999997E-2</v>
      </c>
      <c r="AA22" s="94">
        <f>IF($B22&gt;20,IF(EIOPA_RFR!AA27*(1%+VLOOKUP($B$27,Int_Rate_Param,2,FALSE))&lt;1%+EIOPA_RFR!AA27,1%+EIOPA_RFR!AA27,EIOPA_RFR!AA27*(1%+VLOOKUP($B$27,Int_Rate_Param,2,FALSE))),IF(EIOPA_RFR!AA27*(1%+VLOOKUP($B22,Int_Rate_Param,2,FALSE))&lt;1%+EIOPA_RFR!AA27,1%+EIOPA_RFR!AA27,EIOPA_RFR!AA27*(1%+VLOOKUP($B22,Int_Rate_Param,2,FALSE))))</f>
        <v>4.7080000000000004E-2</v>
      </c>
      <c r="AB22" s="94">
        <f>IF($B22&gt;20,IF(EIOPA_RFR!AB27*(1%+VLOOKUP($B$27,Int_Rate_Param,2,FALSE))&lt;1%+EIOPA_RFR!AB27,1%+EIOPA_RFR!AB27,EIOPA_RFR!AB27*(1%+VLOOKUP($B$27,Int_Rate_Param,2,FALSE))),IF(EIOPA_RFR!AB27*(1%+VLOOKUP($B22,Int_Rate_Param,2,FALSE))&lt;1%+EIOPA_RFR!AB27,1%+EIOPA_RFR!AB27,EIOPA_RFR!AB27*(1%+VLOOKUP($B22,Int_Rate_Param,2,FALSE))))</f>
        <v>2.078E-2</v>
      </c>
      <c r="AC22" s="94">
        <f>IF($B22&gt;20,IF(EIOPA_RFR!AC27*(1%+VLOOKUP($B$27,Int_Rate_Param,2,FALSE))&lt;1%+EIOPA_RFR!AC27,1%+EIOPA_RFR!AC27,EIOPA_RFR!AC27*(1%+VLOOKUP($B$27,Int_Rate_Param,2,FALSE))),IF(EIOPA_RFR!AC27*(1%+VLOOKUP($B22,Int_Rate_Param,2,FALSE))&lt;1%+EIOPA_RFR!AC27,1%+EIOPA_RFR!AC27,EIOPA_RFR!AC27*(1%+VLOOKUP($B22,Int_Rate_Param,2,FALSE))))</f>
        <v>5.2430000000000004E-2</v>
      </c>
      <c r="AD22" s="94">
        <f>IF($B22&gt;20,IF(EIOPA_RFR!AD27*(1%+VLOOKUP($B$27,Int_Rate_Param,2,FALSE))&lt;1%+EIOPA_RFR!AD27,1%+EIOPA_RFR!AD27,EIOPA_RFR!AD27*(1%+VLOOKUP($B$27,Int_Rate_Param,2,FALSE))),IF(EIOPA_RFR!AD27*(1%+VLOOKUP($B22,Int_Rate_Param,2,FALSE))&lt;1%+EIOPA_RFR!AD27,1%+EIOPA_RFR!AD27,EIOPA_RFR!AD27*(1%+VLOOKUP($B22,Int_Rate_Param,2,FALSE))))</f>
        <v>8.1879999999999994E-2</v>
      </c>
      <c r="AE22" s="94">
        <f>IF($B22&gt;20,IF(EIOPA_RFR!AE27*(1%+VLOOKUP($B$27,Int_Rate_Param,2,FALSE))&lt;1%+EIOPA_RFR!AE27,1%+EIOPA_RFR!AE27,EIOPA_RFR!AE27*(1%+VLOOKUP($B$27,Int_Rate_Param,2,FALSE))),IF(EIOPA_RFR!AE27*(1%+VLOOKUP($B22,Int_Rate_Param,2,FALSE))&lt;1%+EIOPA_RFR!AE27,1%+EIOPA_RFR!AE27,EIOPA_RFR!AE27*(1%+VLOOKUP($B22,Int_Rate_Param,2,FALSE))))</f>
        <v>2.078E-2</v>
      </c>
      <c r="AF22" s="94">
        <f>IF($B22&gt;20,IF(EIOPA_RFR!AF27*(1%+VLOOKUP($B$27,Int_Rate_Param,2,FALSE))&lt;1%+EIOPA_RFR!AF27,1%+EIOPA_RFR!AF27,EIOPA_RFR!AF27*(1%+VLOOKUP($B$27,Int_Rate_Param,2,FALSE))),IF(EIOPA_RFR!AF27*(1%+VLOOKUP($B22,Int_Rate_Param,2,FALSE))&lt;1%+EIOPA_RFR!AF27,1%+EIOPA_RFR!AF27,EIOPA_RFR!AF27*(1%+VLOOKUP($B22,Int_Rate_Param,2,FALSE))))</f>
        <v>2.078E-2</v>
      </c>
      <c r="AG22" s="94">
        <f>IF($B22&gt;20,IF(EIOPA_RFR!AG27*(1%+VLOOKUP($B$27,Int_Rate_Param,2,FALSE))&lt;1%+EIOPA_RFR!AG27,1%+EIOPA_RFR!AG27,EIOPA_RFR!AG27*(1%+VLOOKUP($B$27,Int_Rate_Param,2,FALSE))),IF(EIOPA_RFR!AG27*(1%+VLOOKUP($B22,Int_Rate_Param,2,FALSE))&lt;1%+EIOPA_RFR!AG27,1%+EIOPA_RFR!AG27,EIOPA_RFR!AG27*(1%+VLOOKUP($B22,Int_Rate_Param,2,FALSE))))</f>
        <v>2.078E-2</v>
      </c>
      <c r="AH22" s="94">
        <f>IF($B22&gt;20,IF(EIOPA_RFR!AH27*(1%+VLOOKUP($B$27,Int_Rate_Param,2,FALSE))&lt;1%+EIOPA_RFR!AH27,1%+EIOPA_RFR!AH27,EIOPA_RFR!AH27*(1%+VLOOKUP($B$27,Int_Rate_Param,2,FALSE))),IF(EIOPA_RFR!AH27*(1%+VLOOKUP($B22,Int_Rate_Param,2,FALSE))&lt;1%+EIOPA_RFR!AH27,1%+EIOPA_RFR!AH27,EIOPA_RFR!AH27*(1%+VLOOKUP($B22,Int_Rate_Param,2,FALSE))))</f>
        <v>2.8659999999999998E-2</v>
      </c>
      <c r="AI22" s="94">
        <f>IF($B22&gt;20,IF(EIOPA_RFR!AI27*(1%+VLOOKUP($B$27,Int_Rate_Param,2,FALSE))&lt;1%+EIOPA_RFR!AI27,1%+EIOPA_RFR!AI27,EIOPA_RFR!AI27*(1%+VLOOKUP($B$27,Int_Rate_Param,2,FALSE))),IF(EIOPA_RFR!AI27*(1%+VLOOKUP($B22,Int_Rate_Param,2,FALSE))&lt;1%+EIOPA_RFR!AI27,1%+EIOPA_RFR!AI27,EIOPA_RFR!AI27*(1%+VLOOKUP($B22,Int_Rate_Param,2,FALSE))))</f>
        <v>1.289E-2</v>
      </c>
      <c r="AJ22" s="94">
        <f>IF($B22&gt;20,IF(EIOPA_RFR!AJ27*(1%+VLOOKUP($B$27,Int_Rate_Param,2,FALSE))&lt;1%+EIOPA_RFR!AJ27,1%+EIOPA_RFR!AJ27,EIOPA_RFR!AJ27*(1%+VLOOKUP($B$27,Int_Rate_Param,2,FALSE))),IF(EIOPA_RFR!AJ27*(1%+VLOOKUP($B22,Int_Rate_Param,2,FALSE))&lt;1%+EIOPA_RFR!AJ27,1%+EIOPA_RFR!AJ27,EIOPA_RFR!AJ27*(1%+VLOOKUP($B22,Int_Rate_Param,2,FALSE))))</f>
        <v>2.2409999999999999E-2</v>
      </c>
      <c r="AK22" s="94">
        <f>IF($B22&gt;20,IF(EIOPA_RFR!AK27*(1%+VLOOKUP($B$27,Int_Rate_Param,2,FALSE))&lt;1%+EIOPA_RFR!AK27,1%+EIOPA_RFR!AK27,EIOPA_RFR!AK27*(1%+VLOOKUP($B$27,Int_Rate_Param,2,FALSE))),IF(EIOPA_RFR!AK27*(1%+VLOOKUP($B22,Int_Rate_Param,2,FALSE))&lt;1%+EIOPA_RFR!AK27,1%+EIOPA_RFR!AK27,EIOPA_RFR!AK27*(1%+VLOOKUP($B22,Int_Rate_Param,2,FALSE))))</f>
        <v>4.1079999999999998E-2</v>
      </c>
      <c r="AL22" s="94">
        <f>IF($B22&gt;20,IF(EIOPA_RFR!AL27*(1%+VLOOKUP($B$27,Int_Rate_Param,2,FALSE))&lt;1%+EIOPA_RFR!AL27,1%+EIOPA_RFR!AL27,EIOPA_RFR!AL27*(1%+VLOOKUP($B$27,Int_Rate_Param,2,FALSE))),IF(EIOPA_RFR!AL27*(1%+VLOOKUP($B22,Int_Rate_Param,2,FALSE))&lt;1%+EIOPA_RFR!AL27,1%+EIOPA_RFR!AL27,EIOPA_RFR!AL27*(1%+VLOOKUP($B22,Int_Rate_Param,2,FALSE))))</f>
        <v>0.10081999999999999</v>
      </c>
      <c r="AM22" s="94">
        <f>IF($B22&gt;20,IF(EIOPA_RFR!AM27*(1%+VLOOKUP($B$27,Int_Rate_Param,2,FALSE))&lt;1%+EIOPA_RFR!AM27,1%+EIOPA_RFR!AM27,EIOPA_RFR!AM27*(1%+VLOOKUP($B$27,Int_Rate_Param,2,FALSE))),IF(EIOPA_RFR!AM27*(1%+VLOOKUP($B22,Int_Rate_Param,2,FALSE))&lt;1%+EIOPA_RFR!AM27,1%+EIOPA_RFR!AM27,EIOPA_RFR!AM27*(1%+VLOOKUP($B22,Int_Rate_Param,2,FALSE))))</f>
        <v>3.1039999999999998E-2</v>
      </c>
      <c r="AN22" s="94">
        <f>IF($B22&gt;20,IF(EIOPA_RFR!AN27*(1%+VLOOKUP($B$27,Int_Rate_Param,2,FALSE))&lt;1%+EIOPA_RFR!AN27,1%+EIOPA_RFR!AN27,EIOPA_RFR!AN27*(1%+VLOOKUP($B$27,Int_Rate_Param,2,FALSE))),IF(EIOPA_RFR!AN27*(1%+VLOOKUP($B22,Int_Rate_Param,2,FALSE))&lt;1%+EIOPA_RFR!AN27,1%+EIOPA_RFR!AN27,EIOPA_RFR!AN27*(1%+VLOOKUP($B22,Int_Rate_Param,2,FALSE))))</f>
        <v>5.144E-2</v>
      </c>
      <c r="AO22" s="94">
        <f>IF($B22&gt;20,IF(EIOPA_RFR!AO27*(1%+VLOOKUP($B$27,Int_Rate_Param,2,FALSE))&lt;1%+EIOPA_RFR!AO27,1%+EIOPA_RFR!AO27,EIOPA_RFR!AO27*(1%+VLOOKUP($B$27,Int_Rate_Param,2,FALSE))),IF(EIOPA_RFR!AO27*(1%+VLOOKUP($B22,Int_Rate_Param,2,FALSE))&lt;1%+EIOPA_RFR!AO27,1%+EIOPA_RFR!AO27,EIOPA_RFR!AO27*(1%+VLOOKUP($B22,Int_Rate_Param,2,FALSE))))</f>
        <v>5.3860000000000005E-2</v>
      </c>
      <c r="AP22" s="94">
        <f>IF($B22&gt;20,IF(EIOPA_RFR!AP27*(1%+VLOOKUP($B$27,Int_Rate_Param,2,FALSE))&lt;1%+EIOPA_RFR!AP27,1%+EIOPA_RFR!AP27,EIOPA_RFR!AP27*(1%+VLOOKUP($B$27,Int_Rate_Param,2,FALSE))),IF(EIOPA_RFR!AP27*(1%+VLOOKUP($B22,Int_Rate_Param,2,FALSE))&lt;1%+EIOPA_RFR!AP27,1%+EIOPA_RFR!AP27,EIOPA_RFR!AP27*(1%+VLOOKUP($B22,Int_Rate_Param,2,FALSE))))</f>
        <v>7.2659999999999988E-2</v>
      </c>
      <c r="AQ22" s="94">
        <f>IF($B22&gt;20,IF(EIOPA_RFR!AQ27*(1%+VLOOKUP($B$27,Int_Rate_Param,2,FALSE))&lt;1%+EIOPA_RFR!AQ27,1%+EIOPA_RFR!AQ27,EIOPA_RFR!AQ27*(1%+VLOOKUP($B$27,Int_Rate_Param,2,FALSE))),IF(EIOPA_RFR!AQ27*(1%+VLOOKUP($B22,Int_Rate_Param,2,FALSE))&lt;1%+EIOPA_RFR!AQ27,1%+EIOPA_RFR!AQ27,EIOPA_RFR!AQ27*(1%+VLOOKUP($B22,Int_Rate_Param,2,FALSE))))</f>
        <v>3.4140000000000004E-2</v>
      </c>
      <c r="AR22" s="94">
        <f>IF($B22&gt;20,IF(EIOPA_RFR!AR27*(1%+VLOOKUP($B$27,Int_Rate_Param,2,FALSE))&lt;1%+EIOPA_RFR!AR27,1%+EIOPA_RFR!AR27,EIOPA_RFR!AR27*(1%+VLOOKUP($B$27,Int_Rate_Param,2,FALSE))),IF(EIOPA_RFR!AR27*(1%+VLOOKUP($B22,Int_Rate_Param,2,FALSE))&lt;1%+EIOPA_RFR!AR27,1%+EIOPA_RFR!AR27,EIOPA_RFR!AR27*(1%+VLOOKUP($B22,Int_Rate_Param,2,FALSE))))</f>
        <v>7.8549999999999995E-2</v>
      </c>
      <c r="AS22" s="94">
        <f>IF($B22&gt;20,IF(EIOPA_RFR!AS27*(1%+VLOOKUP($B$27,Int_Rate_Param,2,FALSE))&lt;1%+EIOPA_RFR!AS27,1%+EIOPA_RFR!AS27,EIOPA_RFR!AS27*(1%+VLOOKUP($B$27,Int_Rate_Param,2,FALSE))),IF(EIOPA_RFR!AS27*(1%+VLOOKUP($B22,Int_Rate_Param,2,FALSE))&lt;1%+EIOPA_RFR!AS27,1%+EIOPA_RFR!AS27,EIOPA_RFR!AS27*(1%+VLOOKUP($B22,Int_Rate_Param,2,FALSE))))</f>
        <v>1.3950000000000001E-2</v>
      </c>
      <c r="AT22" s="94">
        <f>IF($B22&gt;20,IF(EIOPA_RFR!AT27*(1%+VLOOKUP($B$27,Int_Rate_Param,2,FALSE))&lt;1%+EIOPA_RFR!AT27,1%+EIOPA_RFR!AT27,EIOPA_RFR!AT27*(1%+VLOOKUP($B$27,Int_Rate_Param,2,FALSE))),IF(EIOPA_RFR!AT27*(1%+VLOOKUP($B22,Int_Rate_Param,2,FALSE))&lt;1%+EIOPA_RFR!AT27,1%+EIOPA_RFR!AT27,EIOPA_RFR!AT27*(1%+VLOOKUP($B22,Int_Rate_Param,2,FALSE))))</f>
        <v>5.2500000000000005E-2</v>
      </c>
      <c r="AU22" s="94">
        <f>IF($B22&gt;20,IF(EIOPA_RFR!AU27*(1%+VLOOKUP($B$27,Int_Rate_Param,2,FALSE))&lt;1%+EIOPA_RFR!AU27,1%+EIOPA_RFR!AU27,EIOPA_RFR!AU27*(1%+VLOOKUP($B$27,Int_Rate_Param,2,FALSE))),IF(EIOPA_RFR!AU27*(1%+VLOOKUP($B22,Int_Rate_Param,2,FALSE))&lt;1%+EIOPA_RFR!AU27,1%+EIOPA_RFR!AU27,EIOPA_RFR!AU27*(1%+VLOOKUP($B22,Int_Rate_Param,2,FALSE))))</f>
        <v>8.727E-2</v>
      </c>
      <c r="AV22" s="94">
        <f>IF($B22&gt;20,IF(EIOPA_RFR!AV27*(1%+VLOOKUP($B$27,Int_Rate_Param,2,FALSE))&lt;1%+EIOPA_RFR!AV27,1%+EIOPA_RFR!AV27,EIOPA_RFR!AV27*(1%+VLOOKUP($B$27,Int_Rate_Param,2,FALSE))),IF(EIOPA_RFR!AV27*(1%+VLOOKUP($B22,Int_Rate_Param,2,FALSE))&lt;1%+EIOPA_RFR!AV27,1%+EIOPA_RFR!AV27,EIOPA_RFR!AV27*(1%+VLOOKUP($B22,Int_Rate_Param,2,FALSE))))</f>
        <v>4.6920000000000003E-2</v>
      </c>
      <c r="AW22" s="94">
        <f>IF($B22&gt;20,IF(EIOPA_RFR!AW27*(1%+VLOOKUP($B$27,Int_Rate_Param,2,FALSE))&lt;1%+EIOPA_RFR!AW27,1%+EIOPA_RFR!AW27,EIOPA_RFR!AW27*(1%+VLOOKUP($B$27,Int_Rate_Param,2,FALSE))),IF(EIOPA_RFR!AW27*(1%+VLOOKUP($B22,Int_Rate_Param,2,FALSE))&lt;1%+EIOPA_RFR!AW27,1%+EIOPA_RFR!AW27,EIOPA_RFR!AW27*(1%+VLOOKUP($B22,Int_Rate_Param,2,FALSE))))</f>
        <v>3.5889999999999998E-2</v>
      </c>
      <c r="AX22" s="94">
        <f>IF($B22&gt;20,IF(EIOPA_RFR!AX27*(1%+VLOOKUP($B$27,Int_Rate_Param,2,FALSE))&lt;1%+EIOPA_RFR!AX27,1%+EIOPA_RFR!AX27,EIOPA_RFR!AX27*(1%+VLOOKUP($B$27,Int_Rate_Param,2,FALSE))),IF(EIOPA_RFR!AX27*(1%+VLOOKUP($B22,Int_Rate_Param,2,FALSE))&lt;1%+EIOPA_RFR!AX27,1%+EIOPA_RFR!AX27,EIOPA_RFR!AX27*(1%+VLOOKUP($B22,Int_Rate_Param,2,FALSE))))</f>
        <v>9.4339999999999993E-2</v>
      </c>
      <c r="AY22" s="94">
        <f>IF($B22&gt;20,IF(EIOPA_RFR!AY27*(1%+VLOOKUP($B$27,Int_Rate_Param,2,FALSE))&lt;1%+EIOPA_RFR!AY27,1%+EIOPA_RFR!AY27,EIOPA_RFR!AY27*(1%+VLOOKUP($B$27,Int_Rate_Param,2,FALSE))),IF(EIOPA_RFR!AY27*(1%+VLOOKUP($B22,Int_Rate_Param,2,FALSE))&lt;1%+EIOPA_RFR!AY27,1%+EIOPA_RFR!AY27,EIOPA_RFR!AY27*(1%+VLOOKUP($B22,Int_Rate_Param,2,FALSE))))</f>
        <v>2.8330000000000001E-2</v>
      </c>
      <c r="AZ22" s="94">
        <f>IF($B22&gt;20,IF(EIOPA_RFR!AZ27*(1%+VLOOKUP($B$27,Int_Rate_Param,2,FALSE))&lt;1%+EIOPA_RFR!AZ27,1%+EIOPA_RFR!AZ27,EIOPA_RFR!AZ27*(1%+VLOOKUP($B$27,Int_Rate_Param,2,FALSE))),IF(EIOPA_RFR!AZ27*(1%+VLOOKUP($B22,Int_Rate_Param,2,FALSE))&lt;1%+EIOPA_RFR!AZ27,1%+EIOPA_RFR!AZ27,EIOPA_RFR!AZ27*(1%+VLOOKUP($B22,Int_Rate_Param,2,FALSE))))</f>
        <v>2.52E-2</v>
      </c>
      <c r="BA22" s="94">
        <f>IF($B22&gt;20,IF(EIOPA_RFR!BA27*(1%+VLOOKUP($B$27,Int_Rate_Param,2,FALSE))&lt;1%+EIOPA_RFR!BA27,1%+EIOPA_RFR!BA27,EIOPA_RFR!BA27*(1%+VLOOKUP($B$27,Int_Rate_Param,2,FALSE))),IF(EIOPA_RFR!BA27*(1%+VLOOKUP($B22,Int_Rate_Param,2,FALSE))&lt;1%+EIOPA_RFR!BA27,1%+EIOPA_RFR!BA27,EIOPA_RFR!BA27*(1%+VLOOKUP($B22,Int_Rate_Param,2,FALSE))))</f>
        <v>3.7920000000000002E-2</v>
      </c>
      <c r="BB22" s="94">
        <f>IF($B22&gt;20,IF(EIOPA_RFR!BB27*(1%+VLOOKUP($B$27,Int_Rate_Param,2,FALSE))&lt;1%+EIOPA_RFR!BB27,1%+EIOPA_RFR!BB27,EIOPA_RFR!BB27*(1%+VLOOKUP($B$27,Int_Rate_Param,2,FALSE))),IF(EIOPA_RFR!BB27*(1%+VLOOKUP($B22,Int_Rate_Param,2,FALSE))&lt;1%+EIOPA_RFR!BB27,1%+EIOPA_RFR!BB27,EIOPA_RFR!BB27*(1%+VLOOKUP($B22,Int_Rate_Param,2,FALSE))))</f>
        <v>0.10775999999999999</v>
      </c>
      <c r="BC22" s="94">
        <f>IF($B22&gt;20,IF(EIOPA_RFR!BC27*(1%+VLOOKUP($B$27,Int_Rate_Param,2,FALSE))&lt;1%+EIOPA_RFR!BC27,1%+EIOPA_RFR!BC27,EIOPA_RFR!BC27*(1%+VLOOKUP($B$27,Int_Rate_Param,2,FALSE))),IF(EIOPA_RFR!BC27*(1%+VLOOKUP($B22,Int_Rate_Param,2,FALSE))&lt;1%+EIOPA_RFR!BC27,1%+EIOPA_RFR!BC27,EIOPA_RFR!BC27*(1%+VLOOKUP($B22,Int_Rate_Param,2,FALSE))))</f>
        <v>3.44E-2</v>
      </c>
    </row>
    <row r="23" spans="1:55" x14ac:dyDescent="0.25">
      <c r="A23">
        <f t="shared" si="0"/>
        <v>18</v>
      </c>
      <c r="B23" s="95">
        <v>16</v>
      </c>
      <c r="C23" s="94">
        <f>IF($B23&gt;20,IF(EIOPA_RFR!C28*(1%+VLOOKUP($B$27,Int_Rate_Param,2,FALSE))&lt;1%+EIOPA_RFR!C28,1%+EIOPA_RFR!C28,EIOPA_RFR!C28*(1%+VLOOKUP($B$27,Int_Rate_Param,2,FALSE))),IF(EIOPA_RFR!C28*(1%+VLOOKUP($B23,Int_Rate_Param,2,FALSE))&lt;1%+EIOPA_RFR!C28,1%+EIOPA_RFR!C28,EIOPA_RFR!C28*(1%+VLOOKUP($B23,Int_Rate_Param,2,FALSE))))</f>
        <v>2.1159999999999998E-2</v>
      </c>
      <c r="D23" s="94">
        <f>IF($B23&gt;20,IF(EIOPA_RFR!D28*(1%+VLOOKUP($B$27,Int_Rate_Param,2,FALSE))&lt;1%+EIOPA_RFR!D28,1%+EIOPA_RFR!D28,EIOPA_RFR!D28*(1%+VLOOKUP($B$27,Int_Rate_Param,2,FALSE))),IF(EIOPA_RFR!D28*(1%+VLOOKUP($B23,Int_Rate_Param,2,FALSE))&lt;1%+EIOPA_RFR!D28,1%+EIOPA_RFR!D28,EIOPA_RFR!D28*(1%+VLOOKUP($B23,Int_Rate_Param,2,FALSE))))</f>
        <v>2.1159999999999998E-2</v>
      </c>
      <c r="E23" s="94">
        <f>IF($B23&gt;20,IF(EIOPA_RFR!E28*(1%+VLOOKUP($B$27,Int_Rate_Param,2,FALSE))&lt;1%+EIOPA_RFR!E28,1%+EIOPA_RFR!E28,EIOPA_RFR!E28*(1%+VLOOKUP($B$27,Int_Rate_Param,2,FALSE))),IF(EIOPA_RFR!E28*(1%+VLOOKUP($B23,Int_Rate_Param,2,FALSE))&lt;1%+EIOPA_RFR!E28,1%+EIOPA_RFR!E28,EIOPA_RFR!E28*(1%+VLOOKUP($B23,Int_Rate_Param,2,FALSE))))</f>
        <v>2.1159999999999998E-2</v>
      </c>
      <c r="F23" s="94">
        <f>IF($B23&gt;20,IF(EIOPA_RFR!F28*(1%+VLOOKUP($B$27,Int_Rate_Param,2,FALSE))&lt;1%+EIOPA_RFR!F28,1%+EIOPA_RFR!F28,EIOPA_RFR!F28*(1%+VLOOKUP($B$27,Int_Rate_Param,2,FALSE))),IF(EIOPA_RFR!F28*(1%+VLOOKUP($B23,Int_Rate_Param,2,FALSE))&lt;1%+EIOPA_RFR!F28,1%+EIOPA_RFR!F28,EIOPA_RFR!F28*(1%+VLOOKUP($B23,Int_Rate_Param,2,FALSE))))</f>
        <v>2.0639999999999999E-2</v>
      </c>
      <c r="G23" s="94">
        <f>IF($B23&gt;20,IF(EIOPA_RFR!G28*(1%+VLOOKUP($B$27,Int_Rate_Param,2,FALSE))&lt;1%+EIOPA_RFR!G28,1%+EIOPA_RFR!G28,EIOPA_RFR!G28*(1%+VLOOKUP($B$27,Int_Rate_Param,2,FALSE))),IF(EIOPA_RFR!G28*(1%+VLOOKUP($B23,Int_Rate_Param,2,FALSE))&lt;1%+EIOPA_RFR!G28,1%+EIOPA_RFR!G28,EIOPA_RFR!G28*(1%+VLOOKUP($B23,Int_Rate_Param,2,FALSE))))</f>
        <v>4.224E-2</v>
      </c>
      <c r="H23" s="94">
        <f>IF($B23&gt;20,IF(EIOPA_RFR!H28*(1%+VLOOKUP($B$27,Int_Rate_Param,2,FALSE))&lt;1%+EIOPA_RFR!H28,1%+EIOPA_RFR!H28,EIOPA_RFR!H28*(1%+VLOOKUP($B$27,Int_Rate_Param,2,FALSE))),IF(EIOPA_RFR!H28*(1%+VLOOKUP($B23,Int_Rate_Param,2,FALSE))&lt;1%+EIOPA_RFR!H28,1%+EIOPA_RFR!H28,EIOPA_RFR!H28*(1%+VLOOKUP($B23,Int_Rate_Param,2,FALSE))))</f>
        <v>2.1159999999999998E-2</v>
      </c>
      <c r="I23" s="94">
        <f>IF($B23&gt;20,IF(EIOPA_RFR!I28*(1%+VLOOKUP($B$27,Int_Rate_Param,2,FALSE))&lt;1%+EIOPA_RFR!I28,1%+EIOPA_RFR!I28,EIOPA_RFR!I28*(1%+VLOOKUP($B$27,Int_Rate_Param,2,FALSE))),IF(EIOPA_RFR!I28*(1%+VLOOKUP($B23,Int_Rate_Param,2,FALSE))&lt;1%+EIOPA_RFR!I28,1%+EIOPA_RFR!I28,EIOPA_RFR!I28*(1%+VLOOKUP($B23,Int_Rate_Param,2,FALSE))))</f>
        <v>2.3740000000000001E-2</v>
      </c>
      <c r="J23" s="94">
        <f>IF($B23&gt;20,IF(EIOPA_RFR!J28*(1%+VLOOKUP($B$27,Int_Rate_Param,2,FALSE))&lt;1%+EIOPA_RFR!J28,1%+EIOPA_RFR!J28,EIOPA_RFR!J28*(1%+VLOOKUP($B$27,Int_Rate_Param,2,FALSE))),IF(EIOPA_RFR!J28*(1%+VLOOKUP($B23,Int_Rate_Param,2,FALSE))&lt;1%+EIOPA_RFR!J28,1%+EIOPA_RFR!J28,EIOPA_RFR!J28*(1%+VLOOKUP($B23,Int_Rate_Param,2,FALSE))))</f>
        <v>2.1060000000000002E-2</v>
      </c>
      <c r="K23" s="94">
        <f>IF($B23&gt;20,IF(EIOPA_RFR!K28*(1%+VLOOKUP($B$27,Int_Rate_Param,2,FALSE))&lt;1%+EIOPA_RFR!K28,1%+EIOPA_RFR!K28,EIOPA_RFR!K28*(1%+VLOOKUP($B$27,Int_Rate_Param,2,FALSE))),IF(EIOPA_RFR!K28*(1%+VLOOKUP($B23,Int_Rate_Param,2,FALSE))&lt;1%+EIOPA_RFR!K28,1%+EIOPA_RFR!K28,EIOPA_RFR!K28*(1%+VLOOKUP($B23,Int_Rate_Param,2,FALSE))))</f>
        <v>2.1159999999999998E-2</v>
      </c>
      <c r="L23" s="94">
        <f>IF($B23&gt;20,IF(EIOPA_RFR!L28*(1%+VLOOKUP($B$27,Int_Rate_Param,2,FALSE))&lt;1%+EIOPA_RFR!L28,1%+EIOPA_RFR!L28,EIOPA_RFR!L28*(1%+VLOOKUP($B$27,Int_Rate_Param,2,FALSE))),IF(EIOPA_RFR!L28*(1%+VLOOKUP($B23,Int_Rate_Param,2,FALSE))&lt;1%+EIOPA_RFR!L28,1%+EIOPA_RFR!L28,EIOPA_RFR!L28*(1%+VLOOKUP($B23,Int_Rate_Param,2,FALSE))))</f>
        <v>2.1159999999999998E-2</v>
      </c>
      <c r="M23" s="94">
        <f>IF($B23&gt;20,IF(EIOPA_RFR!M28*(1%+VLOOKUP($B$27,Int_Rate_Param,2,FALSE))&lt;1%+EIOPA_RFR!M28,1%+EIOPA_RFR!M28,EIOPA_RFR!M28*(1%+VLOOKUP($B$27,Int_Rate_Param,2,FALSE))),IF(EIOPA_RFR!M28*(1%+VLOOKUP($B23,Int_Rate_Param,2,FALSE))&lt;1%+EIOPA_RFR!M28,1%+EIOPA_RFR!M28,EIOPA_RFR!M28*(1%+VLOOKUP($B23,Int_Rate_Param,2,FALSE))))</f>
        <v>2.1159999999999998E-2</v>
      </c>
      <c r="N23" s="94">
        <f>IF($B23&gt;20,IF(EIOPA_RFR!N28*(1%+VLOOKUP($B$27,Int_Rate_Param,2,FALSE))&lt;1%+EIOPA_RFR!N28,1%+EIOPA_RFR!N28,EIOPA_RFR!N28*(1%+VLOOKUP($B$27,Int_Rate_Param,2,FALSE))),IF(EIOPA_RFR!N28*(1%+VLOOKUP($B23,Int_Rate_Param,2,FALSE))&lt;1%+EIOPA_RFR!N28,1%+EIOPA_RFR!N28,EIOPA_RFR!N28*(1%+VLOOKUP($B23,Int_Rate_Param,2,FALSE))))</f>
        <v>2.1159999999999998E-2</v>
      </c>
      <c r="O23" s="94">
        <f>IF($B23&gt;20,IF(EIOPA_RFR!O28*(1%+VLOOKUP($B$27,Int_Rate_Param,2,FALSE))&lt;1%+EIOPA_RFR!O28,1%+EIOPA_RFR!O28,EIOPA_RFR!O28*(1%+VLOOKUP($B$27,Int_Rate_Param,2,FALSE))),IF(EIOPA_RFR!O28*(1%+VLOOKUP($B23,Int_Rate_Param,2,FALSE))&lt;1%+EIOPA_RFR!O28,1%+EIOPA_RFR!O28,EIOPA_RFR!O28*(1%+VLOOKUP($B23,Int_Rate_Param,2,FALSE))))</f>
        <v>2.1159999999999998E-2</v>
      </c>
      <c r="P23" s="94">
        <f>IF($B23&gt;20,IF(EIOPA_RFR!P28*(1%+VLOOKUP($B$27,Int_Rate_Param,2,FALSE))&lt;1%+EIOPA_RFR!P28,1%+EIOPA_RFR!P28,EIOPA_RFR!P28*(1%+VLOOKUP($B$27,Int_Rate_Param,2,FALSE))),IF(EIOPA_RFR!P28*(1%+VLOOKUP($B23,Int_Rate_Param,2,FALSE))&lt;1%+EIOPA_RFR!P28,1%+EIOPA_RFR!P28,EIOPA_RFR!P28*(1%+VLOOKUP($B23,Int_Rate_Param,2,FALSE))))</f>
        <v>4.9520000000000002E-2</v>
      </c>
      <c r="Q23" s="94">
        <f>IF($B23&gt;20,IF(EIOPA_RFR!Q28*(1%+VLOOKUP($B$27,Int_Rate_Param,2,FALSE))&lt;1%+EIOPA_RFR!Q28,1%+EIOPA_RFR!Q28,EIOPA_RFR!Q28*(1%+VLOOKUP($B$27,Int_Rate_Param,2,FALSE))),IF(EIOPA_RFR!Q28*(1%+VLOOKUP($B23,Int_Rate_Param,2,FALSE))&lt;1%+EIOPA_RFR!Q28,1%+EIOPA_RFR!Q28,EIOPA_RFR!Q28*(1%+VLOOKUP($B23,Int_Rate_Param,2,FALSE))))</f>
        <v>5.6870000000000004E-2</v>
      </c>
      <c r="R23" s="94">
        <f>IF($B23&gt;20,IF(EIOPA_RFR!R28*(1%+VLOOKUP($B$27,Int_Rate_Param,2,FALSE))&lt;1%+EIOPA_RFR!R28,1%+EIOPA_RFR!R28,EIOPA_RFR!R28*(1%+VLOOKUP($B$27,Int_Rate_Param,2,FALSE))),IF(EIOPA_RFR!R28*(1%+VLOOKUP($B23,Int_Rate_Param,2,FALSE))&lt;1%+EIOPA_RFR!R28,1%+EIOPA_RFR!R28,EIOPA_RFR!R28*(1%+VLOOKUP($B23,Int_Rate_Param,2,FALSE))))</f>
        <v>2.1159999999999998E-2</v>
      </c>
      <c r="S23" s="94">
        <f>IF($B23&gt;20,IF(EIOPA_RFR!S28*(1%+VLOOKUP($B$27,Int_Rate_Param,2,FALSE))&lt;1%+EIOPA_RFR!S28,1%+EIOPA_RFR!S28,EIOPA_RFR!S28*(1%+VLOOKUP($B$27,Int_Rate_Param,2,FALSE))),IF(EIOPA_RFR!S28*(1%+VLOOKUP($B23,Int_Rate_Param,2,FALSE))&lt;1%+EIOPA_RFR!S28,1%+EIOPA_RFR!S28,EIOPA_RFR!S28*(1%+VLOOKUP($B23,Int_Rate_Param,2,FALSE))))</f>
        <v>2.1159999999999998E-2</v>
      </c>
      <c r="T23" s="94">
        <f>IF($B23&gt;20,IF(EIOPA_RFR!T28*(1%+VLOOKUP($B$27,Int_Rate_Param,2,FALSE))&lt;1%+EIOPA_RFR!T28,1%+EIOPA_RFR!T28,EIOPA_RFR!T28*(1%+VLOOKUP($B$27,Int_Rate_Param,2,FALSE))),IF(EIOPA_RFR!T28*(1%+VLOOKUP($B23,Int_Rate_Param,2,FALSE))&lt;1%+EIOPA_RFR!T28,1%+EIOPA_RFR!T28,EIOPA_RFR!T28*(1%+VLOOKUP($B23,Int_Rate_Param,2,FALSE))))</f>
        <v>2.1159999999999998E-2</v>
      </c>
      <c r="U23" s="94">
        <f>IF($B23&gt;20,IF(EIOPA_RFR!U28*(1%+VLOOKUP($B$27,Int_Rate_Param,2,FALSE))&lt;1%+EIOPA_RFR!U28,1%+EIOPA_RFR!U28,EIOPA_RFR!U28*(1%+VLOOKUP($B$27,Int_Rate_Param,2,FALSE))),IF(EIOPA_RFR!U28*(1%+VLOOKUP($B23,Int_Rate_Param,2,FALSE))&lt;1%+EIOPA_RFR!U28,1%+EIOPA_RFR!U28,EIOPA_RFR!U28*(1%+VLOOKUP($B23,Int_Rate_Param,2,FALSE))))</f>
        <v>1.325E-2</v>
      </c>
      <c r="V23" s="94">
        <f>IF($B23&gt;20,IF(EIOPA_RFR!V28*(1%+VLOOKUP($B$27,Int_Rate_Param,2,FALSE))&lt;1%+EIOPA_RFR!V28,1%+EIOPA_RFR!V28,EIOPA_RFR!V28*(1%+VLOOKUP($B$27,Int_Rate_Param,2,FALSE))),IF(EIOPA_RFR!V28*(1%+VLOOKUP($B23,Int_Rate_Param,2,FALSE))&lt;1%+EIOPA_RFR!V28,1%+EIOPA_RFR!V28,EIOPA_RFR!V28*(1%+VLOOKUP($B23,Int_Rate_Param,2,FALSE))))</f>
        <v>2.1159999999999998E-2</v>
      </c>
      <c r="W23" s="94">
        <f>IF($B23&gt;20,IF(EIOPA_RFR!W28*(1%+VLOOKUP($B$27,Int_Rate_Param,2,FALSE))&lt;1%+EIOPA_RFR!W28,1%+EIOPA_RFR!W28,EIOPA_RFR!W28*(1%+VLOOKUP($B$27,Int_Rate_Param,2,FALSE))),IF(EIOPA_RFR!W28*(1%+VLOOKUP($B23,Int_Rate_Param,2,FALSE))&lt;1%+EIOPA_RFR!W28,1%+EIOPA_RFR!W28,EIOPA_RFR!W28*(1%+VLOOKUP($B23,Int_Rate_Param,2,FALSE))))</f>
        <v>2.1159999999999998E-2</v>
      </c>
      <c r="X23" s="94">
        <f>IF($B23&gt;20,IF(EIOPA_RFR!X28*(1%+VLOOKUP($B$27,Int_Rate_Param,2,FALSE))&lt;1%+EIOPA_RFR!X28,1%+EIOPA_RFR!X28,EIOPA_RFR!X28*(1%+VLOOKUP($B$27,Int_Rate_Param,2,FALSE))),IF(EIOPA_RFR!X28*(1%+VLOOKUP($B23,Int_Rate_Param,2,FALSE))&lt;1%+EIOPA_RFR!X28,1%+EIOPA_RFR!X28,EIOPA_RFR!X28*(1%+VLOOKUP($B23,Int_Rate_Param,2,FALSE))))</f>
        <v>2.1159999999999998E-2</v>
      </c>
      <c r="Y23" s="94">
        <f>IF($B23&gt;20,IF(EIOPA_RFR!Y28*(1%+VLOOKUP($B$27,Int_Rate_Param,2,FALSE))&lt;1%+EIOPA_RFR!Y28,1%+EIOPA_RFR!Y28,EIOPA_RFR!Y28*(1%+VLOOKUP($B$27,Int_Rate_Param,2,FALSE))),IF(EIOPA_RFR!Y28*(1%+VLOOKUP($B23,Int_Rate_Param,2,FALSE))&lt;1%+EIOPA_RFR!Y28,1%+EIOPA_RFR!Y28,EIOPA_RFR!Y28*(1%+VLOOKUP($B23,Int_Rate_Param,2,FALSE))))</f>
        <v>2.1159999999999998E-2</v>
      </c>
      <c r="Z23" s="94">
        <f>IF($B23&gt;20,IF(EIOPA_RFR!Z28*(1%+VLOOKUP($B$27,Int_Rate_Param,2,FALSE))&lt;1%+EIOPA_RFR!Z28,1%+EIOPA_RFR!Z28,EIOPA_RFR!Z28*(1%+VLOOKUP($B$27,Int_Rate_Param,2,FALSE))),IF(EIOPA_RFR!Z28*(1%+VLOOKUP($B23,Int_Rate_Param,2,FALSE))&lt;1%+EIOPA_RFR!Z28,1%+EIOPA_RFR!Z28,EIOPA_RFR!Z28*(1%+VLOOKUP($B23,Int_Rate_Param,2,FALSE))))</f>
        <v>3.2590000000000001E-2</v>
      </c>
      <c r="AA23" s="94">
        <f>IF($B23&gt;20,IF(EIOPA_RFR!AA28*(1%+VLOOKUP($B$27,Int_Rate_Param,2,FALSE))&lt;1%+EIOPA_RFR!AA28,1%+EIOPA_RFR!AA28,EIOPA_RFR!AA28*(1%+VLOOKUP($B$27,Int_Rate_Param,2,FALSE))),IF(EIOPA_RFR!AA28*(1%+VLOOKUP($B23,Int_Rate_Param,2,FALSE))&lt;1%+EIOPA_RFR!AA28,1%+EIOPA_RFR!AA28,EIOPA_RFR!AA28*(1%+VLOOKUP($B23,Int_Rate_Param,2,FALSE))))</f>
        <v>4.752E-2</v>
      </c>
      <c r="AB23" s="94">
        <f>IF($B23&gt;20,IF(EIOPA_RFR!AB28*(1%+VLOOKUP($B$27,Int_Rate_Param,2,FALSE))&lt;1%+EIOPA_RFR!AB28,1%+EIOPA_RFR!AB28,EIOPA_RFR!AB28*(1%+VLOOKUP($B$27,Int_Rate_Param,2,FALSE))),IF(EIOPA_RFR!AB28*(1%+VLOOKUP($B23,Int_Rate_Param,2,FALSE))&lt;1%+EIOPA_RFR!AB28,1%+EIOPA_RFR!AB28,EIOPA_RFR!AB28*(1%+VLOOKUP($B23,Int_Rate_Param,2,FALSE))))</f>
        <v>2.1159999999999998E-2</v>
      </c>
      <c r="AC23" s="94">
        <f>IF($B23&gt;20,IF(EIOPA_RFR!AC28*(1%+VLOOKUP($B$27,Int_Rate_Param,2,FALSE))&lt;1%+EIOPA_RFR!AC28,1%+EIOPA_RFR!AC28,EIOPA_RFR!AC28*(1%+VLOOKUP($B$27,Int_Rate_Param,2,FALSE))),IF(EIOPA_RFR!AC28*(1%+VLOOKUP($B23,Int_Rate_Param,2,FALSE))&lt;1%+EIOPA_RFR!AC28,1%+EIOPA_RFR!AC28,EIOPA_RFR!AC28*(1%+VLOOKUP($B23,Int_Rate_Param,2,FALSE))))</f>
        <v>5.2780000000000001E-2</v>
      </c>
      <c r="AD23" s="94">
        <f>IF($B23&gt;20,IF(EIOPA_RFR!AD28*(1%+VLOOKUP($B$27,Int_Rate_Param,2,FALSE))&lt;1%+EIOPA_RFR!AD28,1%+EIOPA_RFR!AD28,EIOPA_RFR!AD28*(1%+VLOOKUP($B$27,Int_Rate_Param,2,FALSE))),IF(EIOPA_RFR!AD28*(1%+VLOOKUP($B23,Int_Rate_Param,2,FALSE))&lt;1%+EIOPA_RFR!AD28,1%+EIOPA_RFR!AD28,EIOPA_RFR!AD28*(1%+VLOOKUP($B23,Int_Rate_Param,2,FALSE))))</f>
        <v>8.095999999999999E-2</v>
      </c>
      <c r="AE23" s="94">
        <f>IF($B23&gt;20,IF(EIOPA_RFR!AE28*(1%+VLOOKUP($B$27,Int_Rate_Param,2,FALSE))&lt;1%+EIOPA_RFR!AE28,1%+EIOPA_RFR!AE28,EIOPA_RFR!AE28*(1%+VLOOKUP($B$27,Int_Rate_Param,2,FALSE))),IF(EIOPA_RFR!AE28*(1%+VLOOKUP($B23,Int_Rate_Param,2,FALSE))&lt;1%+EIOPA_RFR!AE28,1%+EIOPA_RFR!AE28,EIOPA_RFR!AE28*(1%+VLOOKUP($B23,Int_Rate_Param,2,FALSE))))</f>
        <v>2.1159999999999998E-2</v>
      </c>
      <c r="AF23" s="94">
        <f>IF($B23&gt;20,IF(EIOPA_RFR!AF28*(1%+VLOOKUP($B$27,Int_Rate_Param,2,FALSE))&lt;1%+EIOPA_RFR!AF28,1%+EIOPA_RFR!AF28,EIOPA_RFR!AF28*(1%+VLOOKUP($B$27,Int_Rate_Param,2,FALSE))),IF(EIOPA_RFR!AF28*(1%+VLOOKUP($B23,Int_Rate_Param,2,FALSE))&lt;1%+EIOPA_RFR!AF28,1%+EIOPA_RFR!AF28,EIOPA_RFR!AF28*(1%+VLOOKUP($B23,Int_Rate_Param,2,FALSE))))</f>
        <v>2.1159999999999998E-2</v>
      </c>
      <c r="AG23" s="94">
        <f>IF($B23&gt;20,IF(EIOPA_RFR!AG28*(1%+VLOOKUP($B$27,Int_Rate_Param,2,FALSE))&lt;1%+EIOPA_RFR!AG28,1%+EIOPA_RFR!AG28,EIOPA_RFR!AG28*(1%+VLOOKUP($B$27,Int_Rate_Param,2,FALSE))),IF(EIOPA_RFR!AG28*(1%+VLOOKUP($B23,Int_Rate_Param,2,FALSE))&lt;1%+EIOPA_RFR!AG28,1%+EIOPA_RFR!AG28,EIOPA_RFR!AG28*(1%+VLOOKUP($B23,Int_Rate_Param,2,FALSE))))</f>
        <v>2.1159999999999998E-2</v>
      </c>
      <c r="AH23" s="94">
        <f>IF($B23&gt;20,IF(EIOPA_RFR!AH28*(1%+VLOOKUP($B$27,Int_Rate_Param,2,FALSE))&lt;1%+EIOPA_RFR!AH28,1%+EIOPA_RFR!AH28,EIOPA_RFR!AH28*(1%+VLOOKUP($B$27,Int_Rate_Param,2,FALSE))),IF(EIOPA_RFR!AH28*(1%+VLOOKUP($B23,Int_Rate_Param,2,FALSE))&lt;1%+EIOPA_RFR!AH28,1%+EIOPA_RFR!AH28,EIOPA_RFR!AH28*(1%+VLOOKUP($B23,Int_Rate_Param,2,FALSE))))</f>
        <v>3.0039999999999997E-2</v>
      </c>
      <c r="AI23" s="94">
        <f>IF($B23&gt;20,IF(EIOPA_RFR!AI28*(1%+VLOOKUP($B$27,Int_Rate_Param,2,FALSE))&lt;1%+EIOPA_RFR!AI28,1%+EIOPA_RFR!AI28,EIOPA_RFR!AI28*(1%+VLOOKUP($B$27,Int_Rate_Param,2,FALSE))),IF(EIOPA_RFR!AI28*(1%+VLOOKUP($B23,Int_Rate_Param,2,FALSE))&lt;1%+EIOPA_RFR!AI28,1%+EIOPA_RFR!AI28,EIOPA_RFR!AI28*(1%+VLOOKUP($B23,Int_Rate_Param,2,FALSE))))</f>
        <v>1.325E-2</v>
      </c>
      <c r="AJ23" s="94">
        <f>IF($B23&gt;20,IF(EIOPA_RFR!AJ28*(1%+VLOOKUP($B$27,Int_Rate_Param,2,FALSE))&lt;1%+EIOPA_RFR!AJ28,1%+EIOPA_RFR!AJ28,EIOPA_RFR!AJ28*(1%+VLOOKUP($B$27,Int_Rate_Param,2,FALSE))),IF(EIOPA_RFR!AJ28*(1%+VLOOKUP($B23,Int_Rate_Param,2,FALSE))&lt;1%+EIOPA_RFR!AJ28,1%+EIOPA_RFR!AJ28,EIOPA_RFR!AJ28*(1%+VLOOKUP($B23,Int_Rate_Param,2,FALSE))))</f>
        <v>2.2679999999999999E-2</v>
      </c>
      <c r="AK23" s="94">
        <f>IF($B23&gt;20,IF(EIOPA_RFR!AK28*(1%+VLOOKUP($B$27,Int_Rate_Param,2,FALSE))&lt;1%+EIOPA_RFR!AK28,1%+EIOPA_RFR!AK28,EIOPA_RFR!AK28*(1%+VLOOKUP($B$27,Int_Rate_Param,2,FALSE))),IF(EIOPA_RFR!AK28*(1%+VLOOKUP($B23,Int_Rate_Param,2,FALSE))&lt;1%+EIOPA_RFR!AK28,1%+EIOPA_RFR!AK28,EIOPA_RFR!AK28*(1%+VLOOKUP($B23,Int_Rate_Param,2,FALSE))))</f>
        <v>4.1419999999999998E-2</v>
      </c>
      <c r="AL23" s="94">
        <f>IF($B23&gt;20,IF(EIOPA_RFR!AL28*(1%+VLOOKUP($B$27,Int_Rate_Param,2,FALSE))&lt;1%+EIOPA_RFR!AL28,1%+EIOPA_RFR!AL28,EIOPA_RFR!AL28*(1%+VLOOKUP($B$27,Int_Rate_Param,2,FALSE))),IF(EIOPA_RFR!AL28*(1%+VLOOKUP($B23,Int_Rate_Param,2,FALSE))&lt;1%+EIOPA_RFR!AL28,1%+EIOPA_RFR!AL28,EIOPA_RFR!AL28*(1%+VLOOKUP($B23,Int_Rate_Param,2,FALSE))))</f>
        <v>9.9899999999999989E-2</v>
      </c>
      <c r="AM23" s="94">
        <f>IF($B23&gt;20,IF(EIOPA_RFR!AM28*(1%+VLOOKUP($B$27,Int_Rate_Param,2,FALSE))&lt;1%+EIOPA_RFR!AM28,1%+EIOPA_RFR!AM28,EIOPA_RFR!AM28*(1%+VLOOKUP($B$27,Int_Rate_Param,2,FALSE))),IF(EIOPA_RFR!AM28*(1%+VLOOKUP($B23,Int_Rate_Param,2,FALSE))&lt;1%+EIOPA_RFR!AM28,1%+EIOPA_RFR!AM28,EIOPA_RFR!AM28*(1%+VLOOKUP($B23,Int_Rate_Param,2,FALSE))))</f>
        <v>3.1570000000000001E-2</v>
      </c>
      <c r="AN23" s="94">
        <f>IF($B23&gt;20,IF(EIOPA_RFR!AN28*(1%+VLOOKUP($B$27,Int_Rate_Param,2,FALSE))&lt;1%+EIOPA_RFR!AN28,1%+EIOPA_RFR!AN28,EIOPA_RFR!AN28*(1%+VLOOKUP($B$27,Int_Rate_Param,2,FALSE))),IF(EIOPA_RFR!AN28*(1%+VLOOKUP($B23,Int_Rate_Param,2,FALSE))&lt;1%+EIOPA_RFR!AN28,1%+EIOPA_RFR!AN28,EIOPA_RFR!AN28*(1%+VLOOKUP($B23,Int_Rate_Param,2,FALSE))))</f>
        <v>5.1630000000000002E-2</v>
      </c>
      <c r="AO23" s="94">
        <f>IF($B23&gt;20,IF(EIOPA_RFR!AO28*(1%+VLOOKUP($B$27,Int_Rate_Param,2,FALSE))&lt;1%+EIOPA_RFR!AO28,1%+EIOPA_RFR!AO28,EIOPA_RFR!AO28*(1%+VLOOKUP($B$27,Int_Rate_Param,2,FALSE))),IF(EIOPA_RFR!AO28*(1%+VLOOKUP($B23,Int_Rate_Param,2,FALSE))&lt;1%+EIOPA_RFR!AO28,1%+EIOPA_RFR!AO28,EIOPA_RFR!AO28*(1%+VLOOKUP($B23,Int_Rate_Param,2,FALSE))))</f>
        <v>5.3999999999999999E-2</v>
      </c>
      <c r="AP23" s="94">
        <f>IF($B23&gt;20,IF(EIOPA_RFR!AP28*(1%+VLOOKUP($B$27,Int_Rate_Param,2,FALSE))&lt;1%+EIOPA_RFR!AP28,1%+EIOPA_RFR!AP28,EIOPA_RFR!AP28*(1%+VLOOKUP($B$27,Int_Rate_Param,2,FALSE))),IF(EIOPA_RFR!AP28*(1%+VLOOKUP($B23,Int_Rate_Param,2,FALSE))&lt;1%+EIOPA_RFR!AP28,1%+EIOPA_RFR!AP28,EIOPA_RFR!AP28*(1%+VLOOKUP($B23,Int_Rate_Param,2,FALSE))))</f>
        <v>7.2330000000000005E-2</v>
      </c>
      <c r="AQ23" s="94">
        <f>IF($B23&gt;20,IF(EIOPA_RFR!AQ28*(1%+VLOOKUP($B$27,Int_Rate_Param,2,FALSE))&lt;1%+EIOPA_RFR!AQ28,1%+EIOPA_RFR!AQ28,EIOPA_RFR!AQ28*(1%+VLOOKUP($B$27,Int_Rate_Param,2,FALSE))),IF(EIOPA_RFR!AQ28*(1%+VLOOKUP($B23,Int_Rate_Param,2,FALSE))&lt;1%+EIOPA_RFR!AQ28,1%+EIOPA_RFR!AQ28,EIOPA_RFR!AQ28*(1%+VLOOKUP($B23,Int_Rate_Param,2,FALSE))))</f>
        <v>3.4540000000000001E-2</v>
      </c>
      <c r="AR23" s="94">
        <f>IF($B23&gt;20,IF(EIOPA_RFR!AR28*(1%+VLOOKUP($B$27,Int_Rate_Param,2,FALSE))&lt;1%+EIOPA_RFR!AR28,1%+EIOPA_RFR!AR28,EIOPA_RFR!AR28*(1%+VLOOKUP($B$27,Int_Rate_Param,2,FALSE))),IF(EIOPA_RFR!AR28*(1%+VLOOKUP($B23,Int_Rate_Param,2,FALSE))&lt;1%+EIOPA_RFR!AR28,1%+EIOPA_RFR!AR28,EIOPA_RFR!AR28*(1%+VLOOKUP($B23,Int_Rate_Param,2,FALSE))))</f>
        <v>7.8339999999999993E-2</v>
      </c>
      <c r="AS23" s="94">
        <f>IF($B23&gt;20,IF(EIOPA_RFR!AS28*(1%+VLOOKUP($B$27,Int_Rate_Param,2,FALSE))&lt;1%+EIOPA_RFR!AS28,1%+EIOPA_RFR!AS28,EIOPA_RFR!AS28*(1%+VLOOKUP($B$27,Int_Rate_Param,2,FALSE))),IF(EIOPA_RFR!AS28*(1%+VLOOKUP($B23,Int_Rate_Param,2,FALSE))&lt;1%+EIOPA_RFR!AS28,1%+EIOPA_RFR!AS28,EIOPA_RFR!AS28*(1%+VLOOKUP($B23,Int_Rate_Param,2,FALSE))))</f>
        <v>1.4409999999999999E-2</v>
      </c>
      <c r="AT23" s="94">
        <f>IF($B23&gt;20,IF(EIOPA_RFR!AT28*(1%+VLOOKUP($B$27,Int_Rate_Param,2,FALSE))&lt;1%+EIOPA_RFR!AT28,1%+EIOPA_RFR!AT28,EIOPA_RFR!AT28*(1%+VLOOKUP($B$27,Int_Rate_Param,2,FALSE))),IF(EIOPA_RFR!AT28*(1%+VLOOKUP($B23,Int_Rate_Param,2,FALSE))&lt;1%+EIOPA_RFR!AT28,1%+EIOPA_RFR!AT28,EIOPA_RFR!AT28*(1%+VLOOKUP($B23,Int_Rate_Param,2,FALSE))))</f>
        <v>5.2860000000000004E-2</v>
      </c>
      <c r="AU23" s="94">
        <f>IF($B23&gt;20,IF(EIOPA_RFR!AU28*(1%+VLOOKUP($B$27,Int_Rate_Param,2,FALSE))&lt;1%+EIOPA_RFR!AU28,1%+EIOPA_RFR!AU28,EIOPA_RFR!AU28*(1%+VLOOKUP($B$27,Int_Rate_Param,2,FALSE))),IF(EIOPA_RFR!AU28*(1%+VLOOKUP($B23,Int_Rate_Param,2,FALSE))&lt;1%+EIOPA_RFR!AU28,1%+EIOPA_RFR!AU28,EIOPA_RFR!AU28*(1%+VLOOKUP($B23,Int_Rate_Param,2,FALSE))))</f>
        <v>8.7909999999999988E-2</v>
      </c>
      <c r="AV23" s="94">
        <f>IF($B23&gt;20,IF(EIOPA_RFR!AV28*(1%+VLOOKUP($B$27,Int_Rate_Param,2,FALSE))&lt;1%+EIOPA_RFR!AV28,1%+EIOPA_RFR!AV28,EIOPA_RFR!AV28*(1%+VLOOKUP($B$27,Int_Rate_Param,2,FALSE))),IF(EIOPA_RFR!AV28*(1%+VLOOKUP($B23,Int_Rate_Param,2,FALSE))&lt;1%+EIOPA_RFR!AV28,1%+EIOPA_RFR!AV28,EIOPA_RFR!AV28*(1%+VLOOKUP($B23,Int_Rate_Param,2,FALSE))))</f>
        <v>4.7580000000000004E-2</v>
      </c>
      <c r="AW23" s="94">
        <f>IF($B23&gt;20,IF(EIOPA_RFR!AW28*(1%+VLOOKUP($B$27,Int_Rate_Param,2,FALSE))&lt;1%+EIOPA_RFR!AW28,1%+EIOPA_RFR!AW28,EIOPA_RFR!AW28*(1%+VLOOKUP($B$27,Int_Rate_Param,2,FALSE))),IF(EIOPA_RFR!AW28*(1%+VLOOKUP($B23,Int_Rate_Param,2,FALSE))&lt;1%+EIOPA_RFR!AW28,1%+EIOPA_RFR!AW28,EIOPA_RFR!AW28*(1%+VLOOKUP($B23,Int_Rate_Param,2,FALSE))))</f>
        <v>3.6089999999999997E-2</v>
      </c>
      <c r="AX23" s="94">
        <f>IF($B23&gt;20,IF(EIOPA_RFR!AX28*(1%+VLOOKUP($B$27,Int_Rate_Param,2,FALSE))&lt;1%+EIOPA_RFR!AX28,1%+EIOPA_RFR!AX28,EIOPA_RFR!AX28*(1%+VLOOKUP($B$27,Int_Rate_Param,2,FALSE))),IF(EIOPA_RFR!AX28*(1%+VLOOKUP($B23,Int_Rate_Param,2,FALSE))&lt;1%+EIOPA_RFR!AX28,1%+EIOPA_RFR!AX28,EIOPA_RFR!AX28*(1%+VLOOKUP($B23,Int_Rate_Param,2,FALSE))))</f>
        <v>9.4159999999999994E-2</v>
      </c>
      <c r="AY23" s="94">
        <f>IF($B23&gt;20,IF(EIOPA_RFR!AY28*(1%+VLOOKUP($B$27,Int_Rate_Param,2,FALSE))&lt;1%+EIOPA_RFR!AY28,1%+EIOPA_RFR!AY28,EIOPA_RFR!AY28*(1%+VLOOKUP($B$27,Int_Rate_Param,2,FALSE))),IF(EIOPA_RFR!AY28*(1%+VLOOKUP($B23,Int_Rate_Param,2,FALSE))&lt;1%+EIOPA_RFR!AY28,1%+EIOPA_RFR!AY28,EIOPA_RFR!AY28*(1%+VLOOKUP($B23,Int_Rate_Param,2,FALSE))))</f>
        <v>2.8240000000000001E-2</v>
      </c>
      <c r="AZ23" s="94">
        <f>IF($B23&gt;20,IF(EIOPA_RFR!AZ28*(1%+VLOOKUP($B$27,Int_Rate_Param,2,FALSE))&lt;1%+EIOPA_RFR!AZ28,1%+EIOPA_RFR!AZ28,EIOPA_RFR!AZ28*(1%+VLOOKUP($B$27,Int_Rate_Param,2,FALSE))),IF(EIOPA_RFR!AZ28*(1%+VLOOKUP($B23,Int_Rate_Param,2,FALSE))&lt;1%+EIOPA_RFR!AZ28,1%+EIOPA_RFR!AZ28,EIOPA_RFR!AZ28*(1%+VLOOKUP($B23,Int_Rate_Param,2,FALSE))))</f>
        <v>2.6079999999999999E-2</v>
      </c>
      <c r="BA23" s="94">
        <f>IF($B23&gt;20,IF(EIOPA_RFR!BA28*(1%+VLOOKUP($B$27,Int_Rate_Param,2,FALSE))&lt;1%+EIOPA_RFR!BA28,1%+EIOPA_RFR!BA28,EIOPA_RFR!BA28*(1%+VLOOKUP($B$27,Int_Rate_Param,2,FALSE))),IF(EIOPA_RFR!BA28*(1%+VLOOKUP($B23,Int_Rate_Param,2,FALSE))&lt;1%+EIOPA_RFR!BA28,1%+EIOPA_RFR!BA28,EIOPA_RFR!BA28*(1%+VLOOKUP($B23,Int_Rate_Param,2,FALSE))))</f>
        <v>3.8359999999999998E-2</v>
      </c>
      <c r="BB23" s="94">
        <f>IF($B23&gt;20,IF(EIOPA_RFR!BB28*(1%+VLOOKUP($B$27,Int_Rate_Param,2,FALSE))&lt;1%+EIOPA_RFR!BB28,1%+EIOPA_RFR!BB28,EIOPA_RFR!BB28*(1%+VLOOKUP($B$27,Int_Rate_Param,2,FALSE))),IF(EIOPA_RFR!BB28*(1%+VLOOKUP($B23,Int_Rate_Param,2,FALSE))&lt;1%+EIOPA_RFR!BB28,1%+EIOPA_RFR!BB28,EIOPA_RFR!BB28*(1%+VLOOKUP($B23,Int_Rate_Param,2,FALSE))))</f>
        <v>0.10626999999999999</v>
      </c>
      <c r="BC23" s="94">
        <f>IF($B23&gt;20,IF(EIOPA_RFR!BC28*(1%+VLOOKUP($B$27,Int_Rate_Param,2,FALSE))&lt;1%+EIOPA_RFR!BC28,1%+EIOPA_RFR!BC28,EIOPA_RFR!BC28*(1%+VLOOKUP($B$27,Int_Rate_Param,2,FALSE))),IF(EIOPA_RFR!BC28*(1%+VLOOKUP($B23,Int_Rate_Param,2,FALSE))&lt;1%+EIOPA_RFR!BC28,1%+EIOPA_RFR!BC28,EIOPA_RFR!BC28*(1%+VLOOKUP($B23,Int_Rate_Param,2,FALSE))))</f>
        <v>3.4610000000000002E-2</v>
      </c>
    </row>
    <row r="24" spans="1:55" x14ac:dyDescent="0.25">
      <c r="A24">
        <f t="shared" si="0"/>
        <v>19</v>
      </c>
      <c r="B24" s="95">
        <v>17</v>
      </c>
      <c r="C24" s="94">
        <f>IF($B24&gt;20,IF(EIOPA_RFR!C29*(1%+VLOOKUP($B$27,Int_Rate_Param,2,FALSE))&lt;1%+EIOPA_RFR!C29,1%+EIOPA_RFR!C29,EIOPA_RFR!C29*(1%+VLOOKUP($B$27,Int_Rate_Param,2,FALSE))),IF(EIOPA_RFR!C29*(1%+VLOOKUP($B24,Int_Rate_Param,2,FALSE))&lt;1%+EIOPA_RFR!C29,1%+EIOPA_RFR!C29,EIOPA_RFR!C29*(1%+VLOOKUP($B24,Int_Rate_Param,2,FALSE))))</f>
        <v>2.147E-2</v>
      </c>
      <c r="D24" s="94">
        <f>IF($B24&gt;20,IF(EIOPA_RFR!D29*(1%+VLOOKUP($B$27,Int_Rate_Param,2,FALSE))&lt;1%+EIOPA_RFR!D29,1%+EIOPA_RFR!D29,EIOPA_RFR!D29*(1%+VLOOKUP($B$27,Int_Rate_Param,2,FALSE))),IF(EIOPA_RFR!D29*(1%+VLOOKUP($B24,Int_Rate_Param,2,FALSE))&lt;1%+EIOPA_RFR!D29,1%+EIOPA_RFR!D29,EIOPA_RFR!D29*(1%+VLOOKUP($B24,Int_Rate_Param,2,FALSE))))</f>
        <v>2.147E-2</v>
      </c>
      <c r="E24" s="94">
        <f>IF($B24&gt;20,IF(EIOPA_RFR!E29*(1%+VLOOKUP($B$27,Int_Rate_Param,2,FALSE))&lt;1%+EIOPA_RFR!E29,1%+EIOPA_RFR!E29,EIOPA_RFR!E29*(1%+VLOOKUP($B$27,Int_Rate_Param,2,FALSE))),IF(EIOPA_RFR!E29*(1%+VLOOKUP($B24,Int_Rate_Param,2,FALSE))&lt;1%+EIOPA_RFR!E29,1%+EIOPA_RFR!E29,EIOPA_RFR!E29*(1%+VLOOKUP($B24,Int_Rate_Param,2,FALSE))))</f>
        <v>2.147E-2</v>
      </c>
      <c r="F24" s="94">
        <f>IF($B24&gt;20,IF(EIOPA_RFR!F29*(1%+VLOOKUP($B$27,Int_Rate_Param,2,FALSE))&lt;1%+EIOPA_RFR!F29,1%+EIOPA_RFR!F29,EIOPA_RFR!F29*(1%+VLOOKUP($B$27,Int_Rate_Param,2,FALSE))),IF(EIOPA_RFR!F29*(1%+VLOOKUP($B24,Int_Rate_Param,2,FALSE))&lt;1%+EIOPA_RFR!F29,1%+EIOPA_RFR!F29,EIOPA_RFR!F29*(1%+VLOOKUP($B24,Int_Rate_Param,2,FALSE))))</f>
        <v>2.095E-2</v>
      </c>
      <c r="G24" s="94">
        <f>IF($B24&gt;20,IF(EIOPA_RFR!G29*(1%+VLOOKUP($B$27,Int_Rate_Param,2,FALSE))&lt;1%+EIOPA_RFR!G29,1%+EIOPA_RFR!G29,EIOPA_RFR!G29*(1%+VLOOKUP($B$27,Int_Rate_Param,2,FALSE))),IF(EIOPA_RFR!G29*(1%+VLOOKUP($B24,Int_Rate_Param,2,FALSE))&lt;1%+EIOPA_RFR!G29,1%+EIOPA_RFR!G29,EIOPA_RFR!G29*(1%+VLOOKUP($B24,Int_Rate_Param,2,FALSE))))</f>
        <v>4.2620000000000005E-2</v>
      </c>
      <c r="H24" s="94">
        <f>IF($B24&gt;20,IF(EIOPA_RFR!H29*(1%+VLOOKUP($B$27,Int_Rate_Param,2,FALSE))&lt;1%+EIOPA_RFR!H29,1%+EIOPA_RFR!H29,EIOPA_RFR!H29*(1%+VLOOKUP($B$27,Int_Rate_Param,2,FALSE))),IF(EIOPA_RFR!H29*(1%+VLOOKUP($B24,Int_Rate_Param,2,FALSE))&lt;1%+EIOPA_RFR!H29,1%+EIOPA_RFR!H29,EIOPA_RFR!H29*(1%+VLOOKUP($B24,Int_Rate_Param,2,FALSE))))</f>
        <v>2.147E-2</v>
      </c>
      <c r="I24" s="94">
        <f>IF($B24&gt;20,IF(EIOPA_RFR!I29*(1%+VLOOKUP($B$27,Int_Rate_Param,2,FALSE))&lt;1%+EIOPA_RFR!I29,1%+EIOPA_RFR!I29,EIOPA_RFR!I29*(1%+VLOOKUP($B$27,Int_Rate_Param,2,FALSE))),IF(EIOPA_RFR!I29*(1%+VLOOKUP($B24,Int_Rate_Param,2,FALSE))&lt;1%+EIOPA_RFR!I29,1%+EIOPA_RFR!I29,EIOPA_RFR!I29*(1%+VLOOKUP($B24,Int_Rate_Param,2,FALSE))))</f>
        <v>2.444E-2</v>
      </c>
      <c r="J24" s="94">
        <f>IF($B24&gt;20,IF(EIOPA_RFR!J29*(1%+VLOOKUP($B$27,Int_Rate_Param,2,FALSE))&lt;1%+EIOPA_RFR!J29,1%+EIOPA_RFR!J29,EIOPA_RFR!J29*(1%+VLOOKUP($B$27,Int_Rate_Param,2,FALSE))),IF(EIOPA_RFR!J29*(1%+VLOOKUP($B24,Int_Rate_Param,2,FALSE))&lt;1%+EIOPA_RFR!J29,1%+EIOPA_RFR!J29,EIOPA_RFR!J29*(1%+VLOOKUP($B24,Int_Rate_Param,2,FALSE))))</f>
        <v>2.1360000000000001E-2</v>
      </c>
      <c r="K24" s="94">
        <f>IF($B24&gt;20,IF(EIOPA_RFR!K29*(1%+VLOOKUP($B$27,Int_Rate_Param,2,FALSE))&lt;1%+EIOPA_RFR!K29,1%+EIOPA_RFR!K29,EIOPA_RFR!K29*(1%+VLOOKUP($B$27,Int_Rate_Param,2,FALSE))),IF(EIOPA_RFR!K29*(1%+VLOOKUP($B24,Int_Rate_Param,2,FALSE))&lt;1%+EIOPA_RFR!K29,1%+EIOPA_RFR!K29,EIOPA_RFR!K29*(1%+VLOOKUP($B24,Int_Rate_Param,2,FALSE))))</f>
        <v>2.147E-2</v>
      </c>
      <c r="L24" s="94">
        <f>IF($B24&gt;20,IF(EIOPA_RFR!L29*(1%+VLOOKUP($B$27,Int_Rate_Param,2,FALSE))&lt;1%+EIOPA_RFR!L29,1%+EIOPA_RFR!L29,EIOPA_RFR!L29*(1%+VLOOKUP($B$27,Int_Rate_Param,2,FALSE))),IF(EIOPA_RFR!L29*(1%+VLOOKUP($B24,Int_Rate_Param,2,FALSE))&lt;1%+EIOPA_RFR!L29,1%+EIOPA_RFR!L29,EIOPA_RFR!L29*(1%+VLOOKUP($B24,Int_Rate_Param,2,FALSE))))</f>
        <v>2.147E-2</v>
      </c>
      <c r="M24" s="94">
        <f>IF($B24&gt;20,IF(EIOPA_RFR!M29*(1%+VLOOKUP($B$27,Int_Rate_Param,2,FALSE))&lt;1%+EIOPA_RFR!M29,1%+EIOPA_RFR!M29,EIOPA_RFR!M29*(1%+VLOOKUP($B$27,Int_Rate_Param,2,FALSE))),IF(EIOPA_RFR!M29*(1%+VLOOKUP($B24,Int_Rate_Param,2,FALSE))&lt;1%+EIOPA_RFR!M29,1%+EIOPA_RFR!M29,EIOPA_RFR!M29*(1%+VLOOKUP($B24,Int_Rate_Param,2,FALSE))))</f>
        <v>2.147E-2</v>
      </c>
      <c r="N24" s="94">
        <f>IF($B24&gt;20,IF(EIOPA_RFR!N29*(1%+VLOOKUP($B$27,Int_Rate_Param,2,FALSE))&lt;1%+EIOPA_RFR!N29,1%+EIOPA_RFR!N29,EIOPA_RFR!N29*(1%+VLOOKUP($B$27,Int_Rate_Param,2,FALSE))),IF(EIOPA_RFR!N29*(1%+VLOOKUP($B24,Int_Rate_Param,2,FALSE))&lt;1%+EIOPA_RFR!N29,1%+EIOPA_RFR!N29,EIOPA_RFR!N29*(1%+VLOOKUP($B24,Int_Rate_Param,2,FALSE))))</f>
        <v>2.147E-2</v>
      </c>
      <c r="O24" s="94">
        <f>IF($B24&gt;20,IF(EIOPA_RFR!O29*(1%+VLOOKUP($B$27,Int_Rate_Param,2,FALSE))&lt;1%+EIOPA_RFR!O29,1%+EIOPA_RFR!O29,EIOPA_RFR!O29*(1%+VLOOKUP($B$27,Int_Rate_Param,2,FALSE))),IF(EIOPA_RFR!O29*(1%+VLOOKUP($B24,Int_Rate_Param,2,FALSE))&lt;1%+EIOPA_RFR!O29,1%+EIOPA_RFR!O29,EIOPA_RFR!O29*(1%+VLOOKUP($B24,Int_Rate_Param,2,FALSE))))</f>
        <v>2.147E-2</v>
      </c>
      <c r="P24" s="94">
        <f>IF($B24&gt;20,IF(EIOPA_RFR!P29*(1%+VLOOKUP($B$27,Int_Rate_Param,2,FALSE))&lt;1%+EIOPA_RFR!P29,1%+EIOPA_RFR!P29,EIOPA_RFR!P29*(1%+VLOOKUP($B$27,Int_Rate_Param,2,FALSE))),IF(EIOPA_RFR!P29*(1%+VLOOKUP($B24,Int_Rate_Param,2,FALSE))&lt;1%+EIOPA_RFR!P29,1%+EIOPA_RFR!P29,EIOPA_RFR!P29*(1%+VLOOKUP($B24,Int_Rate_Param,2,FALSE))))</f>
        <v>5.0259999999999999E-2</v>
      </c>
      <c r="Q24" s="94">
        <f>IF($B24&gt;20,IF(EIOPA_RFR!Q29*(1%+VLOOKUP($B$27,Int_Rate_Param,2,FALSE))&lt;1%+EIOPA_RFR!Q29,1%+EIOPA_RFR!Q29,EIOPA_RFR!Q29*(1%+VLOOKUP($B$27,Int_Rate_Param,2,FALSE))),IF(EIOPA_RFR!Q29*(1%+VLOOKUP($B24,Int_Rate_Param,2,FALSE))&lt;1%+EIOPA_RFR!Q29,1%+EIOPA_RFR!Q29,EIOPA_RFR!Q29*(1%+VLOOKUP($B24,Int_Rate_Param,2,FALSE))))</f>
        <v>5.6750000000000002E-2</v>
      </c>
      <c r="R24" s="94">
        <f>IF($B24&gt;20,IF(EIOPA_RFR!R29*(1%+VLOOKUP($B$27,Int_Rate_Param,2,FALSE))&lt;1%+EIOPA_RFR!R29,1%+EIOPA_RFR!R29,EIOPA_RFR!R29*(1%+VLOOKUP($B$27,Int_Rate_Param,2,FALSE))),IF(EIOPA_RFR!R29*(1%+VLOOKUP($B24,Int_Rate_Param,2,FALSE))&lt;1%+EIOPA_RFR!R29,1%+EIOPA_RFR!R29,EIOPA_RFR!R29*(1%+VLOOKUP($B24,Int_Rate_Param,2,FALSE))))</f>
        <v>2.147E-2</v>
      </c>
      <c r="S24" s="94">
        <f>IF($B24&gt;20,IF(EIOPA_RFR!S29*(1%+VLOOKUP($B$27,Int_Rate_Param,2,FALSE))&lt;1%+EIOPA_RFR!S29,1%+EIOPA_RFR!S29,EIOPA_RFR!S29*(1%+VLOOKUP($B$27,Int_Rate_Param,2,FALSE))),IF(EIOPA_RFR!S29*(1%+VLOOKUP($B24,Int_Rate_Param,2,FALSE))&lt;1%+EIOPA_RFR!S29,1%+EIOPA_RFR!S29,EIOPA_RFR!S29*(1%+VLOOKUP($B24,Int_Rate_Param,2,FALSE))))</f>
        <v>2.147E-2</v>
      </c>
      <c r="T24" s="94">
        <f>IF($B24&gt;20,IF(EIOPA_RFR!T29*(1%+VLOOKUP($B$27,Int_Rate_Param,2,FALSE))&lt;1%+EIOPA_RFR!T29,1%+EIOPA_RFR!T29,EIOPA_RFR!T29*(1%+VLOOKUP($B$27,Int_Rate_Param,2,FALSE))),IF(EIOPA_RFR!T29*(1%+VLOOKUP($B24,Int_Rate_Param,2,FALSE))&lt;1%+EIOPA_RFR!T29,1%+EIOPA_RFR!T29,EIOPA_RFR!T29*(1%+VLOOKUP($B24,Int_Rate_Param,2,FALSE))))</f>
        <v>2.147E-2</v>
      </c>
      <c r="U24" s="94">
        <f>IF($B24&gt;20,IF(EIOPA_RFR!U29*(1%+VLOOKUP($B$27,Int_Rate_Param,2,FALSE))&lt;1%+EIOPA_RFR!U29,1%+EIOPA_RFR!U29,EIOPA_RFR!U29*(1%+VLOOKUP($B$27,Int_Rate_Param,2,FALSE))),IF(EIOPA_RFR!U29*(1%+VLOOKUP($B24,Int_Rate_Param,2,FALSE))&lt;1%+EIOPA_RFR!U29,1%+EIOPA_RFR!U29,EIOPA_RFR!U29*(1%+VLOOKUP($B24,Int_Rate_Param,2,FALSE))))</f>
        <v>1.357E-2</v>
      </c>
      <c r="V24" s="94">
        <f>IF($B24&gt;20,IF(EIOPA_RFR!V29*(1%+VLOOKUP($B$27,Int_Rate_Param,2,FALSE))&lt;1%+EIOPA_RFR!V29,1%+EIOPA_RFR!V29,EIOPA_RFR!V29*(1%+VLOOKUP($B$27,Int_Rate_Param,2,FALSE))),IF(EIOPA_RFR!V29*(1%+VLOOKUP($B24,Int_Rate_Param,2,FALSE))&lt;1%+EIOPA_RFR!V29,1%+EIOPA_RFR!V29,EIOPA_RFR!V29*(1%+VLOOKUP($B24,Int_Rate_Param,2,FALSE))))</f>
        <v>2.147E-2</v>
      </c>
      <c r="W24" s="94">
        <f>IF($B24&gt;20,IF(EIOPA_RFR!W29*(1%+VLOOKUP($B$27,Int_Rate_Param,2,FALSE))&lt;1%+EIOPA_RFR!W29,1%+EIOPA_RFR!W29,EIOPA_RFR!W29*(1%+VLOOKUP($B$27,Int_Rate_Param,2,FALSE))),IF(EIOPA_RFR!W29*(1%+VLOOKUP($B24,Int_Rate_Param,2,FALSE))&lt;1%+EIOPA_RFR!W29,1%+EIOPA_RFR!W29,EIOPA_RFR!W29*(1%+VLOOKUP($B24,Int_Rate_Param,2,FALSE))))</f>
        <v>2.147E-2</v>
      </c>
      <c r="X24" s="94">
        <f>IF($B24&gt;20,IF(EIOPA_RFR!X29*(1%+VLOOKUP($B$27,Int_Rate_Param,2,FALSE))&lt;1%+EIOPA_RFR!X29,1%+EIOPA_RFR!X29,EIOPA_RFR!X29*(1%+VLOOKUP($B$27,Int_Rate_Param,2,FALSE))),IF(EIOPA_RFR!X29*(1%+VLOOKUP($B24,Int_Rate_Param,2,FALSE))&lt;1%+EIOPA_RFR!X29,1%+EIOPA_RFR!X29,EIOPA_RFR!X29*(1%+VLOOKUP($B24,Int_Rate_Param,2,FALSE))))</f>
        <v>2.147E-2</v>
      </c>
      <c r="Y24" s="94">
        <f>IF($B24&gt;20,IF(EIOPA_RFR!Y29*(1%+VLOOKUP($B$27,Int_Rate_Param,2,FALSE))&lt;1%+EIOPA_RFR!Y29,1%+EIOPA_RFR!Y29,EIOPA_RFR!Y29*(1%+VLOOKUP($B$27,Int_Rate_Param,2,FALSE))),IF(EIOPA_RFR!Y29*(1%+VLOOKUP($B24,Int_Rate_Param,2,FALSE))&lt;1%+EIOPA_RFR!Y29,1%+EIOPA_RFR!Y29,EIOPA_RFR!Y29*(1%+VLOOKUP($B24,Int_Rate_Param,2,FALSE))))</f>
        <v>2.147E-2</v>
      </c>
      <c r="Z24" s="94">
        <f>IF($B24&gt;20,IF(EIOPA_RFR!Z29*(1%+VLOOKUP($B$27,Int_Rate_Param,2,FALSE))&lt;1%+EIOPA_RFR!Z29,1%+EIOPA_RFR!Z29,EIOPA_RFR!Z29*(1%+VLOOKUP($B$27,Int_Rate_Param,2,FALSE))),IF(EIOPA_RFR!Z29*(1%+VLOOKUP($B24,Int_Rate_Param,2,FALSE))&lt;1%+EIOPA_RFR!Z29,1%+EIOPA_RFR!Z29,EIOPA_RFR!Z29*(1%+VLOOKUP($B24,Int_Rate_Param,2,FALSE))))</f>
        <v>3.3239999999999999E-2</v>
      </c>
      <c r="AA24" s="94">
        <f>IF($B24&gt;20,IF(EIOPA_RFR!AA29*(1%+VLOOKUP($B$27,Int_Rate_Param,2,FALSE))&lt;1%+EIOPA_RFR!AA29,1%+EIOPA_RFR!AA29,EIOPA_RFR!AA29*(1%+VLOOKUP($B$27,Int_Rate_Param,2,FALSE))),IF(EIOPA_RFR!AA29*(1%+VLOOKUP($B24,Int_Rate_Param,2,FALSE))&lt;1%+EIOPA_RFR!AA29,1%+EIOPA_RFR!AA29,EIOPA_RFR!AA29*(1%+VLOOKUP($B24,Int_Rate_Param,2,FALSE))))</f>
        <v>4.7890000000000002E-2</v>
      </c>
      <c r="AB24" s="94">
        <f>IF($B24&gt;20,IF(EIOPA_RFR!AB29*(1%+VLOOKUP($B$27,Int_Rate_Param,2,FALSE))&lt;1%+EIOPA_RFR!AB29,1%+EIOPA_RFR!AB29,EIOPA_RFR!AB29*(1%+VLOOKUP($B$27,Int_Rate_Param,2,FALSE))),IF(EIOPA_RFR!AB29*(1%+VLOOKUP($B24,Int_Rate_Param,2,FALSE))&lt;1%+EIOPA_RFR!AB29,1%+EIOPA_RFR!AB29,EIOPA_RFR!AB29*(1%+VLOOKUP($B24,Int_Rate_Param,2,FALSE))))</f>
        <v>2.147E-2</v>
      </c>
      <c r="AC24" s="94">
        <f>IF($B24&gt;20,IF(EIOPA_RFR!AC29*(1%+VLOOKUP($B$27,Int_Rate_Param,2,FALSE))&lt;1%+EIOPA_RFR!AC29,1%+EIOPA_RFR!AC29,EIOPA_RFR!AC29*(1%+VLOOKUP($B$27,Int_Rate_Param,2,FALSE))),IF(EIOPA_RFR!AC29*(1%+VLOOKUP($B24,Int_Rate_Param,2,FALSE))&lt;1%+EIOPA_RFR!AC29,1%+EIOPA_RFR!AC29,EIOPA_RFR!AC29*(1%+VLOOKUP($B24,Int_Rate_Param,2,FALSE))))</f>
        <v>5.305E-2</v>
      </c>
      <c r="AD24" s="94">
        <f>IF($B24&gt;20,IF(EIOPA_RFR!AD29*(1%+VLOOKUP($B$27,Int_Rate_Param,2,FALSE))&lt;1%+EIOPA_RFR!AD29,1%+EIOPA_RFR!AD29,EIOPA_RFR!AD29*(1%+VLOOKUP($B$27,Int_Rate_Param,2,FALSE))),IF(EIOPA_RFR!AD29*(1%+VLOOKUP($B24,Int_Rate_Param,2,FALSE))&lt;1%+EIOPA_RFR!AD29,1%+EIOPA_RFR!AD29,EIOPA_RFR!AD29*(1%+VLOOKUP($B24,Int_Rate_Param,2,FALSE))))</f>
        <v>8.0059999999999992E-2</v>
      </c>
      <c r="AE24" s="94">
        <f>IF($B24&gt;20,IF(EIOPA_RFR!AE29*(1%+VLOOKUP($B$27,Int_Rate_Param,2,FALSE))&lt;1%+EIOPA_RFR!AE29,1%+EIOPA_RFR!AE29,EIOPA_RFR!AE29*(1%+VLOOKUP($B$27,Int_Rate_Param,2,FALSE))),IF(EIOPA_RFR!AE29*(1%+VLOOKUP($B24,Int_Rate_Param,2,FALSE))&lt;1%+EIOPA_RFR!AE29,1%+EIOPA_RFR!AE29,EIOPA_RFR!AE29*(1%+VLOOKUP($B24,Int_Rate_Param,2,FALSE))))</f>
        <v>2.147E-2</v>
      </c>
      <c r="AF24" s="94">
        <f>IF($B24&gt;20,IF(EIOPA_RFR!AF29*(1%+VLOOKUP($B$27,Int_Rate_Param,2,FALSE))&lt;1%+EIOPA_RFR!AF29,1%+EIOPA_RFR!AF29,EIOPA_RFR!AF29*(1%+VLOOKUP($B$27,Int_Rate_Param,2,FALSE))),IF(EIOPA_RFR!AF29*(1%+VLOOKUP($B24,Int_Rate_Param,2,FALSE))&lt;1%+EIOPA_RFR!AF29,1%+EIOPA_RFR!AF29,EIOPA_RFR!AF29*(1%+VLOOKUP($B24,Int_Rate_Param,2,FALSE))))</f>
        <v>2.147E-2</v>
      </c>
      <c r="AG24" s="94">
        <f>IF($B24&gt;20,IF(EIOPA_RFR!AG29*(1%+VLOOKUP($B$27,Int_Rate_Param,2,FALSE))&lt;1%+EIOPA_RFR!AG29,1%+EIOPA_RFR!AG29,EIOPA_RFR!AG29*(1%+VLOOKUP($B$27,Int_Rate_Param,2,FALSE))),IF(EIOPA_RFR!AG29*(1%+VLOOKUP($B24,Int_Rate_Param,2,FALSE))&lt;1%+EIOPA_RFR!AG29,1%+EIOPA_RFR!AG29,EIOPA_RFR!AG29*(1%+VLOOKUP($B24,Int_Rate_Param,2,FALSE))))</f>
        <v>2.147E-2</v>
      </c>
      <c r="AH24" s="94">
        <f>IF($B24&gt;20,IF(EIOPA_RFR!AH29*(1%+VLOOKUP($B$27,Int_Rate_Param,2,FALSE))&lt;1%+EIOPA_RFR!AH29,1%+EIOPA_RFR!AH29,EIOPA_RFR!AH29*(1%+VLOOKUP($B$27,Int_Rate_Param,2,FALSE))),IF(EIOPA_RFR!AH29*(1%+VLOOKUP($B24,Int_Rate_Param,2,FALSE))&lt;1%+EIOPA_RFR!AH29,1%+EIOPA_RFR!AH29,EIOPA_RFR!AH29*(1%+VLOOKUP($B24,Int_Rate_Param,2,FALSE))))</f>
        <v>3.1280000000000002E-2</v>
      </c>
      <c r="AI24" s="94">
        <f>IF($B24&gt;20,IF(EIOPA_RFR!AI29*(1%+VLOOKUP($B$27,Int_Rate_Param,2,FALSE))&lt;1%+EIOPA_RFR!AI29,1%+EIOPA_RFR!AI29,EIOPA_RFR!AI29*(1%+VLOOKUP($B$27,Int_Rate_Param,2,FALSE))),IF(EIOPA_RFR!AI29*(1%+VLOOKUP($B24,Int_Rate_Param,2,FALSE))&lt;1%+EIOPA_RFR!AI29,1%+EIOPA_RFR!AI29,EIOPA_RFR!AI29*(1%+VLOOKUP($B24,Int_Rate_Param,2,FALSE))))</f>
        <v>1.357E-2</v>
      </c>
      <c r="AJ24" s="94">
        <f>IF($B24&gt;20,IF(EIOPA_RFR!AJ29*(1%+VLOOKUP($B$27,Int_Rate_Param,2,FALSE))&lt;1%+EIOPA_RFR!AJ29,1%+EIOPA_RFR!AJ29,EIOPA_RFR!AJ29*(1%+VLOOKUP($B$27,Int_Rate_Param,2,FALSE))),IF(EIOPA_RFR!AJ29*(1%+VLOOKUP($B24,Int_Rate_Param,2,FALSE))&lt;1%+EIOPA_RFR!AJ29,1%+EIOPA_RFR!AJ29,EIOPA_RFR!AJ29*(1%+VLOOKUP($B24,Int_Rate_Param,2,FALSE))))</f>
        <v>2.283E-2</v>
      </c>
      <c r="AK24" s="94">
        <f>IF($B24&gt;20,IF(EIOPA_RFR!AK29*(1%+VLOOKUP($B$27,Int_Rate_Param,2,FALSE))&lt;1%+EIOPA_RFR!AK29,1%+EIOPA_RFR!AK29,EIOPA_RFR!AK29*(1%+VLOOKUP($B$27,Int_Rate_Param,2,FALSE))),IF(EIOPA_RFR!AK29*(1%+VLOOKUP($B24,Int_Rate_Param,2,FALSE))&lt;1%+EIOPA_RFR!AK29,1%+EIOPA_RFR!AK29,EIOPA_RFR!AK29*(1%+VLOOKUP($B24,Int_Rate_Param,2,FALSE))))</f>
        <v>4.1700000000000001E-2</v>
      </c>
      <c r="AL24" s="94">
        <f>IF($B24&gt;20,IF(EIOPA_RFR!AL29*(1%+VLOOKUP($B$27,Int_Rate_Param,2,FALSE))&lt;1%+EIOPA_RFR!AL29,1%+EIOPA_RFR!AL29,EIOPA_RFR!AL29*(1%+VLOOKUP($B$27,Int_Rate_Param,2,FALSE))),IF(EIOPA_RFR!AL29*(1%+VLOOKUP($B24,Int_Rate_Param,2,FALSE))&lt;1%+EIOPA_RFR!AL29,1%+EIOPA_RFR!AL29,EIOPA_RFR!AL29*(1%+VLOOKUP($B24,Int_Rate_Param,2,FALSE))))</f>
        <v>9.8949999999999996E-2</v>
      </c>
      <c r="AM24" s="94">
        <f>IF($B24&gt;20,IF(EIOPA_RFR!AM29*(1%+VLOOKUP($B$27,Int_Rate_Param,2,FALSE))&lt;1%+EIOPA_RFR!AM29,1%+EIOPA_RFR!AM29,EIOPA_RFR!AM29*(1%+VLOOKUP($B$27,Int_Rate_Param,2,FALSE))),IF(EIOPA_RFR!AM29*(1%+VLOOKUP($B24,Int_Rate_Param,2,FALSE))&lt;1%+EIOPA_RFR!AM29,1%+EIOPA_RFR!AM29,EIOPA_RFR!AM29*(1%+VLOOKUP($B24,Int_Rate_Param,2,FALSE))))</f>
        <v>3.202E-2</v>
      </c>
      <c r="AN24" s="94">
        <f>IF($B24&gt;20,IF(EIOPA_RFR!AN29*(1%+VLOOKUP($B$27,Int_Rate_Param,2,FALSE))&lt;1%+EIOPA_RFR!AN29,1%+EIOPA_RFR!AN29,EIOPA_RFR!AN29*(1%+VLOOKUP($B$27,Int_Rate_Param,2,FALSE))),IF(EIOPA_RFR!AN29*(1%+VLOOKUP($B24,Int_Rate_Param,2,FALSE))&lt;1%+EIOPA_RFR!AN29,1%+EIOPA_RFR!AN29,EIOPA_RFR!AN29*(1%+VLOOKUP($B24,Int_Rate_Param,2,FALSE))))</f>
        <v>5.1799999999999999E-2</v>
      </c>
      <c r="AO24" s="94">
        <f>IF($B24&gt;20,IF(EIOPA_RFR!AO29*(1%+VLOOKUP($B$27,Int_Rate_Param,2,FALSE))&lt;1%+EIOPA_RFR!AO29,1%+EIOPA_RFR!AO29,EIOPA_RFR!AO29*(1%+VLOOKUP($B$27,Int_Rate_Param,2,FALSE))),IF(EIOPA_RFR!AO29*(1%+VLOOKUP($B24,Int_Rate_Param,2,FALSE))&lt;1%+EIOPA_RFR!AO29,1%+EIOPA_RFR!AO29,EIOPA_RFR!AO29*(1%+VLOOKUP($B24,Int_Rate_Param,2,FALSE))))</f>
        <v>5.4100000000000002E-2</v>
      </c>
      <c r="AP24" s="94">
        <f>IF($B24&gt;20,IF(EIOPA_RFR!AP29*(1%+VLOOKUP($B$27,Int_Rate_Param,2,FALSE))&lt;1%+EIOPA_RFR!AP29,1%+EIOPA_RFR!AP29,EIOPA_RFR!AP29*(1%+VLOOKUP($B$27,Int_Rate_Param,2,FALSE))),IF(EIOPA_RFR!AP29*(1%+VLOOKUP($B24,Int_Rate_Param,2,FALSE))&lt;1%+EIOPA_RFR!AP29,1%+EIOPA_RFR!AP29,EIOPA_RFR!AP29*(1%+VLOOKUP($B24,Int_Rate_Param,2,FALSE))))</f>
        <v>7.195E-2</v>
      </c>
      <c r="AQ24" s="94">
        <f>IF($B24&gt;20,IF(EIOPA_RFR!AQ29*(1%+VLOOKUP($B$27,Int_Rate_Param,2,FALSE))&lt;1%+EIOPA_RFR!AQ29,1%+EIOPA_RFR!AQ29,EIOPA_RFR!AQ29*(1%+VLOOKUP($B$27,Int_Rate_Param,2,FALSE))),IF(EIOPA_RFR!AQ29*(1%+VLOOKUP($B24,Int_Rate_Param,2,FALSE))&lt;1%+EIOPA_RFR!AQ29,1%+EIOPA_RFR!AQ29,EIOPA_RFR!AQ29*(1%+VLOOKUP($B24,Int_Rate_Param,2,FALSE))))</f>
        <v>3.4959999999999998E-2</v>
      </c>
      <c r="AR24" s="94">
        <f>IF($B24&gt;20,IF(EIOPA_RFR!AR29*(1%+VLOOKUP($B$27,Int_Rate_Param,2,FALSE))&lt;1%+EIOPA_RFR!AR29,1%+EIOPA_RFR!AR29,EIOPA_RFR!AR29*(1%+VLOOKUP($B$27,Int_Rate_Param,2,FALSE))),IF(EIOPA_RFR!AR29*(1%+VLOOKUP($B24,Int_Rate_Param,2,FALSE))&lt;1%+EIOPA_RFR!AR29,1%+EIOPA_RFR!AR29,EIOPA_RFR!AR29*(1%+VLOOKUP($B24,Int_Rate_Param,2,FALSE))))</f>
        <v>7.8079999999999997E-2</v>
      </c>
      <c r="AS24" s="94">
        <f>IF($B24&gt;20,IF(EIOPA_RFR!AS29*(1%+VLOOKUP($B$27,Int_Rate_Param,2,FALSE))&lt;1%+EIOPA_RFR!AS29,1%+EIOPA_RFR!AS29,EIOPA_RFR!AS29*(1%+VLOOKUP($B$27,Int_Rate_Param,2,FALSE))),IF(EIOPA_RFR!AS29*(1%+VLOOKUP($B24,Int_Rate_Param,2,FALSE))&lt;1%+EIOPA_RFR!AS29,1%+EIOPA_RFR!AS29,EIOPA_RFR!AS29*(1%+VLOOKUP($B24,Int_Rate_Param,2,FALSE))))</f>
        <v>1.485E-2</v>
      </c>
      <c r="AT24" s="94">
        <f>IF($B24&gt;20,IF(EIOPA_RFR!AT29*(1%+VLOOKUP($B$27,Int_Rate_Param,2,FALSE))&lt;1%+EIOPA_RFR!AT29,1%+EIOPA_RFR!AT29,EIOPA_RFR!AT29*(1%+VLOOKUP($B$27,Int_Rate_Param,2,FALSE))),IF(EIOPA_RFR!AT29*(1%+VLOOKUP($B24,Int_Rate_Param,2,FALSE))&lt;1%+EIOPA_RFR!AT29,1%+EIOPA_RFR!AT29,EIOPA_RFR!AT29*(1%+VLOOKUP($B24,Int_Rate_Param,2,FALSE))))</f>
        <v>5.3110000000000004E-2</v>
      </c>
      <c r="AU24" s="94">
        <f>IF($B24&gt;20,IF(EIOPA_RFR!AU29*(1%+VLOOKUP($B$27,Int_Rate_Param,2,FALSE))&lt;1%+EIOPA_RFR!AU29,1%+EIOPA_RFR!AU29,EIOPA_RFR!AU29*(1%+VLOOKUP($B$27,Int_Rate_Param,2,FALSE))),IF(EIOPA_RFR!AU29*(1%+VLOOKUP($B24,Int_Rate_Param,2,FALSE))&lt;1%+EIOPA_RFR!AU29,1%+EIOPA_RFR!AU29,EIOPA_RFR!AU29*(1%+VLOOKUP($B24,Int_Rate_Param,2,FALSE))))</f>
        <v>8.8469999999999993E-2</v>
      </c>
      <c r="AV24" s="94">
        <f>IF($B24&gt;20,IF(EIOPA_RFR!AV29*(1%+VLOOKUP($B$27,Int_Rate_Param,2,FALSE))&lt;1%+EIOPA_RFR!AV29,1%+EIOPA_RFR!AV29,EIOPA_RFR!AV29*(1%+VLOOKUP($B$27,Int_Rate_Param,2,FALSE))),IF(EIOPA_RFR!AV29*(1%+VLOOKUP($B24,Int_Rate_Param,2,FALSE))&lt;1%+EIOPA_RFR!AV29,1%+EIOPA_RFR!AV29,EIOPA_RFR!AV29*(1%+VLOOKUP($B24,Int_Rate_Param,2,FALSE))))</f>
        <v>4.8170000000000004E-2</v>
      </c>
      <c r="AW24" s="94">
        <f>IF($B24&gt;20,IF(EIOPA_RFR!AW29*(1%+VLOOKUP($B$27,Int_Rate_Param,2,FALSE))&lt;1%+EIOPA_RFR!AW29,1%+EIOPA_RFR!AW29,EIOPA_RFR!AW29*(1%+VLOOKUP($B$27,Int_Rate_Param,2,FALSE))),IF(EIOPA_RFR!AW29*(1%+VLOOKUP($B24,Int_Rate_Param,2,FALSE))&lt;1%+EIOPA_RFR!AW29,1%+EIOPA_RFR!AW29,EIOPA_RFR!AW29*(1%+VLOOKUP($B24,Int_Rate_Param,2,FALSE))))</f>
        <v>3.6260000000000001E-2</v>
      </c>
      <c r="AX24" s="94">
        <f>IF($B24&gt;20,IF(EIOPA_RFR!AX29*(1%+VLOOKUP($B$27,Int_Rate_Param,2,FALSE))&lt;1%+EIOPA_RFR!AX29,1%+EIOPA_RFR!AX29,EIOPA_RFR!AX29*(1%+VLOOKUP($B$27,Int_Rate_Param,2,FALSE))),IF(EIOPA_RFR!AX29*(1%+VLOOKUP($B24,Int_Rate_Param,2,FALSE))&lt;1%+EIOPA_RFR!AX29,1%+EIOPA_RFR!AX29,EIOPA_RFR!AX29*(1%+VLOOKUP($B24,Int_Rate_Param,2,FALSE))))</f>
        <v>9.3829999999999997E-2</v>
      </c>
      <c r="AY24" s="94">
        <f>IF($B24&gt;20,IF(EIOPA_RFR!AY29*(1%+VLOOKUP($B$27,Int_Rate_Param,2,FALSE))&lt;1%+EIOPA_RFR!AY29,1%+EIOPA_RFR!AY29,EIOPA_RFR!AY29*(1%+VLOOKUP($B$27,Int_Rate_Param,2,FALSE))),IF(EIOPA_RFR!AY29*(1%+VLOOKUP($B24,Int_Rate_Param,2,FALSE))&lt;1%+EIOPA_RFR!AY29,1%+EIOPA_RFR!AY29,EIOPA_RFR!AY29*(1%+VLOOKUP($B24,Int_Rate_Param,2,FALSE))))</f>
        <v>2.8170000000000001E-2</v>
      </c>
      <c r="AZ24" s="94">
        <f>IF($B24&gt;20,IF(EIOPA_RFR!AZ29*(1%+VLOOKUP($B$27,Int_Rate_Param,2,FALSE))&lt;1%+EIOPA_RFR!AZ29,1%+EIOPA_RFR!AZ29,EIOPA_RFR!AZ29*(1%+VLOOKUP($B$27,Int_Rate_Param,2,FALSE))),IF(EIOPA_RFR!AZ29*(1%+VLOOKUP($B24,Int_Rate_Param,2,FALSE))&lt;1%+EIOPA_RFR!AZ29,1%+EIOPA_RFR!AZ29,EIOPA_RFR!AZ29*(1%+VLOOKUP($B24,Int_Rate_Param,2,FALSE))))</f>
        <v>2.6939999999999999E-2</v>
      </c>
      <c r="BA24" s="94">
        <f>IF($B24&gt;20,IF(EIOPA_RFR!BA29*(1%+VLOOKUP($B$27,Int_Rate_Param,2,FALSE))&lt;1%+EIOPA_RFR!BA29,1%+EIOPA_RFR!BA29,EIOPA_RFR!BA29*(1%+VLOOKUP($B$27,Int_Rate_Param,2,FALSE))),IF(EIOPA_RFR!BA29*(1%+VLOOKUP($B24,Int_Rate_Param,2,FALSE))&lt;1%+EIOPA_RFR!BA29,1%+EIOPA_RFR!BA29,EIOPA_RFR!BA29*(1%+VLOOKUP($B24,Int_Rate_Param,2,FALSE))))</f>
        <v>3.8789999999999998E-2</v>
      </c>
      <c r="BB24" s="94">
        <f>IF($B24&gt;20,IF(EIOPA_RFR!BB29*(1%+VLOOKUP($B$27,Int_Rate_Param,2,FALSE))&lt;1%+EIOPA_RFR!BB29,1%+EIOPA_RFR!BB29,EIOPA_RFR!BB29*(1%+VLOOKUP($B$27,Int_Rate_Param,2,FALSE))),IF(EIOPA_RFR!BB29*(1%+VLOOKUP($B24,Int_Rate_Param,2,FALSE))&lt;1%+EIOPA_RFR!BB29,1%+EIOPA_RFR!BB29,EIOPA_RFR!BB29*(1%+VLOOKUP($B24,Int_Rate_Param,2,FALSE))))</f>
        <v>0.10482</v>
      </c>
      <c r="BC24" s="94">
        <f>IF($B24&gt;20,IF(EIOPA_RFR!BC29*(1%+VLOOKUP($B$27,Int_Rate_Param,2,FALSE))&lt;1%+EIOPA_RFR!BC29,1%+EIOPA_RFR!BC29,EIOPA_RFR!BC29*(1%+VLOOKUP($B$27,Int_Rate_Param,2,FALSE))),IF(EIOPA_RFR!BC29*(1%+VLOOKUP($B24,Int_Rate_Param,2,FALSE))&lt;1%+EIOPA_RFR!BC29,1%+EIOPA_RFR!BC29,EIOPA_RFR!BC29*(1%+VLOOKUP($B24,Int_Rate_Param,2,FALSE))))</f>
        <v>3.4790000000000001E-2</v>
      </c>
    </row>
    <row r="25" spans="1:55" x14ac:dyDescent="0.25">
      <c r="A25">
        <f t="shared" si="0"/>
        <v>20</v>
      </c>
      <c r="B25" s="95">
        <v>18</v>
      </c>
      <c r="C25" s="94">
        <f>IF($B25&gt;20,IF(EIOPA_RFR!C30*(1%+VLOOKUP($B$27,Int_Rate_Param,2,FALSE))&lt;1%+EIOPA_RFR!C30,1%+EIOPA_RFR!C30,EIOPA_RFR!C30*(1%+VLOOKUP($B$27,Int_Rate_Param,2,FALSE))),IF(EIOPA_RFR!C30*(1%+VLOOKUP($B25,Int_Rate_Param,2,FALSE))&lt;1%+EIOPA_RFR!C30,1%+EIOPA_RFR!C30,EIOPA_RFR!C30*(1%+VLOOKUP($B25,Int_Rate_Param,2,FALSE))))</f>
        <v>2.1769999999999998E-2</v>
      </c>
      <c r="D25" s="94">
        <f>IF($B25&gt;20,IF(EIOPA_RFR!D30*(1%+VLOOKUP($B$27,Int_Rate_Param,2,FALSE))&lt;1%+EIOPA_RFR!D30,1%+EIOPA_RFR!D30,EIOPA_RFR!D30*(1%+VLOOKUP($B$27,Int_Rate_Param,2,FALSE))),IF(EIOPA_RFR!D30*(1%+VLOOKUP($B25,Int_Rate_Param,2,FALSE))&lt;1%+EIOPA_RFR!D30,1%+EIOPA_RFR!D30,EIOPA_RFR!D30*(1%+VLOOKUP($B25,Int_Rate_Param,2,FALSE))))</f>
        <v>2.1769999999999998E-2</v>
      </c>
      <c r="E25" s="94">
        <f>IF($B25&gt;20,IF(EIOPA_RFR!E30*(1%+VLOOKUP($B$27,Int_Rate_Param,2,FALSE))&lt;1%+EIOPA_RFR!E30,1%+EIOPA_RFR!E30,EIOPA_RFR!E30*(1%+VLOOKUP($B$27,Int_Rate_Param,2,FALSE))),IF(EIOPA_RFR!E30*(1%+VLOOKUP($B25,Int_Rate_Param,2,FALSE))&lt;1%+EIOPA_RFR!E30,1%+EIOPA_RFR!E30,EIOPA_RFR!E30*(1%+VLOOKUP($B25,Int_Rate_Param,2,FALSE))))</f>
        <v>2.1769999999999998E-2</v>
      </c>
      <c r="F25" s="94">
        <f>IF($B25&gt;20,IF(EIOPA_RFR!F30*(1%+VLOOKUP($B$27,Int_Rate_Param,2,FALSE))&lt;1%+EIOPA_RFR!F30,1%+EIOPA_RFR!F30,EIOPA_RFR!F30*(1%+VLOOKUP($B$27,Int_Rate_Param,2,FALSE))),IF(EIOPA_RFR!F30*(1%+VLOOKUP($B25,Int_Rate_Param,2,FALSE))&lt;1%+EIOPA_RFR!F30,1%+EIOPA_RFR!F30,EIOPA_RFR!F30*(1%+VLOOKUP($B25,Int_Rate_Param,2,FALSE))))</f>
        <v>2.1240000000000002E-2</v>
      </c>
      <c r="G25" s="94">
        <f>IF($B25&gt;20,IF(EIOPA_RFR!G30*(1%+VLOOKUP($B$27,Int_Rate_Param,2,FALSE))&lt;1%+EIOPA_RFR!G30,1%+EIOPA_RFR!G30,EIOPA_RFR!G30*(1%+VLOOKUP($B$27,Int_Rate_Param,2,FALSE))),IF(EIOPA_RFR!G30*(1%+VLOOKUP($B25,Int_Rate_Param,2,FALSE))&lt;1%+EIOPA_RFR!G30,1%+EIOPA_RFR!G30,EIOPA_RFR!G30*(1%+VLOOKUP($B25,Int_Rate_Param,2,FALSE))))</f>
        <v>4.2980000000000004E-2</v>
      </c>
      <c r="H25" s="94">
        <f>IF($B25&gt;20,IF(EIOPA_RFR!H30*(1%+VLOOKUP($B$27,Int_Rate_Param,2,FALSE))&lt;1%+EIOPA_RFR!H30,1%+EIOPA_RFR!H30,EIOPA_RFR!H30*(1%+VLOOKUP($B$27,Int_Rate_Param,2,FALSE))),IF(EIOPA_RFR!H30*(1%+VLOOKUP($B25,Int_Rate_Param,2,FALSE))&lt;1%+EIOPA_RFR!H30,1%+EIOPA_RFR!H30,EIOPA_RFR!H30*(1%+VLOOKUP($B25,Int_Rate_Param,2,FALSE))))</f>
        <v>2.1769999999999998E-2</v>
      </c>
      <c r="I25" s="94">
        <f>IF($B25&gt;20,IF(EIOPA_RFR!I30*(1%+VLOOKUP($B$27,Int_Rate_Param,2,FALSE))&lt;1%+EIOPA_RFR!I30,1%+EIOPA_RFR!I30,EIOPA_RFR!I30*(1%+VLOOKUP($B$27,Int_Rate_Param,2,FALSE))),IF(EIOPA_RFR!I30*(1%+VLOOKUP($B25,Int_Rate_Param,2,FALSE))&lt;1%+EIOPA_RFR!I30,1%+EIOPA_RFR!I30,EIOPA_RFR!I30*(1%+VLOOKUP($B25,Int_Rate_Param,2,FALSE))))</f>
        <v>2.5169999999999998E-2</v>
      </c>
      <c r="J25" s="94">
        <f>IF($B25&gt;20,IF(EIOPA_RFR!J30*(1%+VLOOKUP($B$27,Int_Rate_Param,2,FALSE))&lt;1%+EIOPA_RFR!J30,1%+EIOPA_RFR!J30,EIOPA_RFR!J30*(1%+VLOOKUP($B$27,Int_Rate_Param,2,FALSE))),IF(EIOPA_RFR!J30*(1%+VLOOKUP($B25,Int_Rate_Param,2,FALSE))&lt;1%+EIOPA_RFR!J30,1%+EIOPA_RFR!J30,EIOPA_RFR!J30*(1%+VLOOKUP($B25,Int_Rate_Param,2,FALSE))))</f>
        <v>2.1659999999999999E-2</v>
      </c>
      <c r="K25" s="94">
        <f>IF($B25&gt;20,IF(EIOPA_RFR!K30*(1%+VLOOKUP($B$27,Int_Rate_Param,2,FALSE))&lt;1%+EIOPA_RFR!K30,1%+EIOPA_RFR!K30,EIOPA_RFR!K30*(1%+VLOOKUP($B$27,Int_Rate_Param,2,FALSE))),IF(EIOPA_RFR!K30*(1%+VLOOKUP($B25,Int_Rate_Param,2,FALSE))&lt;1%+EIOPA_RFR!K30,1%+EIOPA_RFR!K30,EIOPA_RFR!K30*(1%+VLOOKUP($B25,Int_Rate_Param,2,FALSE))))</f>
        <v>2.1769999999999998E-2</v>
      </c>
      <c r="L25" s="94">
        <f>IF($B25&gt;20,IF(EIOPA_RFR!L30*(1%+VLOOKUP($B$27,Int_Rate_Param,2,FALSE))&lt;1%+EIOPA_RFR!L30,1%+EIOPA_RFR!L30,EIOPA_RFR!L30*(1%+VLOOKUP($B$27,Int_Rate_Param,2,FALSE))),IF(EIOPA_RFR!L30*(1%+VLOOKUP($B25,Int_Rate_Param,2,FALSE))&lt;1%+EIOPA_RFR!L30,1%+EIOPA_RFR!L30,EIOPA_RFR!L30*(1%+VLOOKUP($B25,Int_Rate_Param,2,FALSE))))</f>
        <v>2.1769999999999998E-2</v>
      </c>
      <c r="M25" s="94">
        <f>IF($B25&gt;20,IF(EIOPA_RFR!M30*(1%+VLOOKUP($B$27,Int_Rate_Param,2,FALSE))&lt;1%+EIOPA_RFR!M30,1%+EIOPA_RFR!M30,EIOPA_RFR!M30*(1%+VLOOKUP($B$27,Int_Rate_Param,2,FALSE))),IF(EIOPA_RFR!M30*(1%+VLOOKUP($B25,Int_Rate_Param,2,FALSE))&lt;1%+EIOPA_RFR!M30,1%+EIOPA_RFR!M30,EIOPA_RFR!M30*(1%+VLOOKUP($B25,Int_Rate_Param,2,FALSE))))</f>
        <v>2.1769999999999998E-2</v>
      </c>
      <c r="N25" s="94">
        <f>IF($B25&gt;20,IF(EIOPA_RFR!N30*(1%+VLOOKUP($B$27,Int_Rate_Param,2,FALSE))&lt;1%+EIOPA_RFR!N30,1%+EIOPA_RFR!N30,EIOPA_RFR!N30*(1%+VLOOKUP($B$27,Int_Rate_Param,2,FALSE))),IF(EIOPA_RFR!N30*(1%+VLOOKUP($B25,Int_Rate_Param,2,FALSE))&lt;1%+EIOPA_RFR!N30,1%+EIOPA_RFR!N30,EIOPA_RFR!N30*(1%+VLOOKUP($B25,Int_Rate_Param,2,FALSE))))</f>
        <v>2.1769999999999998E-2</v>
      </c>
      <c r="O25" s="94">
        <f>IF($B25&gt;20,IF(EIOPA_RFR!O30*(1%+VLOOKUP($B$27,Int_Rate_Param,2,FALSE))&lt;1%+EIOPA_RFR!O30,1%+EIOPA_RFR!O30,EIOPA_RFR!O30*(1%+VLOOKUP($B$27,Int_Rate_Param,2,FALSE))),IF(EIOPA_RFR!O30*(1%+VLOOKUP($B25,Int_Rate_Param,2,FALSE))&lt;1%+EIOPA_RFR!O30,1%+EIOPA_RFR!O30,EIOPA_RFR!O30*(1%+VLOOKUP($B25,Int_Rate_Param,2,FALSE))))</f>
        <v>2.1769999999999998E-2</v>
      </c>
      <c r="P25" s="94">
        <f>IF($B25&gt;20,IF(EIOPA_RFR!P30*(1%+VLOOKUP($B$27,Int_Rate_Param,2,FALSE))&lt;1%+EIOPA_RFR!P30,1%+EIOPA_RFR!P30,EIOPA_RFR!P30*(1%+VLOOKUP($B$27,Int_Rate_Param,2,FALSE))),IF(EIOPA_RFR!P30*(1%+VLOOKUP($B25,Int_Rate_Param,2,FALSE))&lt;1%+EIOPA_RFR!P30,1%+EIOPA_RFR!P30,EIOPA_RFR!P30*(1%+VLOOKUP($B25,Int_Rate_Param,2,FALSE))))</f>
        <v>5.0880000000000002E-2</v>
      </c>
      <c r="Q25" s="94">
        <f>IF($B25&gt;20,IF(EIOPA_RFR!Q30*(1%+VLOOKUP($B$27,Int_Rate_Param,2,FALSE))&lt;1%+EIOPA_RFR!Q30,1%+EIOPA_RFR!Q30,EIOPA_RFR!Q30*(1%+VLOOKUP($B$27,Int_Rate_Param,2,FALSE))),IF(EIOPA_RFR!Q30*(1%+VLOOKUP($B25,Int_Rate_Param,2,FALSE))&lt;1%+EIOPA_RFR!Q30,1%+EIOPA_RFR!Q30,EIOPA_RFR!Q30*(1%+VLOOKUP($B25,Int_Rate_Param,2,FALSE))))</f>
        <v>5.663E-2</v>
      </c>
      <c r="R25" s="94">
        <f>IF($B25&gt;20,IF(EIOPA_RFR!R30*(1%+VLOOKUP($B$27,Int_Rate_Param,2,FALSE))&lt;1%+EIOPA_RFR!R30,1%+EIOPA_RFR!R30,EIOPA_RFR!R30*(1%+VLOOKUP($B$27,Int_Rate_Param,2,FALSE))),IF(EIOPA_RFR!R30*(1%+VLOOKUP($B25,Int_Rate_Param,2,FALSE))&lt;1%+EIOPA_RFR!R30,1%+EIOPA_RFR!R30,EIOPA_RFR!R30*(1%+VLOOKUP($B25,Int_Rate_Param,2,FALSE))))</f>
        <v>2.1769999999999998E-2</v>
      </c>
      <c r="S25" s="94">
        <f>IF($B25&gt;20,IF(EIOPA_RFR!S30*(1%+VLOOKUP($B$27,Int_Rate_Param,2,FALSE))&lt;1%+EIOPA_RFR!S30,1%+EIOPA_RFR!S30,EIOPA_RFR!S30*(1%+VLOOKUP($B$27,Int_Rate_Param,2,FALSE))),IF(EIOPA_RFR!S30*(1%+VLOOKUP($B25,Int_Rate_Param,2,FALSE))&lt;1%+EIOPA_RFR!S30,1%+EIOPA_RFR!S30,EIOPA_RFR!S30*(1%+VLOOKUP($B25,Int_Rate_Param,2,FALSE))))</f>
        <v>2.1769999999999998E-2</v>
      </c>
      <c r="T25" s="94">
        <f>IF($B25&gt;20,IF(EIOPA_RFR!T30*(1%+VLOOKUP($B$27,Int_Rate_Param,2,FALSE))&lt;1%+EIOPA_RFR!T30,1%+EIOPA_RFR!T30,EIOPA_RFR!T30*(1%+VLOOKUP($B$27,Int_Rate_Param,2,FALSE))),IF(EIOPA_RFR!T30*(1%+VLOOKUP($B25,Int_Rate_Param,2,FALSE))&lt;1%+EIOPA_RFR!T30,1%+EIOPA_RFR!T30,EIOPA_RFR!T30*(1%+VLOOKUP($B25,Int_Rate_Param,2,FALSE))))</f>
        <v>2.1769999999999998E-2</v>
      </c>
      <c r="U25" s="94">
        <f>IF($B25&gt;20,IF(EIOPA_RFR!U30*(1%+VLOOKUP($B$27,Int_Rate_Param,2,FALSE))&lt;1%+EIOPA_RFR!U30,1%+EIOPA_RFR!U30,EIOPA_RFR!U30*(1%+VLOOKUP($B$27,Int_Rate_Param,2,FALSE))),IF(EIOPA_RFR!U30*(1%+VLOOKUP($B25,Int_Rate_Param,2,FALSE))&lt;1%+EIOPA_RFR!U30,1%+EIOPA_RFR!U30,EIOPA_RFR!U30*(1%+VLOOKUP($B25,Int_Rate_Param,2,FALSE))))</f>
        <v>1.384E-2</v>
      </c>
      <c r="V25" s="94">
        <f>IF($B25&gt;20,IF(EIOPA_RFR!V30*(1%+VLOOKUP($B$27,Int_Rate_Param,2,FALSE))&lt;1%+EIOPA_RFR!V30,1%+EIOPA_RFR!V30,EIOPA_RFR!V30*(1%+VLOOKUP($B$27,Int_Rate_Param,2,FALSE))),IF(EIOPA_RFR!V30*(1%+VLOOKUP($B25,Int_Rate_Param,2,FALSE))&lt;1%+EIOPA_RFR!V30,1%+EIOPA_RFR!V30,EIOPA_RFR!V30*(1%+VLOOKUP($B25,Int_Rate_Param,2,FALSE))))</f>
        <v>2.1769999999999998E-2</v>
      </c>
      <c r="W25" s="94">
        <f>IF($B25&gt;20,IF(EIOPA_RFR!W30*(1%+VLOOKUP($B$27,Int_Rate_Param,2,FALSE))&lt;1%+EIOPA_RFR!W30,1%+EIOPA_RFR!W30,EIOPA_RFR!W30*(1%+VLOOKUP($B$27,Int_Rate_Param,2,FALSE))),IF(EIOPA_RFR!W30*(1%+VLOOKUP($B25,Int_Rate_Param,2,FALSE))&lt;1%+EIOPA_RFR!W30,1%+EIOPA_RFR!W30,EIOPA_RFR!W30*(1%+VLOOKUP($B25,Int_Rate_Param,2,FALSE))))</f>
        <v>2.1769999999999998E-2</v>
      </c>
      <c r="X25" s="94">
        <f>IF($B25&gt;20,IF(EIOPA_RFR!X30*(1%+VLOOKUP($B$27,Int_Rate_Param,2,FALSE))&lt;1%+EIOPA_RFR!X30,1%+EIOPA_RFR!X30,EIOPA_RFR!X30*(1%+VLOOKUP($B$27,Int_Rate_Param,2,FALSE))),IF(EIOPA_RFR!X30*(1%+VLOOKUP($B25,Int_Rate_Param,2,FALSE))&lt;1%+EIOPA_RFR!X30,1%+EIOPA_RFR!X30,EIOPA_RFR!X30*(1%+VLOOKUP($B25,Int_Rate_Param,2,FALSE))))</f>
        <v>2.1769999999999998E-2</v>
      </c>
      <c r="Y25" s="94">
        <f>IF($B25&gt;20,IF(EIOPA_RFR!Y30*(1%+VLOOKUP($B$27,Int_Rate_Param,2,FALSE))&lt;1%+EIOPA_RFR!Y30,1%+EIOPA_RFR!Y30,EIOPA_RFR!Y30*(1%+VLOOKUP($B$27,Int_Rate_Param,2,FALSE))),IF(EIOPA_RFR!Y30*(1%+VLOOKUP($B25,Int_Rate_Param,2,FALSE))&lt;1%+EIOPA_RFR!Y30,1%+EIOPA_RFR!Y30,EIOPA_RFR!Y30*(1%+VLOOKUP($B25,Int_Rate_Param,2,FALSE))))</f>
        <v>2.1769999999999998E-2</v>
      </c>
      <c r="Z25" s="94">
        <f>IF($B25&gt;20,IF(EIOPA_RFR!Z30*(1%+VLOOKUP($B$27,Int_Rate_Param,2,FALSE))&lt;1%+EIOPA_RFR!Z30,1%+EIOPA_RFR!Z30,EIOPA_RFR!Z30*(1%+VLOOKUP($B$27,Int_Rate_Param,2,FALSE))),IF(EIOPA_RFR!Z30*(1%+VLOOKUP($B25,Int_Rate_Param,2,FALSE))&lt;1%+EIOPA_RFR!Z30,1%+EIOPA_RFR!Z30,EIOPA_RFR!Z30*(1%+VLOOKUP($B25,Int_Rate_Param,2,FALSE))))</f>
        <v>3.3860000000000001E-2</v>
      </c>
      <c r="AA25" s="94">
        <f>IF($B25&gt;20,IF(EIOPA_RFR!AA30*(1%+VLOOKUP($B$27,Int_Rate_Param,2,FALSE))&lt;1%+EIOPA_RFR!AA30,1%+EIOPA_RFR!AA30,EIOPA_RFR!AA30*(1%+VLOOKUP($B$27,Int_Rate_Param,2,FALSE))),IF(EIOPA_RFR!AA30*(1%+VLOOKUP($B25,Int_Rate_Param,2,FALSE))&lt;1%+EIOPA_RFR!AA30,1%+EIOPA_RFR!AA30,EIOPA_RFR!AA30*(1%+VLOOKUP($B25,Int_Rate_Param,2,FALSE))))</f>
        <v>4.8210000000000003E-2</v>
      </c>
      <c r="AB25" s="94">
        <f>IF($B25&gt;20,IF(EIOPA_RFR!AB30*(1%+VLOOKUP($B$27,Int_Rate_Param,2,FALSE))&lt;1%+EIOPA_RFR!AB30,1%+EIOPA_RFR!AB30,EIOPA_RFR!AB30*(1%+VLOOKUP($B$27,Int_Rate_Param,2,FALSE))),IF(EIOPA_RFR!AB30*(1%+VLOOKUP($B25,Int_Rate_Param,2,FALSE))&lt;1%+EIOPA_RFR!AB30,1%+EIOPA_RFR!AB30,EIOPA_RFR!AB30*(1%+VLOOKUP($B25,Int_Rate_Param,2,FALSE))))</f>
        <v>2.1769999999999998E-2</v>
      </c>
      <c r="AC25" s="94">
        <f>IF($B25&gt;20,IF(EIOPA_RFR!AC30*(1%+VLOOKUP($B$27,Int_Rate_Param,2,FALSE))&lt;1%+EIOPA_RFR!AC30,1%+EIOPA_RFR!AC30,EIOPA_RFR!AC30*(1%+VLOOKUP($B$27,Int_Rate_Param,2,FALSE))),IF(EIOPA_RFR!AC30*(1%+VLOOKUP($B25,Int_Rate_Param,2,FALSE))&lt;1%+EIOPA_RFR!AC30,1%+EIOPA_RFR!AC30,EIOPA_RFR!AC30*(1%+VLOOKUP($B25,Int_Rate_Param,2,FALSE))))</f>
        <v>5.3270000000000005E-2</v>
      </c>
      <c r="AD25" s="94">
        <f>IF($B25&gt;20,IF(EIOPA_RFR!AD30*(1%+VLOOKUP($B$27,Int_Rate_Param,2,FALSE))&lt;1%+EIOPA_RFR!AD30,1%+EIOPA_RFR!AD30,EIOPA_RFR!AD30*(1%+VLOOKUP($B$27,Int_Rate_Param,2,FALSE))),IF(EIOPA_RFR!AD30*(1%+VLOOKUP($B25,Int_Rate_Param,2,FALSE))&lt;1%+EIOPA_RFR!AD30,1%+EIOPA_RFR!AD30,EIOPA_RFR!AD30*(1%+VLOOKUP($B25,Int_Rate_Param,2,FALSE))))</f>
        <v>7.918E-2</v>
      </c>
      <c r="AE25" s="94">
        <f>IF($B25&gt;20,IF(EIOPA_RFR!AE30*(1%+VLOOKUP($B$27,Int_Rate_Param,2,FALSE))&lt;1%+EIOPA_RFR!AE30,1%+EIOPA_RFR!AE30,EIOPA_RFR!AE30*(1%+VLOOKUP($B$27,Int_Rate_Param,2,FALSE))),IF(EIOPA_RFR!AE30*(1%+VLOOKUP($B25,Int_Rate_Param,2,FALSE))&lt;1%+EIOPA_RFR!AE30,1%+EIOPA_RFR!AE30,EIOPA_RFR!AE30*(1%+VLOOKUP($B25,Int_Rate_Param,2,FALSE))))</f>
        <v>2.1769999999999998E-2</v>
      </c>
      <c r="AF25" s="94">
        <f>IF($B25&gt;20,IF(EIOPA_RFR!AF30*(1%+VLOOKUP($B$27,Int_Rate_Param,2,FALSE))&lt;1%+EIOPA_RFR!AF30,1%+EIOPA_RFR!AF30,EIOPA_RFR!AF30*(1%+VLOOKUP($B$27,Int_Rate_Param,2,FALSE))),IF(EIOPA_RFR!AF30*(1%+VLOOKUP($B25,Int_Rate_Param,2,FALSE))&lt;1%+EIOPA_RFR!AF30,1%+EIOPA_RFR!AF30,EIOPA_RFR!AF30*(1%+VLOOKUP($B25,Int_Rate_Param,2,FALSE))))</f>
        <v>2.1769999999999998E-2</v>
      </c>
      <c r="AG25" s="94">
        <f>IF($B25&gt;20,IF(EIOPA_RFR!AG30*(1%+VLOOKUP($B$27,Int_Rate_Param,2,FALSE))&lt;1%+EIOPA_RFR!AG30,1%+EIOPA_RFR!AG30,EIOPA_RFR!AG30*(1%+VLOOKUP($B$27,Int_Rate_Param,2,FALSE))),IF(EIOPA_RFR!AG30*(1%+VLOOKUP($B25,Int_Rate_Param,2,FALSE))&lt;1%+EIOPA_RFR!AG30,1%+EIOPA_RFR!AG30,EIOPA_RFR!AG30*(1%+VLOOKUP($B25,Int_Rate_Param,2,FALSE))))</f>
        <v>2.1769999999999998E-2</v>
      </c>
      <c r="AH25" s="94">
        <f>IF($B25&gt;20,IF(EIOPA_RFR!AH30*(1%+VLOOKUP($B$27,Int_Rate_Param,2,FALSE))&lt;1%+EIOPA_RFR!AH30,1%+EIOPA_RFR!AH30,EIOPA_RFR!AH30*(1%+VLOOKUP($B$27,Int_Rate_Param,2,FALSE))),IF(EIOPA_RFR!AH30*(1%+VLOOKUP($B25,Int_Rate_Param,2,FALSE))&lt;1%+EIOPA_RFR!AH30,1%+EIOPA_RFR!AH30,EIOPA_RFR!AH30*(1%+VLOOKUP($B25,Int_Rate_Param,2,FALSE))))</f>
        <v>3.2399999999999998E-2</v>
      </c>
      <c r="AI25" s="94">
        <f>IF($B25&gt;20,IF(EIOPA_RFR!AI30*(1%+VLOOKUP($B$27,Int_Rate_Param,2,FALSE))&lt;1%+EIOPA_RFR!AI30,1%+EIOPA_RFR!AI30,EIOPA_RFR!AI30*(1%+VLOOKUP($B$27,Int_Rate_Param,2,FALSE))),IF(EIOPA_RFR!AI30*(1%+VLOOKUP($B25,Int_Rate_Param,2,FALSE))&lt;1%+EIOPA_RFR!AI30,1%+EIOPA_RFR!AI30,EIOPA_RFR!AI30*(1%+VLOOKUP($B25,Int_Rate_Param,2,FALSE))))</f>
        <v>1.384E-2</v>
      </c>
      <c r="AJ25" s="94">
        <f>IF($B25&gt;20,IF(EIOPA_RFR!AJ30*(1%+VLOOKUP($B$27,Int_Rate_Param,2,FALSE))&lt;1%+EIOPA_RFR!AJ30,1%+EIOPA_RFR!AJ30,EIOPA_RFR!AJ30*(1%+VLOOKUP($B$27,Int_Rate_Param,2,FALSE))),IF(EIOPA_RFR!AJ30*(1%+VLOOKUP($B25,Int_Rate_Param,2,FALSE))&lt;1%+EIOPA_RFR!AJ30,1%+EIOPA_RFR!AJ30,EIOPA_RFR!AJ30*(1%+VLOOKUP($B25,Int_Rate_Param,2,FALSE))))</f>
        <v>2.2940000000000002E-2</v>
      </c>
      <c r="AK25" s="94">
        <f>IF($B25&gt;20,IF(EIOPA_RFR!AK30*(1%+VLOOKUP($B$27,Int_Rate_Param,2,FALSE))&lt;1%+EIOPA_RFR!AK30,1%+EIOPA_RFR!AK30,EIOPA_RFR!AK30*(1%+VLOOKUP($B$27,Int_Rate_Param,2,FALSE))),IF(EIOPA_RFR!AK30*(1%+VLOOKUP($B25,Int_Rate_Param,2,FALSE))&lt;1%+EIOPA_RFR!AK30,1%+EIOPA_RFR!AK30,EIOPA_RFR!AK30*(1%+VLOOKUP($B25,Int_Rate_Param,2,FALSE))))</f>
        <v>4.1960000000000004E-2</v>
      </c>
      <c r="AL25" s="94">
        <f>IF($B25&gt;20,IF(EIOPA_RFR!AL30*(1%+VLOOKUP($B$27,Int_Rate_Param,2,FALSE))&lt;1%+EIOPA_RFR!AL30,1%+EIOPA_RFR!AL30,EIOPA_RFR!AL30*(1%+VLOOKUP($B$27,Int_Rate_Param,2,FALSE))),IF(EIOPA_RFR!AL30*(1%+VLOOKUP($B25,Int_Rate_Param,2,FALSE))&lt;1%+EIOPA_RFR!AL30,1%+EIOPA_RFR!AL30,EIOPA_RFR!AL30*(1%+VLOOKUP($B25,Int_Rate_Param,2,FALSE))))</f>
        <v>9.7970000000000002E-2</v>
      </c>
      <c r="AM25" s="94">
        <f>IF($B25&gt;20,IF(EIOPA_RFR!AM30*(1%+VLOOKUP($B$27,Int_Rate_Param,2,FALSE))&lt;1%+EIOPA_RFR!AM30,1%+EIOPA_RFR!AM30,EIOPA_RFR!AM30*(1%+VLOOKUP($B$27,Int_Rate_Param,2,FALSE))),IF(EIOPA_RFR!AM30*(1%+VLOOKUP($B25,Int_Rate_Param,2,FALSE))&lt;1%+EIOPA_RFR!AM30,1%+EIOPA_RFR!AM30,EIOPA_RFR!AM30*(1%+VLOOKUP($B25,Int_Rate_Param,2,FALSE))))</f>
        <v>3.2370000000000003E-2</v>
      </c>
      <c r="AN25" s="94">
        <f>IF($B25&gt;20,IF(EIOPA_RFR!AN30*(1%+VLOOKUP($B$27,Int_Rate_Param,2,FALSE))&lt;1%+EIOPA_RFR!AN30,1%+EIOPA_RFR!AN30,EIOPA_RFR!AN30*(1%+VLOOKUP($B$27,Int_Rate_Param,2,FALSE))),IF(EIOPA_RFR!AN30*(1%+VLOOKUP($B25,Int_Rate_Param,2,FALSE))&lt;1%+EIOPA_RFR!AN30,1%+EIOPA_RFR!AN30,EIOPA_RFR!AN30*(1%+VLOOKUP($B25,Int_Rate_Param,2,FALSE))))</f>
        <v>5.1930000000000004E-2</v>
      </c>
      <c r="AO25" s="94">
        <f>IF($B25&gt;20,IF(EIOPA_RFR!AO30*(1%+VLOOKUP($B$27,Int_Rate_Param,2,FALSE))&lt;1%+EIOPA_RFR!AO30,1%+EIOPA_RFR!AO30,EIOPA_RFR!AO30*(1%+VLOOKUP($B$27,Int_Rate_Param,2,FALSE))),IF(EIOPA_RFR!AO30*(1%+VLOOKUP($B25,Int_Rate_Param,2,FALSE))&lt;1%+EIOPA_RFR!AO30,1%+EIOPA_RFR!AO30,EIOPA_RFR!AO30*(1%+VLOOKUP($B25,Int_Rate_Param,2,FALSE))))</f>
        <v>5.4179999999999999E-2</v>
      </c>
      <c r="AP25" s="94">
        <f>IF($B25&gt;20,IF(EIOPA_RFR!AP30*(1%+VLOOKUP($B$27,Int_Rate_Param,2,FALSE))&lt;1%+EIOPA_RFR!AP30,1%+EIOPA_RFR!AP30,EIOPA_RFR!AP30*(1%+VLOOKUP($B$27,Int_Rate_Param,2,FALSE))),IF(EIOPA_RFR!AP30*(1%+VLOOKUP($B25,Int_Rate_Param,2,FALSE))&lt;1%+EIOPA_RFR!AP30,1%+EIOPA_RFR!AP30,EIOPA_RFR!AP30*(1%+VLOOKUP($B25,Int_Rate_Param,2,FALSE))))</f>
        <v>7.1539999999999992E-2</v>
      </c>
      <c r="AQ25" s="94">
        <f>IF($B25&gt;20,IF(EIOPA_RFR!AQ30*(1%+VLOOKUP($B$27,Int_Rate_Param,2,FALSE))&lt;1%+EIOPA_RFR!AQ30,1%+EIOPA_RFR!AQ30,EIOPA_RFR!AQ30*(1%+VLOOKUP($B$27,Int_Rate_Param,2,FALSE))),IF(EIOPA_RFR!AQ30*(1%+VLOOKUP($B25,Int_Rate_Param,2,FALSE))&lt;1%+EIOPA_RFR!AQ30,1%+EIOPA_RFR!AQ30,EIOPA_RFR!AQ30*(1%+VLOOKUP($B25,Int_Rate_Param,2,FALSE))))</f>
        <v>3.5389999999999998E-2</v>
      </c>
      <c r="AR25" s="94">
        <f>IF($B25&gt;20,IF(EIOPA_RFR!AR30*(1%+VLOOKUP($B$27,Int_Rate_Param,2,FALSE))&lt;1%+EIOPA_RFR!AR30,1%+EIOPA_RFR!AR30,EIOPA_RFR!AR30*(1%+VLOOKUP($B$27,Int_Rate_Param,2,FALSE))),IF(EIOPA_RFR!AR30*(1%+VLOOKUP($B25,Int_Rate_Param,2,FALSE))&lt;1%+EIOPA_RFR!AR30,1%+EIOPA_RFR!AR30,EIOPA_RFR!AR30*(1%+VLOOKUP($B25,Int_Rate_Param,2,FALSE))))</f>
        <v>7.7780000000000002E-2</v>
      </c>
      <c r="AS25" s="94">
        <f>IF($B25&gt;20,IF(EIOPA_RFR!AS30*(1%+VLOOKUP($B$27,Int_Rate_Param,2,FALSE))&lt;1%+EIOPA_RFR!AS30,1%+EIOPA_RFR!AS30,EIOPA_RFR!AS30*(1%+VLOOKUP($B$27,Int_Rate_Param,2,FALSE))),IF(EIOPA_RFR!AS30*(1%+VLOOKUP($B25,Int_Rate_Param,2,FALSE))&lt;1%+EIOPA_RFR!AS30,1%+EIOPA_RFR!AS30,EIOPA_RFR!AS30*(1%+VLOOKUP($B25,Int_Rate_Param,2,FALSE))))</f>
        <v>1.5259999999999999E-2</v>
      </c>
      <c r="AT25" s="94">
        <f>IF($B25&gt;20,IF(EIOPA_RFR!AT30*(1%+VLOOKUP($B$27,Int_Rate_Param,2,FALSE))&lt;1%+EIOPA_RFR!AT30,1%+EIOPA_RFR!AT30,EIOPA_RFR!AT30*(1%+VLOOKUP($B$27,Int_Rate_Param,2,FALSE))),IF(EIOPA_RFR!AT30*(1%+VLOOKUP($B25,Int_Rate_Param,2,FALSE))&lt;1%+EIOPA_RFR!AT30,1%+EIOPA_RFR!AT30,EIOPA_RFR!AT30*(1%+VLOOKUP($B25,Int_Rate_Param,2,FALSE))))</f>
        <v>5.3270000000000005E-2</v>
      </c>
      <c r="AU25" s="94">
        <f>IF($B25&gt;20,IF(EIOPA_RFR!AU30*(1%+VLOOKUP($B$27,Int_Rate_Param,2,FALSE))&lt;1%+EIOPA_RFR!AU30,1%+EIOPA_RFR!AU30,EIOPA_RFR!AU30*(1%+VLOOKUP($B$27,Int_Rate_Param,2,FALSE))),IF(EIOPA_RFR!AU30*(1%+VLOOKUP($B25,Int_Rate_Param,2,FALSE))&lt;1%+EIOPA_RFR!AU30,1%+EIOPA_RFR!AU30,EIOPA_RFR!AU30*(1%+VLOOKUP($B25,Int_Rate_Param,2,FALSE))))</f>
        <v>8.8909999999999989E-2</v>
      </c>
      <c r="AV25" s="94">
        <f>IF($B25&gt;20,IF(EIOPA_RFR!AV30*(1%+VLOOKUP($B$27,Int_Rate_Param,2,FALSE))&lt;1%+EIOPA_RFR!AV30,1%+EIOPA_RFR!AV30,EIOPA_RFR!AV30*(1%+VLOOKUP($B$27,Int_Rate_Param,2,FALSE))),IF(EIOPA_RFR!AV30*(1%+VLOOKUP($B25,Int_Rate_Param,2,FALSE))&lt;1%+EIOPA_RFR!AV30,1%+EIOPA_RFR!AV30,EIOPA_RFR!AV30*(1%+VLOOKUP($B25,Int_Rate_Param,2,FALSE))))</f>
        <v>4.8710000000000003E-2</v>
      </c>
      <c r="AW25" s="94">
        <f>IF($B25&gt;20,IF(EIOPA_RFR!AW30*(1%+VLOOKUP($B$27,Int_Rate_Param,2,FALSE))&lt;1%+EIOPA_RFR!AW30,1%+EIOPA_RFR!AW30,EIOPA_RFR!AW30*(1%+VLOOKUP($B$27,Int_Rate_Param,2,FALSE))),IF(EIOPA_RFR!AW30*(1%+VLOOKUP($B25,Int_Rate_Param,2,FALSE))&lt;1%+EIOPA_RFR!AW30,1%+EIOPA_RFR!AW30,EIOPA_RFR!AW30*(1%+VLOOKUP($B25,Int_Rate_Param,2,FALSE))))</f>
        <v>3.6429999999999997E-2</v>
      </c>
      <c r="AX25" s="94">
        <f>IF($B25&gt;20,IF(EIOPA_RFR!AX30*(1%+VLOOKUP($B$27,Int_Rate_Param,2,FALSE))&lt;1%+EIOPA_RFR!AX30,1%+EIOPA_RFR!AX30,EIOPA_RFR!AX30*(1%+VLOOKUP($B$27,Int_Rate_Param,2,FALSE))),IF(EIOPA_RFR!AX30*(1%+VLOOKUP($B25,Int_Rate_Param,2,FALSE))&lt;1%+EIOPA_RFR!AX30,1%+EIOPA_RFR!AX30,EIOPA_RFR!AX30*(1%+VLOOKUP($B25,Int_Rate_Param,2,FALSE))))</f>
        <v>9.3369999999999995E-2</v>
      </c>
      <c r="AY25" s="94">
        <f>IF($B25&gt;20,IF(EIOPA_RFR!AY30*(1%+VLOOKUP($B$27,Int_Rate_Param,2,FALSE))&lt;1%+EIOPA_RFR!AY30,1%+EIOPA_RFR!AY30,EIOPA_RFR!AY30*(1%+VLOOKUP($B$27,Int_Rate_Param,2,FALSE))),IF(EIOPA_RFR!AY30*(1%+VLOOKUP($B25,Int_Rate_Param,2,FALSE))&lt;1%+EIOPA_RFR!AY30,1%+EIOPA_RFR!AY30,EIOPA_RFR!AY30*(1%+VLOOKUP($B25,Int_Rate_Param,2,FALSE))))</f>
        <v>2.8150000000000001E-2</v>
      </c>
      <c r="AZ25" s="94">
        <f>IF($B25&gt;20,IF(EIOPA_RFR!AZ30*(1%+VLOOKUP($B$27,Int_Rate_Param,2,FALSE))&lt;1%+EIOPA_RFR!AZ30,1%+EIOPA_RFR!AZ30,EIOPA_RFR!AZ30*(1%+VLOOKUP($B$27,Int_Rate_Param,2,FALSE))),IF(EIOPA_RFR!AZ30*(1%+VLOOKUP($B25,Int_Rate_Param,2,FALSE))&lt;1%+EIOPA_RFR!AZ30,1%+EIOPA_RFR!AZ30,EIOPA_RFR!AZ30*(1%+VLOOKUP($B25,Int_Rate_Param,2,FALSE))))</f>
        <v>2.7770000000000003E-2</v>
      </c>
      <c r="BA25" s="94">
        <f>IF($B25&gt;20,IF(EIOPA_RFR!BA30*(1%+VLOOKUP($B$27,Int_Rate_Param,2,FALSE))&lt;1%+EIOPA_RFR!BA30,1%+EIOPA_RFR!BA30,EIOPA_RFR!BA30*(1%+VLOOKUP($B$27,Int_Rate_Param,2,FALSE))),IF(EIOPA_RFR!BA30*(1%+VLOOKUP($B25,Int_Rate_Param,2,FALSE))&lt;1%+EIOPA_RFR!BA30,1%+EIOPA_RFR!BA30,EIOPA_RFR!BA30*(1%+VLOOKUP($B25,Int_Rate_Param,2,FALSE))))</f>
        <v>3.9199999999999999E-2</v>
      </c>
      <c r="BB25" s="94">
        <f>IF($B25&gt;20,IF(EIOPA_RFR!BB30*(1%+VLOOKUP($B$27,Int_Rate_Param,2,FALSE))&lt;1%+EIOPA_RFR!BB30,1%+EIOPA_RFR!BB30,EIOPA_RFR!BB30*(1%+VLOOKUP($B$27,Int_Rate_Param,2,FALSE))),IF(EIOPA_RFR!BB30*(1%+VLOOKUP($B25,Int_Rate_Param,2,FALSE))&lt;1%+EIOPA_RFR!BB30,1%+EIOPA_RFR!BB30,EIOPA_RFR!BB30*(1%+VLOOKUP($B25,Int_Rate_Param,2,FALSE))))</f>
        <v>0.10342</v>
      </c>
      <c r="BC25" s="94">
        <f>IF($B25&gt;20,IF(EIOPA_RFR!BC30*(1%+VLOOKUP($B$27,Int_Rate_Param,2,FALSE))&lt;1%+EIOPA_RFR!BC30,1%+EIOPA_RFR!BC30,EIOPA_RFR!BC30*(1%+VLOOKUP($B$27,Int_Rate_Param,2,FALSE))),IF(EIOPA_RFR!BC30*(1%+VLOOKUP($B25,Int_Rate_Param,2,FALSE))&lt;1%+EIOPA_RFR!BC30,1%+EIOPA_RFR!BC30,EIOPA_RFR!BC30*(1%+VLOOKUP($B25,Int_Rate_Param,2,FALSE))))</f>
        <v>3.4950000000000002E-2</v>
      </c>
    </row>
    <row r="26" spans="1:55" x14ac:dyDescent="0.25">
      <c r="A26">
        <f t="shared" si="0"/>
        <v>21</v>
      </c>
      <c r="B26" s="95">
        <v>19</v>
      </c>
      <c r="C26" s="94">
        <f>IF($B26&gt;20,IF(EIOPA_RFR!C31*(1%+VLOOKUP($B$27,Int_Rate_Param,2,FALSE))&lt;1%+EIOPA_RFR!C31,1%+EIOPA_RFR!C31,EIOPA_RFR!C31*(1%+VLOOKUP($B$27,Int_Rate_Param,2,FALSE))),IF(EIOPA_RFR!C31*(1%+VLOOKUP($B26,Int_Rate_Param,2,FALSE))&lt;1%+EIOPA_RFR!C31,1%+EIOPA_RFR!C31,EIOPA_RFR!C31*(1%+VLOOKUP($B26,Int_Rate_Param,2,FALSE))))</f>
        <v>2.2109999999999998E-2</v>
      </c>
      <c r="D26" s="94">
        <f>IF($B26&gt;20,IF(EIOPA_RFR!D31*(1%+VLOOKUP($B$27,Int_Rate_Param,2,FALSE))&lt;1%+EIOPA_RFR!D31,1%+EIOPA_RFR!D31,EIOPA_RFR!D31*(1%+VLOOKUP($B$27,Int_Rate_Param,2,FALSE))),IF(EIOPA_RFR!D31*(1%+VLOOKUP($B26,Int_Rate_Param,2,FALSE))&lt;1%+EIOPA_RFR!D31,1%+EIOPA_RFR!D31,EIOPA_RFR!D31*(1%+VLOOKUP($B26,Int_Rate_Param,2,FALSE))))</f>
        <v>2.2109999999999998E-2</v>
      </c>
      <c r="E26" s="94">
        <f>IF($B26&gt;20,IF(EIOPA_RFR!E31*(1%+VLOOKUP($B$27,Int_Rate_Param,2,FALSE))&lt;1%+EIOPA_RFR!E31,1%+EIOPA_RFR!E31,EIOPA_RFR!E31*(1%+VLOOKUP($B$27,Int_Rate_Param,2,FALSE))),IF(EIOPA_RFR!E31*(1%+VLOOKUP($B26,Int_Rate_Param,2,FALSE))&lt;1%+EIOPA_RFR!E31,1%+EIOPA_RFR!E31,EIOPA_RFR!E31*(1%+VLOOKUP($B26,Int_Rate_Param,2,FALSE))))</f>
        <v>2.2109999999999998E-2</v>
      </c>
      <c r="F26" s="94">
        <f>IF($B26&gt;20,IF(EIOPA_RFR!F31*(1%+VLOOKUP($B$27,Int_Rate_Param,2,FALSE))&lt;1%+EIOPA_RFR!F31,1%+EIOPA_RFR!F31,EIOPA_RFR!F31*(1%+VLOOKUP($B$27,Int_Rate_Param,2,FALSE))),IF(EIOPA_RFR!F31*(1%+VLOOKUP($B26,Int_Rate_Param,2,FALSE))&lt;1%+EIOPA_RFR!F31,1%+EIOPA_RFR!F31,EIOPA_RFR!F31*(1%+VLOOKUP($B26,Int_Rate_Param,2,FALSE))))</f>
        <v>2.1580000000000002E-2</v>
      </c>
      <c r="G26" s="94">
        <f>IF($B26&gt;20,IF(EIOPA_RFR!G31*(1%+VLOOKUP($B$27,Int_Rate_Param,2,FALSE))&lt;1%+EIOPA_RFR!G31,1%+EIOPA_RFR!G31,EIOPA_RFR!G31*(1%+VLOOKUP($B$27,Int_Rate_Param,2,FALSE))),IF(EIOPA_RFR!G31*(1%+VLOOKUP($B26,Int_Rate_Param,2,FALSE))&lt;1%+EIOPA_RFR!G31,1%+EIOPA_RFR!G31,EIOPA_RFR!G31*(1%+VLOOKUP($B26,Int_Rate_Param,2,FALSE))))</f>
        <v>4.3300000000000005E-2</v>
      </c>
      <c r="H26" s="94">
        <f>IF($B26&gt;20,IF(EIOPA_RFR!H31*(1%+VLOOKUP($B$27,Int_Rate_Param,2,FALSE))&lt;1%+EIOPA_RFR!H31,1%+EIOPA_RFR!H31,EIOPA_RFR!H31*(1%+VLOOKUP($B$27,Int_Rate_Param,2,FALSE))),IF(EIOPA_RFR!H31*(1%+VLOOKUP($B26,Int_Rate_Param,2,FALSE))&lt;1%+EIOPA_RFR!H31,1%+EIOPA_RFR!H31,EIOPA_RFR!H31*(1%+VLOOKUP($B26,Int_Rate_Param,2,FALSE))))</f>
        <v>2.2109999999999998E-2</v>
      </c>
      <c r="I26" s="94">
        <f>IF($B26&gt;20,IF(EIOPA_RFR!I31*(1%+VLOOKUP($B$27,Int_Rate_Param,2,FALSE))&lt;1%+EIOPA_RFR!I31,1%+EIOPA_RFR!I31,EIOPA_RFR!I31*(1%+VLOOKUP($B$27,Int_Rate_Param,2,FALSE))),IF(EIOPA_RFR!I31*(1%+VLOOKUP($B26,Int_Rate_Param,2,FALSE))&lt;1%+EIOPA_RFR!I31,1%+EIOPA_RFR!I31,EIOPA_RFR!I31*(1%+VLOOKUP($B26,Int_Rate_Param,2,FALSE))))</f>
        <v>2.5919999999999999E-2</v>
      </c>
      <c r="J26" s="94">
        <f>IF($B26&gt;20,IF(EIOPA_RFR!J31*(1%+VLOOKUP($B$27,Int_Rate_Param,2,FALSE))&lt;1%+EIOPA_RFR!J31,1%+EIOPA_RFR!J31,EIOPA_RFR!J31*(1%+VLOOKUP($B$27,Int_Rate_Param,2,FALSE))),IF(EIOPA_RFR!J31*(1%+VLOOKUP($B26,Int_Rate_Param,2,FALSE))&lt;1%+EIOPA_RFR!J31,1%+EIOPA_RFR!J31,EIOPA_RFR!J31*(1%+VLOOKUP($B26,Int_Rate_Param,2,FALSE))))</f>
        <v>2.1999999999999999E-2</v>
      </c>
      <c r="K26" s="94">
        <f>IF($B26&gt;20,IF(EIOPA_RFR!K31*(1%+VLOOKUP($B$27,Int_Rate_Param,2,FALSE))&lt;1%+EIOPA_RFR!K31,1%+EIOPA_RFR!K31,EIOPA_RFR!K31*(1%+VLOOKUP($B$27,Int_Rate_Param,2,FALSE))),IF(EIOPA_RFR!K31*(1%+VLOOKUP($B26,Int_Rate_Param,2,FALSE))&lt;1%+EIOPA_RFR!K31,1%+EIOPA_RFR!K31,EIOPA_RFR!K31*(1%+VLOOKUP($B26,Int_Rate_Param,2,FALSE))))</f>
        <v>2.2109999999999998E-2</v>
      </c>
      <c r="L26" s="94">
        <f>IF($B26&gt;20,IF(EIOPA_RFR!L31*(1%+VLOOKUP($B$27,Int_Rate_Param,2,FALSE))&lt;1%+EIOPA_RFR!L31,1%+EIOPA_RFR!L31,EIOPA_RFR!L31*(1%+VLOOKUP($B$27,Int_Rate_Param,2,FALSE))),IF(EIOPA_RFR!L31*(1%+VLOOKUP($B26,Int_Rate_Param,2,FALSE))&lt;1%+EIOPA_RFR!L31,1%+EIOPA_RFR!L31,EIOPA_RFR!L31*(1%+VLOOKUP($B26,Int_Rate_Param,2,FALSE))))</f>
        <v>2.2109999999999998E-2</v>
      </c>
      <c r="M26" s="94">
        <f>IF($B26&gt;20,IF(EIOPA_RFR!M31*(1%+VLOOKUP($B$27,Int_Rate_Param,2,FALSE))&lt;1%+EIOPA_RFR!M31,1%+EIOPA_RFR!M31,EIOPA_RFR!M31*(1%+VLOOKUP($B$27,Int_Rate_Param,2,FALSE))),IF(EIOPA_RFR!M31*(1%+VLOOKUP($B26,Int_Rate_Param,2,FALSE))&lt;1%+EIOPA_RFR!M31,1%+EIOPA_RFR!M31,EIOPA_RFR!M31*(1%+VLOOKUP($B26,Int_Rate_Param,2,FALSE))))</f>
        <v>2.2109999999999998E-2</v>
      </c>
      <c r="N26" s="94">
        <f>IF($B26&gt;20,IF(EIOPA_RFR!N31*(1%+VLOOKUP($B$27,Int_Rate_Param,2,FALSE))&lt;1%+EIOPA_RFR!N31,1%+EIOPA_RFR!N31,EIOPA_RFR!N31*(1%+VLOOKUP($B$27,Int_Rate_Param,2,FALSE))),IF(EIOPA_RFR!N31*(1%+VLOOKUP($B26,Int_Rate_Param,2,FALSE))&lt;1%+EIOPA_RFR!N31,1%+EIOPA_RFR!N31,EIOPA_RFR!N31*(1%+VLOOKUP($B26,Int_Rate_Param,2,FALSE))))</f>
        <v>2.2109999999999998E-2</v>
      </c>
      <c r="O26" s="94">
        <f>IF($B26&gt;20,IF(EIOPA_RFR!O31*(1%+VLOOKUP($B$27,Int_Rate_Param,2,FALSE))&lt;1%+EIOPA_RFR!O31,1%+EIOPA_RFR!O31,EIOPA_RFR!O31*(1%+VLOOKUP($B$27,Int_Rate_Param,2,FALSE))),IF(EIOPA_RFR!O31*(1%+VLOOKUP($B26,Int_Rate_Param,2,FALSE))&lt;1%+EIOPA_RFR!O31,1%+EIOPA_RFR!O31,EIOPA_RFR!O31*(1%+VLOOKUP($B26,Int_Rate_Param,2,FALSE))))</f>
        <v>2.2109999999999998E-2</v>
      </c>
      <c r="P26" s="94">
        <f>IF($B26&gt;20,IF(EIOPA_RFR!P31*(1%+VLOOKUP($B$27,Int_Rate_Param,2,FALSE))&lt;1%+EIOPA_RFR!P31,1%+EIOPA_RFR!P31,EIOPA_RFR!P31*(1%+VLOOKUP($B$27,Int_Rate_Param,2,FALSE))),IF(EIOPA_RFR!P31*(1%+VLOOKUP($B26,Int_Rate_Param,2,FALSE))&lt;1%+EIOPA_RFR!P31,1%+EIOPA_RFR!P31,EIOPA_RFR!P31*(1%+VLOOKUP($B26,Int_Rate_Param,2,FALSE))))</f>
        <v>5.1380000000000002E-2</v>
      </c>
      <c r="Q26" s="94">
        <f>IF($B26&gt;20,IF(EIOPA_RFR!Q31*(1%+VLOOKUP($B$27,Int_Rate_Param,2,FALSE))&lt;1%+EIOPA_RFR!Q31,1%+EIOPA_RFR!Q31,EIOPA_RFR!Q31*(1%+VLOOKUP($B$27,Int_Rate_Param,2,FALSE))),IF(EIOPA_RFR!Q31*(1%+VLOOKUP($B26,Int_Rate_Param,2,FALSE))&lt;1%+EIOPA_RFR!Q31,1%+EIOPA_RFR!Q31,EIOPA_RFR!Q31*(1%+VLOOKUP($B26,Int_Rate_Param,2,FALSE))))</f>
        <v>5.6520000000000001E-2</v>
      </c>
      <c r="R26" s="94">
        <f>IF($B26&gt;20,IF(EIOPA_RFR!R31*(1%+VLOOKUP($B$27,Int_Rate_Param,2,FALSE))&lt;1%+EIOPA_RFR!R31,1%+EIOPA_RFR!R31,EIOPA_RFR!R31*(1%+VLOOKUP($B$27,Int_Rate_Param,2,FALSE))),IF(EIOPA_RFR!R31*(1%+VLOOKUP($B26,Int_Rate_Param,2,FALSE))&lt;1%+EIOPA_RFR!R31,1%+EIOPA_RFR!R31,EIOPA_RFR!R31*(1%+VLOOKUP($B26,Int_Rate_Param,2,FALSE))))</f>
        <v>2.2109999999999998E-2</v>
      </c>
      <c r="S26" s="94">
        <f>IF($B26&gt;20,IF(EIOPA_RFR!S31*(1%+VLOOKUP($B$27,Int_Rate_Param,2,FALSE))&lt;1%+EIOPA_RFR!S31,1%+EIOPA_RFR!S31,EIOPA_RFR!S31*(1%+VLOOKUP($B$27,Int_Rate_Param,2,FALSE))),IF(EIOPA_RFR!S31*(1%+VLOOKUP($B26,Int_Rate_Param,2,FALSE))&lt;1%+EIOPA_RFR!S31,1%+EIOPA_RFR!S31,EIOPA_RFR!S31*(1%+VLOOKUP($B26,Int_Rate_Param,2,FALSE))))</f>
        <v>2.2109999999999998E-2</v>
      </c>
      <c r="T26" s="94">
        <f>IF($B26&gt;20,IF(EIOPA_RFR!T31*(1%+VLOOKUP($B$27,Int_Rate_Param,2,FALSE))&lt;1%+EIOPA_RFR!T31,1%+EIOPA_RFR!T31,EIOPA_RFR!T31*(1%+VLOOKUP($B$27,Int_Rate_Param,2,FALSE))),IF(EIOPA_RFR!T31*(1%+VLOOKUP($B26,Int_Rate_Param,2,FALSE))&lt;1%+EIOPA_RFR!T31,1%+EIOPA_RFR!T31,EIOPA_RFR!T31*(1%+VLOOKUP($B26,Int_Rate_Param,2,FALSE))))</f>
        <v>2.2109999999999998E-2</v>
      </c>
      <c r="U26" s="94">
        <f>IF($B26&gt;20,IF(EIOPA_RFR!U31*(1%+VLOOKUP($B$27,Int_Rate_Param,2,FALSE))&lt;1%+EIOPA_RFR!U31,1%+EIOPA_RFR!U31,EIOPA_RFR!U31*(1%+VLOOKUP($B$27,Int_Rate_Param,2,FALSE))),IF(EIOPA_RFR!U31*(1%+VLOOKUP($B26,Int_Rate_Param,2,FALSE))&lt;1%+EIOPA_RFR!U31,1%+EIOPA_RFR!U31,EIOPA_RFR!U31*(1%+VLOOKUP($B26,Int_Rate_Param,2,FALSE))))</f>
        <v>1.406E-2</v>
      </c>
      <c r="V26" s="94">
        <f>IF($B26&gt;20,IF(EIOPA_RFR!V31*(1%+VLOOKUP($B$27,Int_Rate_Param,2,FALSE))&lt;1%+EIOPA_RFR!V31,1%+EIOPA_RFR!V31,EIOPA_RFR!V31*(1%+VLOOKUP($B$27,Int_Rate_Param,2,FALSE))),IF(EIOPA_RFR!V31*(1%+VLOOKUP($B26,Int_Rate_Param,2,FALSE))&lt;1%+EIOPA_RFR!V31,1%+EIOPA_RFR!V31,EIOPA_RFR!V31*(1%+VLOOKUP($B26,Int_Rate_Param,2,FALSE))))</f>
        <v>2.2109999999999998E-2</v>
      </c>
      <c r="W26" s="94">
        <f>IF($B26&gt;20,IF(EIOPA_RFR!W31*(1%+VLOOKUP($B$27,Int_Rate_Param,2,FALSE))&lt;1%+EIOPA_RFR!W31,1%+EIOPA_RFR!W31,EIOPA_RFR!W31*(1%+VLOOKUP($B$27,Int_Rate_Param,2,FALSE))),IF(EIOPA_RFR!W31*(1%+VLOOKUP($B26,Int_Rate_Param,2,FALSE))&lt;1%+EIOPA_RFR!W31,1%+EIOPA_RFR!W31,EIOPA_RFR!W31*(1%+VLOOKUP($B26,Int_Rate_Param,2,FALSE))))</f>
        <v>2.2109999999999998E-2</v>
      </c>
      <c r="X26" s="94">
        <f>IF($B26&gt;20,IF(EIOPA_RFR!X31*(1%+VLOOKUP($B$27,Int_Rate_Param,2,FALSE))&lt;1%+EIOPA_RFR!X31,1%+EIOPA_RFR!X31,EIOPA_RFR!X31*(1%+VLOOKUP($B$27,Int_Rate_Param,2,FALSE))),IF(EIOPA_RFR!X31*(1%+VLOOKUP($B26,Int_Rate_Param,2,FALSE))&lt;1%+EIOPA_RFR!X31,1%+EIOPA_RFR!X31,EIOPA_RFR!X31*(1%+VLOOKUP($B26,Int_Rate_Param,2,FALSE))))</f>
        <v>2.2109999999999998E-2</v>
      </c>
      <c r="Y26" s="94">
        <f>IF($B26&gt;20,IF(EIOPA_RFR!Y31*(1%+VLOOKUP($B$27,Int_Rate_Param,2,FALSE))&lt;1%+EIOPA_RFR!Y31,1%+EIOPA_RFR!Y31,EIOPA_RFR!Y31*(1%+VLOOKUP($B$27,Int_Rate_Param,2,FALSE))),IF(EIOPA_RFR!Y31*(1%+VLOOKUP($B26,Int_Rate_Param,2,FALSE))&lt;1%+EIOPA_RFR!Y31,1%+EIOPA_RFR!Y31,EIOPA_RFR!Y31*(1%+VLOOKUP($B26,Int_Rate_Param,2,FALSE))))</f>
        <v>2.2109999999999998E-2</v>
      </c>
      <c r="Z26" s="94">
        <f>IF($B26&gt;20,IF(EIOPA_RFR!Z31*(1%+VLOOKUP($B$27,Int_Rate_Param,2,FALSE))&lt;1%+EIOPA_RFR!Z31,1%+EIOPA_RFR!Z31,EIOPA_RFR!Z31*(1%+VLOOKUP($B$27,Int_Rate_Param,2,FALSE))),IF(EIOPA_RFR!Z31*(1%+VLOOKUP($B26,Int_Rate_Param,2,FALSE))&lt;1%+EIOPA_RFR!Z31,1%+EIOPA_RFR!Z31,EIOPA_RFR!Z31*(1%+VLOOKUP($B26,Int_Rate_Param,2,FALSE))))</f>
        <v>3.4459999999999998E-2</v>
      </c>
      <c r="AA26" s="94">
        <f>IF($B26&gt;20,IF(EIOPA_RFR!AA31*(1%+VLOOKUP($B$27,Int_Rate_Param,2,FALSE))&lt;1%+EIOPA_RFR!AA31,1%+EIOPA_RFR!AA31,EIOPA_RFR!AA31*(1%+VLOOKUP($B$27,Int_Rate_Param,2,FALSE))),IF(EIOPA_RFR!AA31*(1%+VLOOKUP($B26,Int_Rate_Param,2,FALSE))&lt;1%+EIOPA_RFR!AA31,1%+EIOPA_RFR!AA31,EIOPA_RFR!AA31*(1%+VLOOKUP($B26,Int_Rate_Param,2,FALSE))))</f>
        <v>4.8500000000000001E-2</v>
      </c>
      <c r="AB26" s="94">
        <f>IF($B26&gt;20,IF(EIOPA_RFR!AB31*(1%+VLOOKUP($B$27,Int_Rate_Param,2,FALSE))&lt;1%+EIOPA_RFR!AB31,1%+EIOPA_RFR!AB31,EIOPA_RFR!AB31*(1%+VLOOKUP($B$27,Int_Rate_Param,2,FALSE))),IF(EIOPA_RFR!AB31*(1%+VLOOKUP($B26,Int_Rate_Param,2,FALSE))&lt;1%+EIOPA_RFR!AB31,1%+EIOPA_RFR!AB31,EIOPA_RFR!AB31*(1%+VLOOKUP($B26,Int_Rate_Param,2,FALSE))))</f>
        <v>2.2109999999999998E-2</v>
      </c>
      <c r="AC26" s="94">
        <f>IF($B26&gt;20,IF(EIOPA_RFR!AC31*(1%+VLOOKUP($B$27,Int_Rate_Param,2,FALSE))&lt;1%+EIOPA_RFR!AC31,1%+EIOPA_RFR!AC31,EIOPA_RFR!AC31*(1%+VLOOKUP($B$27,Int_Rate_Param,2,FALSE))),IF(EIOPA_RFR!AC31*(1%+VLOOKUP($B26,Int_Rate_Param,2,FALSE))&lt;1%+EIOPA_RFR!AC31,1%+EIOPA_RFR!AC31,EIOPA_RFR!AC31*(1%+VLOOKUP($B26,Int_Rate_Param,2,FALSE))))</f>
        <v>5.3450000000000004E-2</v>
      </c>
      <c r="AD26" s="94">
        <f>IF($B26&gt;20,IF(EIOPA_RFR!AD31*(1%+VLOOKUP($B$27,Int_Rate_Param,2,FALSE))&lt;1%+EIOPA_RFR!AD31,1%+EIOPA_RFR!AD31,EIOPA_RFR!AD31*(1%+VLOOKUP($B$27,Int_Rate_Param,2,FALSE))),IF(EIOPA_RFR!AD31*(1%+VLOOKUP($B26,Int_Rate_Param,2,FALSE))&lt;1%+EIOPA_RFR!AD31,1%+EIOPA_RFR!AD31,EIOPA_RFR!AD31*(1%+VLOOKUP($B26,Int_Rate_Param,2,FALSE))))</f>
        <v>7.8339999999999993E-2</v>
      </c>
      <c r="AE26" s="94">
        <f>IF($B26&gt;20,IF(EIOPA_RFR!AE31*(1%+VLOOKUP($B$27,Int_Rate_Param,2,FALSE))&lt;1%+EIOPA_RFR!AE31,1%+EIOPA_RFR!AE31,EIOPA_RFR!AE31*(1%+VLOOKUP($B$27,Int_Rate_Param,2,FALSE))),IF(EIOPA_RFR!AE31*(1%+VLOOKUP($B26,Int_Rate_Param,2,FALSE))&lt;1%+EIOPA_RFR!AE31,1%+EIOPA_RFR!AE31,EIOPA_RFR!AE31*(1%+VLOOKUP($B26,Int_Rate_Param,2,FALSE))))</f>
        <v>2.2109999999999998E-2</v>
      </c>
      <c r="AF26" s="94">
        <f>IF($B26&gt;20,IF(EIOPA_RFR!AF31*(1%+VLOOKUP($B$27,Int_Rate_Param,2,FALSE))&lt;1%+EIOPA_RFR!AF31,1%+EIOPA_RFR!AF31,EIOPA_RFR!AF31*(1%+VLOOKUP($B$27,Int_Rate_Param,2,FALSE))),IF(EIOPA_RFR!AF31*(1%+VLOOKUP($B26,Int_Rate_Param,2,FALSE))&lt;1%+EIOPA_RFR!AF31,1%+EIOPA_RFR!AF31,EIOPA_RFR!AF31*(1%+VLOOKUP($B26,Int_Rate_Param,2,FALSE))))</f>
        <v>2.2109999999999998E-2</v>
      </c>
      <c r="AG26" s="94">
        <f>IF($B26&gt;20,IF(EIOPA_RFR!AG31*(1%+VLOOKUP($B$27,Int_Rate_Param,2,FALSE))&lt;1%+EIOPA_RFR!AG31,1%+EIOPA_RFR!AG31,EIOPA_RFR!AG31*(1%+VLOOKUP($B$27,Int_Rate_Param,2,FALSE))),IF(EIOPA_RFR!AG31*(1%+VLOOKUP($B26,Int_Rate_Param,2,FALSE))&lt;1%+EIOPA_RFR!AG31,1%+EIOPA_RFR!AG31,EIOPA_RFR!AG31*(1%+VLOOKUP($B26,Int_Rate_Param,2,FALSE))))</f>
        <v>2.2109999999999998E-2</v>
      </c>
      <c r="AH26" s="94">
        <f>IF($B26&gt;20,IF(EIOPA_RFR!AH31*(1%+VLOOKUP($B$27,Int_Rate_Param,2,FALSE))&lt;1%+EIOPA_RFR!AH31,1%+EIOPA_RFR!AH31,EIOPA_RFR!AH31*(1%+VLOOKUP($B$27,Int_Rate_Param,2,FALSE))),IF(EIOPA_RFR!AH31*(1%+VLOOKUP($B26,Int_Rate_Param,2,FALSE))&lt;1%+EIOPA_RFR!AH31,1%+EIOPA_RFR!AH31,EIOPA_RFR!AH31*(1%+VLOOKUP($B26,Int_Rate_Param,2,FALSE))))</f>
        <v>3.3410000000000002E-2</v>
      </c>
      <c r="AI26" s="94">
        <f>IF($B26&gt;20,IF(EIOPA_RFR!AI31*(1%+VLOOKUP($B$27,Int_Rate_Param,2,FALSE))&lt;1%+EIOPA_RFR!AI31,1%+EIOPA_RFR!AI31,EIOPA_RFR!AI31*(1%+VLOOKUP($B$27,Int_Rate_Param,2,FALSE))),IF(EIOPA_RFR!AI31*(1%+VLOOKUP($B26,Int_Rate_Param,2,FALSE))&lt;1%+EIOPA_RFR!AI31,1%+EIOPA_RFR!AI31,EIOPA_RFR!AI31*(1%+VLOOKUP($B26,Int_Rate_Param,2,FALSE))))</f>
        <v>1.406E-2</v>
      </c>
      <c r="AJ26" s="94">
        <f>IF($B26&gt;20,IF(EIOPA_RFR!AJ31*(1%+VLOOKUP($B$27,Int_Rate_Param,2,FALSE))&lt;1%+EIOPA_RFR!AJ31,1%+EIOPA_RFR!AJ31,EIOPA_RFR!AJ31*(1%+VLOOKUP($B$27,Int_Rate_Param,2,FALSE))),IF(EIOPA_RFR!AJ31*(1%+VLOOKUP($B26,Int_Rate_Param,2,FALSE))&lt;1%+EIOPA_RFR!AJ31,1%+EIOPA_RFR!AJ31,EIOPA_RFR!AJ31*(1%+VLOOKUP($B26,Int_Rate_Param,2,FALSE))))</f>
        <v>2.3010000000000003E-2</v>
      </c>
      <c r="AK26" s="94">
        <f>IF($B26&gt;20,IF(EIOPA_RFR!AK31*(1%+VLOOKUP($B$27,Int_Rate_Param,2,FALSE))&lt;1%+EIOPA_RFR!AK31,1%+EIOPA_RFR!AK31,EIOPA_RFR!AK31*(1%+VLOOKUP($B$27,Int_Rate_Param,2,FALSE))),IF(EIOPA_RFR!AK31*(1%+VLOOKUP($B26,Int_Rate_Param,2,FALSE))&lt;1%+EIOPA_RFR!AK31,1%+EIOPA_RFR!AK31,EIOPA_RFR!AK31*(1%+VLOOKUP($B26,Int_Rate_Param,2,FALSE))))</f>
        <v>4.2200000000000001E-2</v>
      </c>
      <c r="AL26" s="94">
        <f>IF($B26&gt;20,IF(EIOPA_RFR!AL31*(1%+VLOOKUP($B$27,Int_Rate_Param,2,FALSE))&lt;1%+EIOPA_RFR!AL31,1%+EIOPA_RFR!AL31,EIOPA_RFR!AL31*(1%+VLOOKUP($B$27,Int_Rate_Param,2,FALSE))),IF(EIOPA_RFR!AL31*(1%+VLOOKUP($B26,Int_Rate_Param,2,FALSE))&lt;1%+EIOPA_RFR!AL31,1%+EIOPA_RFR!AL31,EIOPA_RFR!AL31*(1%+VLOOKUP($B26,Int_Rate_Param,2,FALSE))))</f>
        <v>9.6999999999999989E-2</v>
      </c>
      <c r="AM26" s="94">
        <f>IF($B26&gt;20,IF(EIOPA_RFR!AM31*(1%+VLOOKUP($B$27,Int_Rate_Param,2,FALSE))&lt;1%+EIOPA_RFR!AM31,1%+EIOPA_RFR!AM31,EIOPA_RFR!AM31*(1%+VLOOKUP($B$27,Int_Rate_Param,2,FALSE))),IF(EIOPA_RFR!AM31*(1%+VLOOKUP($B26,Int_Rate_Param,2,FALSE))&lt;1%+EIOPA_RFR!AM31,1%+EIOPA_RFR!AM31,EIOPA_RFR!AM31*(1%+VLOOKUP($B26,Int_Rate_Param,2,FALSE))))</f>
        <v>3.2599999999999997E-2</v>
      </c>
      <c r="AN26" s="94">
        <f>IF($B26&gt;20,IF(EIOPA_RFR!AN31*(1%+VLOOKUP($B$27,Int_Rate_Param,2,FALSE))&lt;1%+EIOPA_RFR!AN31,1%+EIOPA_RFR!AN31,EIOPA_RFR!AN31*(1%+VLOOKUP($B$27,Int_Rate_Param,2,FALSE))),IF(EIOPA_RFR!AN31*(1%+VLOOKUP($B26,Int_Rate_Param,2,FALSE))&lt;1%+EIOPA_RFR!AN31,1%+EIOPA_RFR!AN31,EIOPA_RFR!AN31*(1%+VLOOKUP($B26,Int_Rate_Param,2,FALSE))))</f>
        <v>5.2040000000000003E-2</v>
      </c>
      <c r="AO26" s="94">
        <f>IF($B26&gt;20,IF(EIOPA_RFR!AO31*(1%+VLOOKUP($B$27,Int_Rate_Param,2,FALSE))&lt;1%+EIOPA_RFR!AO31,1%+EIOPA_RFR!AO31,EIOPA_RFR!AO31*(1%+VLOOKUP($B$27,Int_Rate_Param,2,FALSE))),IF(EIOPA_RFR!AO31*(1%+VLOOKUP($B26,Int_Rate_Param,2,FALSE))&lt;1%+EIOPA_RFR!AO31,1%+EIOPA_RFR!AO31,EIOPA_RFR!AO31*(1%+VLOOKUP($B26,Int_Rate_Param,2,FALSE))))</f>
        <v>5.423E-2</v>
      </c>
      <c r="AP26" s="94">
        <f>IF($B26&gt;20,IF(EIOPA_RFR!AP31*(1%+VLOOKUP($B$27,Int_Rate_Param,2,FALSE))&lt;1%+EIOPA_RFR!AP31,1%+EIOPA_RFR!AP31,EIOPA_RFR!AP31*(1%+VLOOKUP($B$27,Int_Rate_Param,2,FALSE))),IF(EIOPA_RFR!AP31*(1%+VLOOKUP($B26,Int_Rate_Param,2,FALSE))&lt;1%+EIOPA_RFR!AP31,1%+EIOPA_RFR!AP31,EIOPA_RFR!AP31*(1%+VLOOKUP($B26,Int_Rate_Param,2,FALSE))))</f>
        <v>7.1099999999999997E-2</v>
      </c>
      <c r="AQ26" s="94">
        <f>IF($B26&gt;20,IF(EIOPA_RFR!AQ31*(1%+VLOOKUP($B$27,Int_Rate_Param,2,FALSE))&lt;1%+EIOPA_RFR!AQ31,1%+EIOPA_RFR!AQ31,EIOPA_RFR!AQ31*(1%+VLOOKUP($B$27,Int_Rate_Param,2,FALSE))),IF(EIOPA_RFR!AQ31*(1%+VLOOKUP($B26,Int_Rate_Param,2,FALSE))&lt;1%+EIOPA_RFR!AQ31,1%+EIOPA_RFR!AQ31,EIOPA_RFR!AQ31*(1%+VLOOKUP($B26,Int_Rate_Param,2,FALSE))))</f>
        <v>3.5830000000000001E-2</v>
      </c>
      <c r="AR26" s="94">
        <f>IF($B26&gt;20,IF(EIOPA_RFR!AR31*(1%+VLOOKUP($B$27,Int_Rate_Param,2,FALSE))&lt;1%+EIOPA_RFR!AR31,1%+EIOPA_RFR!AR31,EIOPA_RFR!AR31*(1%+VLOOKUP($B$27,Int_Rate_Param,2,FALSE))),IF(EIOPA_RFR!AR31*(1%+VLOOKUP($B26,Int_Rate_Param,2,FALSE))&lt;1%+EIOPA_RFR!AR31,1%+EIOPA_RFR!AR31,EIOPA_RFR!AR31*(1%+VLOOKUP($B26,Int_Rate_Param,2,FALSE))))</f>
        <v>7.7460000000000001E-2</v>
      </c>
      <c r="AS26" s="94">
        <f>IF($B26&gt;20,IF(EIOPA_RFR!AS31*(1%+VLOOKUP($B$27,Int_Rate_Param,2,FALSE))&lt;1%+EIOPA_RFR!AS31,1%+EIOPA_RFR!AS31,EIOPA_RFR!AS31*(1%+VLOOKUP($B$27,Int_Rate_Param,2,FALSE))),IF(EIOPA_RFR!AS31*(1%+VLOOKUP($B26,Int_Rate_Param,2,FALSE))&lt;1%+EIOPA_RFR!AS31,1%+EIOPA_RFR!AS31,EIOPA_RFR!AS31*(1%+VLOOKUP($B26,Int_Rate_Param,2,FALSE))))</f>
        <v>1.5629999999999998E-2</v>
      </c>
      <c r="AT26" s="94">
        <f>IF($B26&gt;20,IF(EIOPA_RFR!AT31*(1%+VLOOKUP($B$27,Int_Rate_Param,2,FALSE))&lt;1%+EIOPA_RFR!AT31,1%+EIOPA_RFR!AT31,EIOPA_RFR!AT31*(1%+VLOOKUP($B$27,Int_Rate_Param,2,FALSE))),IF(EIOPA_RFR!AT31*(1%+VLOOKUP($B26,Int_Rate_Param,2,FALSE))&lt;1%+EIOPA_RFR!AT31,1%+EIOPA_RFR!AT31,EIOPA_RFR!AT31*(1%+VLOOKUP($B26,Int_Rate_Param,2,FALSE))))</f>
        <v>5.3380000000000004E-2</v>
      </c>
      <c r="AU26" s="94">
        <f>IF($B26&gt;20,IF(EIOPA_RFR!AU31*(1%+VLOOKUP($B$27,Int_Rate_Param,2,FALSE))&lt;1%+EIOPA_RFR!AU31,1%+EIOPA_RFR!AU31,EIOPA_RFR!AU31*(1%+VLOOKUP($B$27,Int_Rate_Param,2,FALSE))),IF(EIOPA_RFR!AU31*(1%+VLOOKUP($B26,Int_Rate_Param,2,FALSE))&lt;1%+EIOPA_RFR!AU31,1%+EIOPA_RFR!AU31,EIOPA_RFR!AU31*(1%+VLOOKUP($B26,Int_Rate_Param,2,FALSE))))</f>
        <v>8.9219999999999994E-2</v>
      </c>
      <c r="AV26" s="94">
        <f>IF($B26&gt;20,IF(EIOPA_RFR!AV31*(1%+VLOOKUP($B$27,Int_Rate_Param,2,FALSE))&lt;1%+EIOPA_RFR!AV31,1%+EIOPA_RFR!AV31,EIOPA_RFR!AV31*(1%+VLOOKUP($B$27,Int_Rate_Param,2,FALSE))),IF(EIOPA_RFR!AV31*(1%+VLOOKUP($B26,Int_Rate_Param,2,FALSE))&lt;1%+EIOPA_RFR!AV31,1%+EIOPA_RFR!AV31,EIOPA_RFR!AV31*(1%+VLOOKUP($B26,Int_Rate_Param,2,FALSE))))</f>
        <v>4.9170000000000005E-2</v>
      </c>
      <c r="AW26" s="94">
        <f>IF($B26&gt;20,IF(EIOPA_RFR!AW31*(1%+VLOOKUP($B$27,Int_Rate_Param,2,FALSE))&lt;1%+EIOPA_RFR!AW31,1%+EIOPA_RFR!AW31,EIOPA_RFR!AW31*(1%+VLOOKUP($B$27,Int_Rate_Param,2,FALSE))),IF(EIOPA_RFR!AW31*(1%+VLOOKUP($B26,Int_Rate_Param,2,FALSE))&lt;1%+EIOPA_RFR!AW31,1%+EIOPA_RFR!AW31,EIOPA_RFR!AW31*(1%+VLOOKUP($B26,Int_Rate_Param,2,FALSE))))</f>
        <v>3.662E-2</v>
      </c>
      <c r="AX26" s="94">
        <f>IF($B26&gt;20,IF(EIOPA_RFR!AX31*(1%+VLOOKUP($B$27,Int_Rate_Param,2,FALSE))&lt;1%+EIOPA_RFR!AX31,1%+EIOPA_RFR!AX31,EIOPA_RFR!AX31*(1%+VLOOKUP($B$27,Int_Rate_Param,2,FALSE))),IF(EIOPA_RFR!AX31*(1%+VLOOKUP($B26,Int_Rate_Param,2,FALSE))&lt;1%+EIOPA_RFR!AX31,1%+EIOPA_RFR!AX31,EIOPA_RFR!AX31*(1%+VLOOKUP($B26,Int_Rate_Param,2,FALSE))))</f>
        <v>9.2839999999999992E-2</v>
      </c>
      <c r="AY26" s="94">
        <f>IF($B26&gt;20,IF(EIOPA_RFR!AY31*(1%+VLOOKUP($B$27,Int_Rate_Param,2,FALSE))&lt;1%+EIOPA_RFR!AY31,1%+EIOPA_RFR!AY31,EIOPA_RFR!AY31*(1%+VLOOKUP($B$27,Int_Rate_Param,2,FALSE))),IF(EIOPA_RFR!AY31*(1%+VLOOKUP($B26,Int_Rate_Param,2,FALSE))&lt;1%+EIOPA_RFR!AY31,1%+EIOPA_RFR!AY31,EIOPA_RFR!AY31*(1%+VLOOKUP($B26,Int_Rate_Param,2,FALSE))))</f>
        <v>2.8209999999999999E-2</v>
      </c>
      <c r="AZ26" s="94">
        <f>IF($B26&gt;20,IF(EIOPA_RFR!AZ31*(1%+VLOOKUP($B$27,Int_Rate_Param,2,FALSE))&lt;1%+EIOPA_RFR!AZ31,1%+EIOPA_RFR!AZ31,EIOPA_RFR!AZ31*(1%+VLOOKUP($B$27,Int_Rate_Param,2,FALSE))),IF(EIOPA_RFR!AZ31*(1%+VLOOKUP($B26,Int_Rate_Param,2,FALSE))&lt;1%+EIOPA_RFR!AZ31,1%+EIOPA_RFR!AZ31,EIOPA_RFR!AZ31*(1%+VLOOKUP($B26,Int_Rate_Param,2,FALSE))))</f>
        <v>2.8569999999999998E-2</v>
      </c>
      <c r="BA26" s="94">
        <f>IF($B26&gt;20,IF(EIOPA_RFR!BA31*(1%+VLOOKUP($B$27,Int_Rate_Param,2,FALSE))&lt;1%+EIOPA_RFR!BA31,1%+EIOPA_RFR!BA31,EIOPA_RFR!BA31*(1%+VLOOKUP($B$27,Int_Rate_Param,2,FALSE))),IF(EIOPA_RFR!BA31*(1%+VLOOKUP($B26,Int_Rate_Param,2,FALSE))&lt;1%+EIOPA_RFR!BA31,1%+EIOPA_RFR!BA31,EIOPA_RFR!BA31*(1%+VLOOKUP($B26,Int_Rate_Param,2,FALSE))))</f>
        <v>3.9600000000000003E-2</v>
      </c>
      <c r="BB26" s="94">
        <f>IF($B26&gt;20,IF(EIOPA_RFR!BB31*(1%+VLOOKUP($B$27,Int_Rate_Param,2,FALSE))&lt;1%+EIOPA_RFR!BB31,1%+EIOPA_RFR!BB31,EIOPA_RFR!BB31*(1%+VLOOKUP($B$27,Int_Rate_Param,2,FALSE))),IF(EIOPA_RFR!BB31*(1%+VLOOKUP($B26,Int_Rate_Param,2,FALSE))&lt;1%+EIOPA_RFR!BB31,1%+EIOPA_RFR!BB31,EIOPA_RFR!BB31*(1%+VLOOKUP($B26,Int_Rate_Param,2,FALSE))))</f>
        <v>0.10206999999999999</v>
      </c>
      <c r="BC26" s="94">
        <f>IF($B26&gt;20,IF(EIOPA_RFR!BC31*(1%+VLOOKUP($B$27,Int_Rate_Param,2,FALSE))&lt;1%+EIOPA_RFR!BC31,1%+EIOPA_RFR!BC31,EIOPA_RFR!BC31*(1%+VLOOKUP($B$27,Int_Rate_Param,2,FALSE))),IF(EIOPA_RFR!BC31*(1%+VLOOKUP($B26,Int_Rate_Param,2,FALSE))&lt;1%+EIOPA_RFR!BC31,1%+EIOPA_RFR!BC31,EIOPA_RFR!BC31*(1%+VLOOKUP($B26,Int_Rate_Param,2,FALSE))))</f>
        <v>3.508E-2</v>
      </c>
    </row>
    <row r="27" spans="1:55" x14ac:dyDescent="0.25">
      <c r="A27">
        <f t="shared" si="0"/>
        <v>22</v>
      </c>
      <c r="B27" s="95">
        <v>20</v>
      </c>
      <c r="C27" s="94">
        <f>IF($B27&gt;20,IF(EIOPA_RFR!C32*(1%+VLOOKUP($B$27,Int_Rate_Param,2,FALSE))&lt;1%+EIOPA_RFR!C32,1%+EIOPA_RFR!C32,EIOPA_RFR!C32*(1%+VLOOKUP($B$27,Int_Rate_Param,2,FALSE))),IF(EIOPA_RFR!C32*(1%+VLOOKUP($B27,Int_Rate_Param,2,FALSE))&lt;1%+EIOPA_RFR!C32,1%+EIOPA_RFR!C32,EIOPA_RFR!C32*(1%+VLOOKUP($B27,Int_Rate_Param,2,FALSE))))</f>
        <v>2.2519999999999998E-2</v>
      </c>
      <c r="D27" s="94">
        <f>IF($B27&gt;20,IF(EIOPA_RFR!D32*(1%+VLOOKUP($B$27,Int_Rate_Param,2,FALSE))&lt;1%+EIOPA_RFR!D32,1%+EIOPA_RFR!D32,EIOPA_RFR!D32*(1%+VLOOKUP($B$27,Int_Rate_Param,2,FALSE))),IF(EIOPA_RFR!D32*(1%+VLOOKUP($B27,Int_Rate_Param,2,FALSE))&lt;1%+EIOPA_RFR!D32,1%+EIOPA_RFR!D32,EIOPA_RFR!D32*(1%+VLOOKUP($B27,Int_Rate_Param,2,FALSE))))</f>
        <v>2.2519999999999998E-2</v>
      </c>
      <c r="E27" s="94">
        <f>IF($B27&gt;20,IF(EIOPA_RFR!E32*(1%+VLOOKUP($B$27,Int_Rate_Param,2,FALSE))&lt;1%+EIOPA_RFR!E32,1%+EIOPA_RFR!E32,EIOPA_RFR!E32*(1%+VLOOKUP($B$27,Int_Rate_Param,2,FALSE))),IF(EIOPA_RFR!E32*(1%+VLOOKUP($B27,Int_Rate_Param,2,FALSE))&lt;1%+EIOPA_RFR!E32,1%+EIOPA_RFR!E32,EIOPA_RFR!E32*(1%+VLOOKUP($B27,Int_Rate_Param,2,FALSE))))</f>
        <v>2.2519999999999998E-2</v>
      </c>
      <c r="F27" s="94">
        <f>IF($B27&gt;20,IF(EIOPA_RFR!F32*(1%+VLOOKUP($B$27,Int_Rate_Param,2,FALSE))&lt;1%+EIOPA_RFR!F32,1%+EIOPA_RFR!F32,EIOPA_RFR!F32*(1%+VLOOKUP($B$27,Int_Rate_Param,2,FALSE))),IF(EIOPA_RFR!F32*(1%+VLOOKUP($B27,Int_Rate_Param,2,FALSE))&lt;1%+EIOPA_RFR!F32,1%+EIOPA_RFR!F32,EIOPA_RFR!F32*(1%+VLOOKUP($B27,Int_Rate_Param,2,FALSE))))</f>
        <v>2.1999999999999999E-2</v>
      </c>
      <c r="G27" s="94">
        <f>IF($B27&gt;20,IF(EIOPA_RFR!G32*(1%+VLOOKUP($B$27,Int_Rate_Param,2,FALSE))&lt;1%+EIOPA_RFR!G32,1%+EIOPA_RFR!G32,EIOPA_RFR!G32*(1%+VLOOKUP($B$27,Int_Rate_Param,2,FALSE))),IF(EIOPA_RFR!G32*(1%+VLOOKUP($B27,Int_Rate_Param,2,FALSE))&lt;1%+EIOPA_RFR!G32,1%+EIOPA_RFR!G32,EIOPA_RFR!G32*(1%+VLOOKUP($B27,Int_Rate_Param,2,FALSE))))</f>
        <v>4.3610000000000003E-2</v>
      </c>
      <c r="H27" s="94">
        <f>IF($B27&gt;20,IF(EIOPA_RFR!H32*(1%+VLOOKUP($B$27,Int_Rate_Param,2,FALSE))&lt;1%+EIOPA_RFR!H32,1%+EIOPA_RFR!H32,EIOPA_RFR!H32*(1%+VLOOKUP($B$27,Int_Rate_Param,2,FALSE))),IF(EIOPA_RFR!H32*(1%+VLOOKUP($B27,Int_Rate_Param,2,FALSE))&lt;1%+EIOPA_RFR!H32,1%+EIOPA_RFR!H32,EIOPA_RFR!H32*(1%+VLOOKUP($B27,Int_Rate_Param,2,FALSE))))</f>
        <v>2.2519999999999998E-2</v>
      </c>
      <c r="I27" s="94">
        <f>IF($B27&gt;20,IF(EIOPA_RFR!I32*(1%+VLOOKUP($B$27,Int_Rate_Param,2,FALSE))&lt;1%+EIOPA_RFR!I32,1%+EIOPA_RFR!I32,EIOPA_RFR!I32*(1%+VLOOKUP($B$27,Int_Rate_Param,2,FALSE))),IF(EIOPA_RFR!I32*(1%+VLOOKUP($B27,Int_Rate_Param,2,FALSE))&lt;1%+EIOPA_RFR!I32,1%+EIOPA_RFR!I32,EIOPA_RFR!I32*(1%+VLOOKUP($B27,Int_Rate_Param,2,FALSE))))</f>
        <v>2.6660000000000003E-2</v>
      </c>
      <c r="J27" s="94">
        <f>IF($B27&gt;20,IF(EIOPA_RFR!J32*(1%+VLOOKUP($B$27,Int_Rate_Param,2,FALSE))&lt;1%+EIOPA_RFR!J32,1%+EIOPA_RFR!J32,EIOPA_RFR!J32*(1%+VLOOKUP($B$27,Int_Rate_Param,2,FALSE))),IF(EIOPA_RFR!J32*(1%+VLOOKUP($B27,Int_Rate_Param,2,FALSE))&lt;1%+EIOPA_RFR!J32,1%+EIOPA_RFR!J32,EIOPA_RFR!J32*(1%+VLOOKUP($B27,Int_Rate_Param,2,FALSE))))</f>
        <v>2.2420000000000002E-2</v>
      </c>
      <c r="K27" s="94">
        <f>IF($B27&gt;20,IF(EIOPA_RFR!K32*(1%+VLOOKUP($B$27,Int_Rate_Param,2,FALSE))&lt;1%+EIOPA_RFR!K32,1%+EIOPA_RFR!K32,EIOPA_RFR!K32*(1%+VLOOKUP($B$27,Int_Rate_Param,2,FALSE))),IF(EIOPA_RFR!K32*(1%+VLOOKUP($B27,Int_Rate_Param,2,FALSE))&lt;1%+EIOPA_RFR!K32,1%+EIOPA_RFR!K32,EIOPA_RFR!K32*(1%+VLOOKUP($B27,Int_Rate_Param,2,FALSE))))</f>
        <v>2.2519999999999998E-2</v>
      </c>
      <c r="L27" s="94">
        <f>IF($B27&gt;20,IF(EIOPA_RFR!L32*(1%+VLOOKUP($B$27,Int_Rate_Param,2,FALSE))&lt;1%+EIOPA_RFR!L32,1%+EIOPA_RFR!L32,EIOPA_RFR!L32*(1%+VLOOKUP($B$27,Int_Rate_Param,2,FALSE))),IF(EIOPA_RFR!L32*(1%+VLOOKUP($B27,Int_Rate_Param,2,FALSE))&lt;1%+EIOPA_RFR!L32,1%+EIOPA_RFR!L32,EIOPA_RFR!L32*(1%+VLOOKUP($B27,Int_Rate_Param,2,FALSE))))</f>
        <v>2.2519999999999998E-2</v>
      </c>
      <c r="M27" s="94">
        <f>IF($B27&gt;20,IF(EIOPA_RFR!M32*(1%+VLOOKUP($B$27,Int_Rate_Param,2,FALSE))&lt;1%+EIOPA_RFR!M32,1%+EIOPA_RFR!M32,EIOPA_RFR!M32*(1%+VLOOKUP($B$27,Int_Rate_Param,2,FALSE))),IF(EIOPA_RFR!M32*(1%+VLOOKUP($B27,Int_Rate_Param,2,FALSE))&lt;1%+EIOPA_RFR!M32,1%+EIOPA_RFR!M32,EIOPA_RFR!M32*(1%+VLOOKUP($B27,Int_Rate_Param,2,FALSE))))</f>
        <v>2.2519999999999998E-2</v>
      </c>
      <c r="N27" s="94">
        <f>IF($B27&gt;20,IF(EIOPA_RFR!N32*(1%+VLOOKUP($B$27,Int_Rate_Param,2,FALSE))&lt;1%+EIOPA_RFR!N32,1%+EIOPA_RFR!N32,EIOPA_RFR!N32*(1%+VLOOKUP($B$27,Int_Rate_Param,2,FALSE))),IF(EIOPA_RFR!N32*(1%+VLOOKUP($B27,Int_Rate_Param,2,FALSE))&lt;1%+EIOPA_RFR!N32,1%+EIOPA_RFR!N32,EIOPA_RFR!N32*(1%+VLOOKUP($B27,Int_Rate_Param,2,FALSE))))</f>
        <v>2.2519999999999998E-2</v>
      </c>
      <c r="O27" s="94">
        <f>IF($B27&gt;20,IF(EIOPA_RFR!O32*(1%+VLOOKUP($B$27,Int_Rate_Param,2,FALSE))&lt;1%+EIOPA_RFR!O32,1%+EIOPA_RFR!O32,EIOPA_RFR!O32*(1%+VLOOKUP($B$27,Int_Rate_Param,2,FALSE))),IF(EIOPA_RFR!O32*(1%+VLOOKUP($B27,Int_Rate_Param,2,FALSE))&lt;1%+EIOPA_RFR!O32,1%+EIOPA_RFR!O32,EIOPA_RFR!O32*(1%+VLOOKUP($B27,Int_Rate_Param,2,FALSE))))</f>
        <v>2.2519999999999998E-2</v>
      </c>
      <c r="P27" s="94">
        <f>IF($B27&gt;20,IF(EIOPA_RFR!P32*(1%+VLOOKUP($B$27,Int_Rate_Param,2,FALSE))&lt;1%+EIOPA_RFR!P32,1%+EIOPA_RFR!P32,EIOPA_RFR!P32*(1%+VLOOKUP($B$27,Int_Rate_Param,2,FALSE))),IF(EIOPA_RFR!P32*(1%+VLOOKUP($B27,Int_Rate_Param,2,FALSE))&lt;1%+EIOPA_RFR!P32,1%+EIOPA_RFR!P32,EIOPA_RFR!P32*(1%+VLOOKUP($B27,Int_Rate_Param,2,FALSE))))</f>
        <v>5.1790000000000003E-2</v>
      </c>
      <c r="Q27" s="94">
        <f>IF($B27&gt;20,IF(EIOPA_RFR!Q32*(1%+VLOOKUP($B$27,Int_Rate_Param,2,FALSE))&lt;1%+EIOPA_RFR!Q32,1%+EIOPA_RFR!Q32,EIOPA_RFR!Q32*(1%+VLOOKUP($B$27,Int_Rate_Param,2,FALSE))),IF(EIOPA_RFR!Q32*(1%+VLOOKUP($B27,Int_Rate_Param,2,FALSE))&lt;1%+EIOPA_RFR!Q32,1%+EIOPA_RFR!Q32,EIOPA_RFR!Q32*(1%+VLOOKUP($B27,Int_Rate_Param,2,FALSE))))</f>
        <v>5.6410000000000002E-2</v>
      </c>
      <c r="R27" s="94">
        <f>IF($B27&gt;20,IF(EIOPA_RFR!R32*(1%+VLOOKUP($B$27,Int_Rate_Param,2,FALSE))&lt;1%+EIOPA_RFR!R32,1%+EIOPA_RFR!R32,EIOPA_RFR!R32*(1%+VLOOKUP($B$27,Int_Rate_Param,2,FALSE))),IF(EIOPA_RFR!R32*(1%+VLOOKUP($B27,Int_Rate_Param,2,FALSE))&lt;1%+EIOPA_RFR!R32,1%+EIOPA_RFR!R32,EIOPA_RFR!R32*(1%+VLOOKUP($B27,Int_Rate_Param,2,FALSE))))</f>
        <v>2.2519999999999998E-2</v>
      </c>
      <c r="S27" s="94">
        <f>IF($B27&gt;20,IF(EIOPA_RFR!S32*(1%+VLOOKUP($B$27,Int_Rate_Param,2,FALSE))&lt;1%+EIOPA_RFR!S32,1%+EIOPA_RFR!S32,EIOPA_RFR!S32*(1%+VLOOKUP($B$27,Int_Rate_Param,2,FALSE))),IF(EIOPA_RFR!S32*(1%+VLOOKUP($B27,Int_Rate_Param,2,FALSE))&lt;1%+EIOPA_RFR!S32,1%+EIOPA_RFR!S32,EIOPA_RFR!S32*(1%+VLOOKUP($B27,Int_Rate_Param,2,FALSE))))</f>
        <v>2.2519999999999998E-2</v>
      </c>
      <c r="T27" s="94">
        <f>IF($B27&gt;20,IF(EIOPA_RFR!T32*(1%+VLOOKUP($B$27,Int_Rate_Param,2,FALSE))&lt;1%+EIOPA_RFR!T32,1%+EIOPA_RFR!T32,EIOPA_RFR!T32*(1%+VLOOKUP($B$27,Int_Rate_Param,2,FALSE))),IF(EIOPA_RFR!T32*(1%+VLOOKUP($B27,Int_Rate_Param,2,FALSE))&lt;1%+EIOPA_RFR!T32,1%+EIOPA_RFR!T32,EIOPA_RFR!T32*(1%+VLOOKUP($B27,Int_Rate_Param,2,FALSE))))</f>
        <v>2.2519999999999998E-2</v>
      </c>
      <c r="U27" s="94">
        <f>IF($B27&gt;20,IF(EIOPA_RFR!U32*(1%+VLOOKUP($B$27,Int_Rate_Param,2,FALSE))&lt;1%+EIOPA_RFR!U32,1%+EIOPA_RFR!U32,EIOPA_RFR!U32*(1%+VLOOKUP($B$27,Int_Rate_Param,2,FALSE))),IF(EIOPA_RFR!U32*(1%+VLOOKUP($B27,Int_Rate_Param,2,FALSE))&lt;1%+EIOPA_RFR!U32,1%+EIOPA_RFR!U32,EIOPA_RFR!U32*(1%+VLOOKUP($B27,Int_Rate_Param,2,FALSE))))</f>
        <v>1.421E-2</v>
      </c>
      <c r="V27" s="94">
        <f>IF($B27&gt;20,IF(EIOPA_RFR!V32*(1%+VLOOKUP($B$27,Int_Rate_Param,2,FALSE))&lt;1%+EIOPA_RFR!V32,1%+EIOPA_RFR!V32,EIOPA_RFR!V32*(1%+VLOOKUP($B$27,Int_Rate_Param,2,FALSE))),IF(EIOPA_RFR!V32*(1%+VLOOKUP($B27,Int_Rate_Param,2,FALSE))&lt;1%+EIOPA_RFR!V32,1%+EIOPA_RFR!V32,EIOPA_RFR!V32*(1%+VLOOKUP($B27,Int_Rate_Param,2,FALSE))))</f>
        <v>2.2519999999999998E-2</v>
      </c>
      <c r="W27" s="94">
        <f>IF($B27&gt;20,IF(EIOPA_RFR!W32*(1%+VLOOKUP($B$27,Int_Rate_Param,2,FALSE))&lt;1%+EIOPA_RFR!W32,1%+EIOPA_RFR!W32,EIOPA_RFR!W32*(1%+VLOOKUP($B$27,Int_Rate_Param,2,FALSE))),IF(EIOPA_RFR!W32*(1%+VLOOKUP($B27,Int_Rate_Param,2,FALSE))&lt;1%+EIOPA_RFR!W32,1%+EIOPA_RFR!W32,EIOPA_RFR!W32*(1%+VLOOKUP($B27,Int_Rate_Param,2,FALSE))))</f>
        <v>2.2519999999999998E-2</v>
      </c>
      <c r="X27" s="94">
        <f>IF($B27&gt;20,IF(EIOPA_RFR!X32*(1%+VLOOKUP($B$27,Int_Rate_Param,2,FALSE))&lt;1%+EIOPA_RFR!X32,1%+EIOPA_RFR!X32,EIOPA_RFR!X32*(1%+VLOOKUP($B$27,Int_Rate_Param,2,FALSE))),IF(EIOPA_RFR!X32*(1%+VLOOKUP($B27,Int_Rate_Param,2,FALSE))&lt;1%+EIOPA_RFR!X32,1%+EIOPA_RFR!X32,EIOPA_RFR!X32*(1%+VLOOKUP($B27,Int_Rate_Param,2,FALSE))))</f>
        <v>2.2519999999999998E-2</v>
      </c>
      <c r="Y27" s="94">
        <f>IF($B27&gt;20,IF(EIOPA_RFR!Y32*(1%+VLOOKUP($B$27,Int_Rate_Param,2,FALSE))&lt;1%+EIOPA_RFR!Y32,1%+EIOPA_RFR!Y32,EIOPA_RFR!Y32*(1%+VLOOKUP($B$27,Int_Rate_Param,2,FALSE))),IF(EIOPA_RFR!Y32*(1%+VLOOKUP($B27,Int_Rate_Param,2,FALSE))&lt;1%+EIOPA_RFR!Y32,1%+EIOPA_RFR!Y32,EIOPA_RFR!Y32*(1%+VLOOKUP($B27,Int_Rate_Param,2,FALSE))))</f>
        <v>2.2519999999999998E-2</v>
      </c>
      <c r="Z27" s="94">
        <f>IF($B27&gt;20,IF(EIOPA_RFR!Z32*(1%+VLOOKUP($B$27,Int_Rate_Param,2,FALSE))&lt;1%+EIOPA_RFR!Z32,1%+EIOPA_RFR!Z32,EIOPA_RFR!Z32*(1%+VLOOKUP($B$27,Int_Rate_Param,2,FALSE))),IF(EIOPA_RFR!Z32*(1%+VLOOKUP($B27,Int_Rate_Param,2,FALSE))&lt;1%+EIOPA_RFR!Z32,1%+EIOPA_RFR!Z32,EIOPA_RFR!Z32*(1%+VLOOKUP($B27,Int_Rate_Param,2,FALSE))))</f>
        <v>3.5029999999999999E-2</v>
      </c>
      <c r="AA27" s="94">
        <f>IF($B27&gt;20,IF(EIOPA_RFR!AA32*(1%+VLOOKUP($B$27,Int_Rate_Param,2,FALSE))&lt;1%+EIOPA_RFR!AA32,1%+EIOPA_RFR!AA32,EIOPA_RFR!AA32*(1%+VLOOKUP($B$27,Int_Rate_Param,2,FALSE))),IF(EIOPA_RFR!AA32*(1%+VLOOKUP($B27,Int_Rate_Param,2,FALSE))&lt;1%+EIOPA_RFR!AA32,1%+EIOPA_RFR!AA32,EIOPA_RFR!AA32*(1%+VLOOKUP($B27,Int_Rate_Param,2,FALSE))))</f>
        <v>4.8750000000000002E-2</v>
      </c>
      <c r="AB27" s="94">
        <f>IF($B27&gt;20,IF(EIOPA_RFR!AB32*(1%+VLOOKUP($B$27,Int_Rate_Param,2,FALSE))&lt;1%+EIOPA_RFR!AB32,1%+EIOPA_RFR!AB32,EIOPA_RFR!AB32*(1%+VLOOKUP($B$27,Int_Rate_Param,2,FALSE))),IF(EIOPA_RFR!AB32*(1%+VLOOKUP($B27,Int_Rate_Param,2,FALSE))&lt;1%+EIOPA_RFR!AB32,1%+EIOPA_RFR!AB32,EIOPA_RFR!AB32*(1%+VLOOKUP($B27,Int_Rate_Param,2,FALSE))))</f>
        <v>2.2519999999999998E-2</v>
      </c>
      <c r="AC27" s="94">
        <f>IF($B27&gt;20,IF(EIOPA_RFR!AC32*(1%+VLOOKUP($B$27,Int_Rate_Param,2,FALSE))&lt;1%+EIOPA_RFR!AC32,1%+EIOPA_RFR!AC32,EIOPA_RFR!AC32*(1%+VLOOKUP($B$27,Int_Rate_Param,2,FALSE))),IF(EIOPA_RFR!AC32*(1%+VLOOKUP($B27,Int_Rate_Param,2,FALSE))&lt;1%+EIOPA_RFR!AC32,1%+EIOPA_RFR!AC32,EIOPA_RFR!AC32*(1%+VLOOKUP($B27,Int_Rate_Param,2,FALSE))))</f>
        <v>5.3580000000000003E-2</v>
      </c>
      <c r="AD27" s="94">
        <f>IF($B27&gt;20,IF(EIOPA_RFR!AD32*(1%+VLOOKUP($B$27,Int_Rate_Param,2,FALSE))&lt;1%+EIOPA_RFR!AD32,1%+EIOPA_RFR!AD32,EIOPA_RFR!AD32*(1%+VLOOKUP($B$27,Int_Rate_Param,2,FALSE))),IF(EIOPA_RFR!AD32*(1%+VLOOKUP($B27,Int_Rate_Param,2,FALSE))&lt;1%+EIOPA_RFR!AD32,1%+EIOPA_RFR!AD32,EIOPA_RFR!AD32*(1%+VLOOKUP($B27,Int_Rate_Param,2,FALSE))))</f>
        <v>7.7519999999999992E-2</v>
      </c>
      <c r="AE27" s="94">
        <f>IF($B27&gt;20,IF(EIOPA_RFR!AE32*(1%+VLOOKUP($B$27,Int_Rate_Param,2,FALSE))&lt;1%+EIOPA_RFR!AE32,1%+EIOPA_RFR!AE32,EIOPA_RFR!AE32*(1%+VLOOKUP($B$27,Int_Rate_Param,2,FALSE))),IF(EIOPA_RFR!AE32*(1%+VLOOKUP($B27,Int_Rate_Param,2,FALSE))&lt;1%+EIOPA_RFR!AE32,1%+EIOPA_RFR!AE32,EIOPA_RFR!AE32*(1%+VLOOKUP($B27,Int_Rate_Param,2,FALSE))))</f>
        <v>2.2519999999999998E-2</v>
      </c>
      <c r="AF27" s="94">
        <f>IF($B27&gt;20,IF(EIOPA_RFR!AF32*(1%+VLOOKUP($B$27,Int_Rate_Param,2,FALSE))&lt;1%+EIOPA_RFR!AF32,1%+EIOPA_RFR!AF32,EIOPA_RFR!AF32*(1%+VLOOKUP($B$27,Int_Rate_Param,2,FALSE))),IF(EIOPA_RFR!AF32*(1%+VLOOKUP($B27,Int_Rate_Param,2,FALSE))&lt;1%+EIOPA_RFR!AF32,1%+EIOPA_RFR!AF32,EIOPA_RFR!AF32*(1%+VLOOKUP($B27,Int_Rate_Param,2,FALSE))))</f>
        <v>2.2519999999999998E-2</v>
      </c>
      <c r="AG27" s="94">
        <f>IF($B27&gt;20,IF(EIOPA_RFR!AG32*(1%+VLOOKUP($B$27,Int_Rate_Param,2,FALSE))&lt;1%+EIOPA_RFR!AG32,1%+EIOPA_RFR!AG32,EIOPA_RFR!AG32*(1%+VLOOKUP($B$27,Int_Rate_Param,2,FALSE))),IF(EIOPA_RFR!AG32*(1%+VLOOKUP($B27,Int_Rate_Param,2,FALSE))&lt;1%+EIOPA_RFR!AG32,1%+EIOPA_RFR!AG32,EIOPA_RFR!AG32*(1%+VLOOKUP($B27,Int_Rate_Param,2,FALSE))))</f>
        <v>2.2519999999999998E-2</v>
      </c>
      <c r="AH27" s="94">
        <f>IF($B27&gt;20,IF(EIOPA_RFR!AH32*(1%+VLOOKUP($B$27,Int_Rate_Param,2,FALSE))&lt;1%+EIOPA_RFR!AH32,1%+EIOPA_RFR!AH32,EIOPA_RFR!AH32*(1%+VLOOKUP($B$27,Int_Rate_Param,2,FALSE))),IF(EIOPA_RFR!AH32*(1%+VLOOKUP($B27,Int_Rate_Param,2,FALSE))&lt;1%+EIOPA_RFR!AH32,1%+EIOPA_RFR!AH32,EIOPA_RFR!AH32*(1%+VLOOKUP($B27,Int_Rate_Param,2,FALSE))))</f>
        <v>3.4329999999999999E-2</v>
      </c>
      <c r="AI27" s="94">
        <f>IF($B27&gt;20,IF(EIOPA_RFR!AI32*(1%+VLOOKUP($B$27,Int_Rate_Param,2,FALSE))&lt;1%+EIOPA_RFR!AI32,1%+EIOPA_RFR!AI32,EIOPA_RFR!AI32*(1%+VLOOKUP($B$27,Int_Rate_Param,2,FALSE))),IF(EIOPA_RFR!AI32*(1%+VLOOKUP($B27,Int_Rate_Param,2,FALSE))&lt;1%+EIOPA_RFR!AI32,1%+EIOPA_RFR!AI32,EIOPA_RFR!AI32*(1%+VLOOKUP($B27,Int_Rate_Param,2,FALSE))))</f>
        <v>1.421E-2</v>
      </c>
      <c r="AJ27" s="94">
        <f>IF($B27&gt;20,IF(EIOPA_RFR!AJ32*(1%+VLOOKUP($B$27,Int_Rate_Param,2,FALSE))&lt;1%+EIOPA_RFR!AJ32,1%+EIOPA_RFR!AJ32,EIOPA_RFR!AJ32*(1%+VLOOKUP($B$27,Int_Rate_Param,2,FALSE))),IF(EIOPA_RFR!AJ32*(1%+VLOOKUP($B27,Int_Rate_Param,2,FALSE))&lt;1%+EIOPA_RFR!AJ32,1%+EIOPA_RFR!AJ32,EIOPA_RFR!AJ32*(1%+VLOOKUP($B27,Int_Rate_Param,2,FALSE))))</f>
        <v>2.299E-2</v>
      </c>
      <c r="AK27" s="94">
        <f>IF($B27&gt;20,IF(EIOPA_RFR!AK32*(1%+VLOOKUP($B$27,Int_Rate_Param,2,FALSE))&lt;1%+EIOPA_RFR!AK32,1%+EIOPA_RFR!AK32,EIOPA_RFR!AK32*(1%+VLOOKUP($B$27,Int_Rate_Param,2,FALSE))),IF(EIOPA_RFR!AK32*(1%+VLOOKUP($B27,Int_Rate_Param,2,FALSE))&lt;1%+EIOPA_RFR!AK32,1%+EIOPA_RFR!AK32,EIOPA_RFR!AK32*(1%+VLOOKUP($B27,Int_Rate_Param,2,FALSE))))</f>
        <v>4.2430000000000002E-2</v>
      </c>
      <c r="AL27" s="94">
        <f>IF($B27&gt;20,IF(EIOPA_RFR!AL32*(1%+VLOOKUP($B$27,Int_Rate_Param,2,FALSE))&lt;1%+EIOPA_RFR!AL32,1%+EIOPA_RFR!AL32,EIOPA_RFR!AL32*(1%+VLOOKUP($B$27,Int_Rate_Param,2,FALSE))),IF(EIOPA_RFR!AL32*(1%+VLOOKUP($B27,Int_Rate_Param,2,FALSE))&lt;1%+EIOPA_RFR!AL32,1%+EIOPA_RFR!AL32,EIOPA_RFR!AL32*(1%+VLOOKUP($B27,Int_Rate_Param,2,FALSE))))</f>
        <v>9.6019999999999994E-2</v>
      </c>
      <c r="AM27" s="94">
        <f>IF($B27&gt;20,IF(EIOPA_RFR!AM32*(1%+VLOOKUP($B$27,Int_Rate_Param,2,FALSE))&lt;1%+EIOPA_RFR!AM32,1%+EIOPA_RFR!AM32,EIOPA_RFR!AM32*(1%+VLOOKUP($B$27,Int_Rate_Param,2,FALSE))),IF(EIOPA_RFR!AM32*(1%+VLOOKUP($B27,Int_Rate_Param,2,FALSE))&lt;1%+EIOPA_RFR!AM32,1%+EIOPA_RFR!AM32,EIOPA_RFR!AM32*(1%+VLOOKUP($B27,Int_Rate_Param,2,FALSE))))</f>
        <v>3.2710000000000003E-2</v>
      </c>
      <c r="AN27" s="94">
        <f>IF($B27&gt;20,IF(EIOPA_RFR!AN32*(1%+VLOOKUP($B$27,Int_Rate_Param,2,FALSE))&lt;1%+EIOPA_RFR!AN32,1%+EIOPA_RFR!AN32,EIOPA_RFR!AN32*(1%+VLOOKUP($B$27,Int_Rate_Param,2,FALSE))),IF(EIOPA_RFR!AN32*(1%+VLOOKUP($B27,Int_Rate_Param,2,FALSE))&lt;1%+EIOPA_RFR!AN32,1%+EIOPA_RFR!AN32,EIOPA_RFR!AN32*(1%+VLOOKUP($B27,Int_Rate_Param,2,FALSE))))</f>
        <v>5.2139999999999999E-2</v>
      </c>
      <c r="AO27" s="94">
        <f>IF($B27&gt;20,IF(EIOPA_RFR!AO32*(1%+VLOOKUP($B$27,Int_Rate_Param,2,FALSE))&lt;1%+EIOPA_RFR!AO32,1%+EIOPA_RFR!AO32,EIOPA_RFR!AO32*(1%+VLOOKUP($B$27,Int_Rate_Param,2,FALSE))),IF(EIOPA_RFR!AO32*(1%+VLOOKUP($B27,Int_Rate_Param,2,FALSE))&lt;1%+EIOPA_RFR!AO32,1%+EIOPA_RFR!AO32,EIOPA_RFR!AO32*(1%+VLOOKUP($B27,Int_Rate_Param,2,FALSE))))</f>
        <v>5.4269999999999999E-2</v>
      </c>
      <c r="AP27" s="94">
        <f>IF($B27&gt;20,IF(EIOPA_RFR!AP32*(1%+VLOOKUP($B$27,Int_Rate_Param,2,FALSE))&lt;1%+EIOPA_RFR!AP32,1%+EIOPA_RFR!AP32,EIOPA_RFR!AP32*(1%+VLOOKUP($B$27,Int_Rate_Param,2,FALSE))),IF(EIOPA_RFR!AP32*(1%+VLOOKUP($B27,Int_Rate_Param,2,FALSE))&lt;1%+EIOPA_RFR!AP32,1%+EIOPA_RFR!AP32,EIOPA_RFR!AP32*(1%+VLOOKUP($B27,Int_Rate_Param,2,FALSE))))</f>
        <v>7.0650000000000004E-2</v>
      </c>
      <c r="AQ27" s="94">
        <f>IF($B27&gt;20,IF(EIOPA_RFR!AQ32*(1%+VLOOKUP($B$27,Int_Rate_Param,2,FALSE))&lt;1%+EIOPA_RFR!AQ32,1%+EIOPA_RFR!AQ32,EIOPA_RFR!AQ32*(1%+VLOOKUP($B$27,Int_Rate_Param,2,FALSE))),IF(EIOPA_RFR!AQ32*(1%+VLOOKUP($B27,Int_Rate_Param,2,FALSE))&lt;1%+EIOPA_RFR!AQ32,1%+EIOPA_RFR!AQ32,EIOPA_RFR!AQ32*(1%+VLOOKUP($B27,Int_Rate_Param,2,FALSE))))</f>
        <v>3.6270000000000004E-2</v>
      </c>
      <c r="AR27" s="94">
        <f>IF($B27&gt;20,IF(EIOPA_RFR!AR32*(1%+VLOOKUP($B$27,Int_Rate_Param,2,FALSE))&lt;1%+EIOPA_RFR!AR32,1%+EIOPA_RFR!AR32,EIOPA_RFR!AR32*(1%+VLOOKUP($B$27,Int_Rate_Param,2,FALSE))),IF(EIOPA_RFR!AR32*(1%+VLOOKUP($B27,Int_Rate_Param,2,FALSE))&lt;1%+EIOPA_RFR!AR32,1%+EIOPA_RFR!AR32,EIOPA_RFR!AR32*(1%+VLOOKUP($B27,Int_Rate_Param,2,FALSE))))</f>
        <v>7.7119999999999994E-2</v>
      </c>
      <c r="AS27" s="94">
        <f>IF($B27&gt;20,IF(EIOPA_RFR!AS32*(1%+VLOOKUP($B$27,Int_Rate_Param,2,FALSE))&lt;1%+EIOPA_RFR!AS32,1%+EIOPA_RFR!AS32,EIOPA_RFR!AS32*(1%+VLOOKUP($B$27,Int_Rate_Param,2,FALSE))),IF(EIOPA_RFR!AS32*(1%+VLOOKUP($B27,Int_Rate_Param,2,FALSE))&lt;1%+EIOPA_RFR!AS32,1%+EIOPA_RFR!AS32,EIOPA_RFR!AS32*(1%+VLOOKUP($B27,Int_Rate_Param,2,FALSE))))</f>
        <v>1.5969999999999998E-2</v>
      </c>
      <c r="AT27" s="94">
        <f>IF($B27&gt;20,IF(EIOPA_RFR!AT32*(1%+VLOOKUP($B$27,Int_Rate_Param,2,FALSE))&lt;1%+EIOPA_RFR!AT32,1%+EIOPA_RFR!AT32,EIOPA_RFR!AT32*(1%+VLOOKUP($B$27,Int_Rate_Param,2,FALSE))),IF(EIOPA_RFR!AT32*(1%+VLOOKUP($B27,Int_Rate_Param,2,FALSE))&lt;1%+EIOPA_RFR!AT32,1%+EIOPA_RFR!AT32,EIOPA_RFR!AT32*(1%+VLOOKUP($B27,Int_Rate_Param,2,FALSE))))</f>
        <v>5.3450000000000004E-2</v>
      </c>
      <c r="AU27" s="94">
        <f>IF($B27&gt;20,IF(EIOPA_RFR!AU32*(1%+VLOOKUP($B$27,Int_Rate_Param,2,FALSE))&lt;1%+EIOPA_RFR!AU32,1%+EIOPA_RFR!AU32,EIOPA_RFR!AU32*(1%+VLOOKUP($B$27,Int_Rate_Param,2,FALSE))),IF(EIOPA_RFR!AU32*(1%+VLOOKUP($B27,Int_Rate_Param,2,FALSE))&lt;1%+EIOPA_RFR!AU32,1%+EIOPA_RFR!AU32,EIOPA_RFR!AU32*(1%+VLOOKUP($B27,Int_Rate_Param,2,FALSE))))</f>
        <v>8.9380000000000001E-2</v>
      </c>
      <c r="AV27" s="94">
        <f>IF($B27&gt;20,IF(EIOPA_RFR!AV32*(1%+VLOOKUP($B$27,Int_Rate_Param,2,FALSE))&lt;1%+EIOPA_RFR!AV32,1%+EIOPA_RFR!AV32,EIOPA_RFR!AV32*(1%+VLOOKUP($B$27,Int_Rate_Param,2,FALSE))),IF(EIOPA_RFR!AV32*(1%+VLOOKUP($B27,Int_Rate_Param,2,FALSE))&lt;1%+EIOPA_RFR!AV32,1%+EIOPA_RFR!AV32,EIOPA_RFR!AV32*(1%+VLOOKUP($B27,Int_Rate_Param,2,FALSE))))</f>
        <v>4.9579999999999999E-2</v>
      </c>
      <c r="AW27" s="94">
        <f>IF($B27&gt;20,IF(EIOPA_RFR!AW32*(1%+VLOOKUP($B$27,Int_Rate_Param,2,FALSE))&lt;1%+EIOPA_RFR!AW32,1%+EIOPA_RFR!AW32,EIOPA_RFR!AW32*(1%+VLOOKUP($B$27,Int_Rate_Param,2,FALSE))),IF(EIOPA_RFR!AW32*(1%+VLOOKUP($B27,Int_Rate_Param,2,FALSE))&lt;1%+EIOPA_RFR!AW32,1%+EIOPA_RFR!AW32,EIOPA_RFR!AW32*(1%+VLOOKUP($B27,Int_Rate_Param,2,FALSE))))</f>
        <v>3.6839999999999998E-2</v>
      </c>
      <c r="AX27" s="94">
        <f>IF($B27&gt;20,IF(EIOPA_RFR!AX32*(1%+VLOOKUP($B$27,Int_Rate_Param,2,FALSE))&lt;1%+EIOPA_RFR!AX32,1%+EIOPA_RFR!AX32,EIOPA_RFR!AX32*(1%+VLOOKUP($B$27,Int_Rate_Param,2,FALSE))),IF(EIOPA_RFR!AX32*(1%+VLOOKUP($B27,Int_Rate_Param,2,FALSE))&lt;1%+EIOPA_RFR!AX32,1%+EIOPA_RFR!AX32,EIOPA_RFR!AX32*(1%+VLOOKUP($B27,Int_Rate_Param,2,FALSE))))</f>
        <v>9.2239999999999989E-2</v>
      </c>
      <c r="AY27" s="94">
        <f>IF($B27&gt;20,IF(EIOPA_RFR!AY32*(1%+VLOOKUP($B$27,Int_Rate_Param,2,FALSE))&lt;1%+EIOPA_RFR!AY32,1%+EIOPA_RFR!AY32,EIOPA_RFR!AY32*(1%+VLOOKUP($B$27,Int_Rate_Param,2,FALSE))),IF(EIOPA_RFR!AY32*(1%+VLOOKUP($B27,Int_Rate_Param,2,FALSE))&lt;1%+EIOPA_RFR!AY32,1%+EIOPA_RFR!AY32,EIOPA_RFR!AY32*(1%+VLOOKUP($B27,Int_Rate_Param,2,FALSE))))</f>
        <v>2.8369999999999999E-2</v>
      </c>
      <c r="AZ27" s="94">
        <f>IF($B27&gt;20,IF(EIOPA_RFR!AZ32*(1%+VLOOKUP($B$27,Int_Rate_Param,2,FALSE))&lt;1%+EIOPA_RFR!AZ32,1%+EIOPA_RFR!AZ32,EIOPA_RFR!AZ32*(1%+VLOOKUP($B$27,Int_Rate_Param,2,FALSE))),IF(EIOPA_RFR!AZ32*(1%+VLOOKUP($B27,Int_Rate_Param,2,FALSE))&lt;1%+EIOPA_RFR!AZ32,1%+EIOPA_RFR!AZ32,EIOPA_RFR!AZ32*(1%+VLOOKUP($B27,Int_Rate_Param,2,FALSE))))</f>
        <v>2.9339999999999998E-2</v>
      </c>
      <c r="BA27" s="94">
        <f>IF($B27&gt;20,IF(EIOPA_RFR!BA32*(1%+VLOOKUP($B$27,Int_Rate_Param,2,FALSE))&lt;1%+EIOPA_RFR!BA32,1%+EIOPA_RFR!BA32,EIOPA_RFR!BA32*(1%+VLOOKUP($B$27,Int_Rate_Param,2,FALSE))),IF(EIOPA_RFR!BA32*(1%+VLOOKUP($B27,Int_Rate_Param,2,FALSE))&lt;1%+EIOPA_RFR!BA32,1%+EIOPA_RFR!BA32,EIOPA_RFR!BA32*(1%+VLOOKUP($B27,Int_Rate_Param,2,FALSE))))</f>
        <v>3.9980000000000002E-2</v>
      </c>
      <c r="BB27" s="94">
        <f>IF($B27&gt;20,IF(EIOPA_RFR!BB32*(1%+VLOOKUP($B$27,Int_Rate_Param,2,FALSE))&lt;1%+EIOPA_RFR!BB32,1%+EIOPA_RFR!BB32,EIOPA_RFR!BB32*(1%+VLOOKUP($B$27,Int_Rate_Param,2,FALSE))),IF(EIOPA_RFR!BB32*(1%+VLOOKUP($B27,Int_Rate_Param,2,FALSE))&lt;1%+EIOPA_RFR!BB32,1%+EIOPA_RFR!BB32,EIOPA_RFR!BB32*(1%+VLOOKUP($B27,Int_Rate_Param,2,FALSE))))</f>
        <v>0.10077999999999999</v>
      </c>
      <c r="BC27" s="94">
        <f>IF($B27&gt;20,IF(EIOPA_RFR!BC32*(1%+VLOOKUP($B$27,Int_Rate_Param,2,FALSE))&lt;1%+EIOPA_RFR!BC32,1%+EIOPA_RFR!BC32,EIOPA_RFR!BC32*(1%+VLOOKUP($B$27,Int_Rate_Param,2,FALSE))),IF(EIOPA_RFR!BC32*(1%+VLOOKUP($B27,Int_Rate_Param,2,FALSE))&lt;1%+EIOPA_RFR!BC32,1%+EIOPA_RFR!BC32,EIOPA_RFR!BC32*(1%+VLOOKUP($B27,Int_Rate_Param,2,FALSE))))</f>
        <v>3.5189999999999999E-2</v>
      </c>
    </row>
    <row r="28" spans="1:55" x14ac:dyDescent="0.25">
      <c r="A28">
        <f t="shared" si="0"/>
        <v>23</v>
      </c>
      <c r="B28" s="95">
        <v>21</v>
      </c>
      <c r="C28" s="94">
        <f>IF($B28&gt;20,IF(EIOPA_RFR!C33*(1%+VLOOKUP($B$27,Int_Rate_Param,2,FALSE))&lt;1%+EIOPA_RFR!C33,1%+EIOPA_RFR!C33,EIOPA_RFR!C33*(1%+VLOOKUP($B$27,Int_Rate_Param,2,FALSE))),IF(EIOPA_RFR!C33*(1%+VLOOKUP($B28,Int_Rate_Param,2,FALSE))&lt;1%+EIOPA_RFR!C33,1%+EIOPA_RFR!C33,EIOPA_RFR!C33*(1%+VLOOKUP($B28,Int_Rate_Param,2,FALSE))))</f>
        <v>2.3030000000000002E-2</v>
      </c>
      <c r="D28" s="94">
        <f>IF($B28&gt;20,IF(EIOPA_RFR!D33*(1%+VLOOKUP($B$27,Int_Rate_Param,2,FALSE))&lt;1%+EIOPA_RFR!D33,1%+EIOPA_RFR!D33,EIOPA_RFR!D33*(1%+VLOOKUP($B$27,Int_Rate_Param,2,FALSE))),IF(EIOPA_RFR!D33*(1%+VLOOKUP($B28,Int_Rate_Param,2,FALSE))&lt;1%+EIOPA_RFR!D33,1%+EIOPA_RFR!D33,EIOPA_RFR!D33*(1%+VLOOKUP($B28,Int_Rate_Param,2,FALSE))))</f>
        <v>2.3030000000000002E-2</v>
      </c>
      <c r="E28" s="94">
        <f>IF($B28&gt;20,IF(EIOPA_RFR!E33*(1%+VLOOKUP($B$27,Int_Rate_Param,2,FALSE))&lt;1%+EIOPA_RFR!E33,1%+EIOPA_RFR!E33,EIOPA_RFR!E33*(1%+VLOOKUP($B$27,Int_Rate_Param,2,FALSE))),IF(EIOPA_RFR!E33*(1%+VLOOKUP($B28,Int_Rate_Param,2,FALSE))&lt;1%+EIOPA_RFR!E33,1%+EIOPA_RFR!E33,EIOPA_RFR!E33*(1%+VLOOKUP($B28,Int_Rate_Param,2,FALSE))))</f>
        <v>2.3030000000000002E-2</v>
      </c>
      <c r="F28" s="94">
        <f>IF($B28&gt;20,IF(EIOPA_RFR!F33*(1%+VLOOKUP($B$27,Int_Rate_Param,2,FALSE))&lt;1%+EIOPA_RFR!F33,1%+EIOPA_RFR!F33,EIOPA_RFR!F33*(1%+VLOOKUP($B$27,Int_Rate_Param,2,FALSE))),IF(EIOPA_RFR!F33*(1%+VLOOKUP($B28,Int_Rate_Param,2,FALSE))&lt;1%+EIOPA_RFR!F33,1%+EIOPA_RFR!F33,EIOPA_RFR!F33*(1%+VLOOKUP($B28,Int_Rate_Param,2,FALSE))))</f>
        <v>2.2510000000000002E-2</v>
      </c>
      <c r="G28" s="94">
        <f>IF($B28&gt;20,IF(EIOPA_RFR!G33*(1%+VLOOKUP($B$27,Int_Rate_Param,2,FALSE))&lt;1%+EIOPA_RFR!G33,1%+EIOPA_RFR!G33,EIOPA_RFR!G33*(1%+VLOOKUP($B$27,Int_Rate_Param,2,FALSE))),IF(EIOPA_RFR!G33*(1%+VLOOKUP($B28,Int_Rate_Param,2,FALSE))&lt;1%+EIOPA_RFR!G33,1%+EIOPA_RFR!G33,EIOPA_RFR!G33*(1%+VLOOKUP($B28,Int_Rate_Param,2,FALSE))))</f>
        <v>4.3900000000000002E-2</v>
      </c>
      <c r="H28" s="94">
        <f>IF($B28&gt;20,IF(EIOPA_RFR!H33*(1%+VLOOKUP($B$27,Int_Rate_Param,2,FALSE))&lt;1%+EIOPA_RFR!H33,1%+EIOPA_RFR!H33,EIOPA_RFR!H33*(1%+VLOOKUP($B$27,Int_Rate_Param,2,FALSE))),IF(EIOPA_RFR!H33*(1%+VLOOKUP($B28,Int_Rate_Param,2,FALSE))&lt;1%+EIOPA_RFR!H33,1%+EIOPA_RFR!H33,EIOPA_RFR!H33*(1%+VLOOKUP($B28,Int_Rate_Param,2,FALSE))))</f>
        <v>2.3030000000000002E-2</v>
      </c>
      <c r="I28" s="94">
        <f>IF($B28&gt;20,IF(EIOPA_RFR!I33*(1%+VLOOKUP($B$27,Int_Rate_Param,2,FALSE))&lt;1%+EIOPA_RFR!I33,1%+EIOPA_RFR!I33,EIOPA_RFR!I33*(1%+VLOOKUP($B$27,Int_Rate_Param,2,FALSE))),IF(EIOPA_RFR!I33*(1%+VLOOKUP($B28,Int_Rate_Param,2,FALSE))&lt;1%+EIOPA_RFR!I33,1%+EIOPA_RFR!I33,EIOPA_RFR!I33*(1%+VLOOKUP($B28,Int_Rate_Param,2,FALSE))))</f>
        <v>2.7389999999999998E-2</v>
      </c>
      <c r="J28" s="94">
        <f>IF($B28&gt;20,IF(EIOPA_RFR!J33*(1%+VLOOKUP($B$27,Int_Rate_Param,2,FALSE))&lt;1%+EIOPA_RFR!J33,1%+EIOPA_RFR!J33,EIOPA_RFR!J33*(1%+VLOOKUP($B$27,Int_Rate_Param,2,FALSE))),IF(EIOPA_RFR!J33*(1%+VLOOKUP($B28,Int_Rate_Param,2,FALSE))&lt;1%+EIOPA_RFR!J33,1%+EIOPA_RFR!J33,EIOPA_RFR!J33*(1%+VLOOKUP($B28,Int_Rate_Param,2,FALSE))))</f>
        <v>2.2919999999999999E-2</v>
      </c>
      <c r="K28" s="94">
        <f>IF($B28&gt;20,IF(EIOPA_RFR!K33*(1%+VLOOKUP($B$27,Int_Rate_Param,2,FALSE))&lt;1%+EIOPA_RFR!K33,1%+EIOPA_RFR!K33,EIOPA_RFR!K33*(1%+VLOOKUP($B$27,Int_Rate_Param,2,FALSE))),IF(EIOPA_RFR!K33*(1%+VLOOKUP($B28,Int_Rate_Param,2,FALSE))&lt;1%+EIOPA_RFR!K33,1%+EIOPA_RFR!K33,EIOPA_RFR!K33*(1%+VLOOKUP($B28,Int_Rate_Param,2,FALSE))))</f>
        <v>2.3030000000000002E-2</v>
      </c>
      <c r="L28" s="94">
        <f>IF($B28&gt;20,IF(EIOPA_RFR!L33*(1%+VLOOKUP($B$27,Int_Rate_Param,2,FALSE))&lt;1%+EIOPA_RFR!L33,1%+EIOPA_RFR!L33,EIOPA_RFR!L33*(1%+VLOOKUP($B$27,Int_Rate_Param,2,FALSE))),IF(EIOPA_RFR!L33*(1%+VLOOKUP($B28,Int_Rate_Param,2,FALSE))&lt;1%+EIOPA_RFR!L33,1%+EIOPA_RFR!L33,EIOPA_RFR!L33*(1%+VLOOKUP($B28,Int_Rate_Param,2,FALSE))))</f>
        <v>2.3030000000000002E-2</v>
      </c>
      <c r="M28" s="94">
        <f>IF($B28&gt;20,IF(EIOPA_RFR!M33*(1%+VLOOKUP($B$27,Int_Rate_Param,2,FALSE))&lt;1%+EIOPA_RFR!M33,1%+EIOPA_RFR!M33,EIOPA_RFR!M33*(1%+VLOOKUP($B$27,Int_Rate_Param,2,FALSE))),IF(EIOPA_RFR!M33*(1%+VLOOKUP($B28,Int_Rate_Param,2,FALSE))&lt;1%+EIOPA_RFR!M33,1%+EIOPA_RFR!M33,EIOPA_RFR!M33*(1%+VLOOKUP($B28,Int_Rate_Param,2,FALSE))))</f>
        <v>2.3030000000000002E-2</v>
      </c>
      <c r="N28" s="94">
        <f>IF($B28&gt;20,IF(EIOPA_RFR!N33*(1%+VLOOKUP($B$27,Int_Rate_Param,2,FALSE))&lt;1%+EIOPA_RFR!N33,1%+EIOPA_RFR!N33,EIOPA_RFR!N33*(1%+VLOOKUP($B$27,Int_Rate_Param,2,FALSE))),IF(EIOPA_RFR!N33*(1%+VLOOKUP($B28,Int_Rate_Param,2,FALSE))&lt;1%+EIOPA_RFR!N33,1%+EIOPA_RFR!N33,EIOPA_RFR!N33*(1%+VLOOKUP($B28,Int_Rate_Param,2,FALSE))))</f>
        <v>2.3030000000000002E-2</v>
      </c>
      <c r="O28" s="94">
        <f>IF($B28&gt;20,IF(EIOPA_RFR!O33*(1%+VLOOKUP($B$27,Int_Rate_Param,2,FALSE))&lt;1%+EIOPA_RFR!O33,1%+EIOPA_RFR!O33,EIOPA_RFR!O33*(1%+VLOOKUP($B$27,Int_Rate_Param,2,FALSE))),IF(EIOPA_RFR!O33*(1%+VLOOKUP($B28,Int_Rate_Param,2,FALSE))&lt;1%+EIOPA_RFR!O33,1%+EIOPA_RFR!O33,EIOPA_RFR!O33*(1%+VLOOKUP($B28,Int_Rate_Param,2,FALSE))))</f>
        <v>2.3030000000000002E-2</v>
      </c>
      <c r="P28" s="94">
        <f>IF($B28&gt;20,IF(EIOPA_RFR!P33*(1%+VLOOKUP($B$27,Int_Rate_Param,2,FALSE))&lt;1%+EIOPA_RFR!P33,1%+EIOPA_RFR!P33,EIOPA_RFR!P33*(1%+VLOOKUP($B$27,Int_Rate_Param,2,FALSE))),IF(EIOPA_RFR!P33*(1%+VLOOKUP($B28,Int_Rate_Param,2,FALSE))&lt;1%+EIOPA_RFR!P33,1%+EIOPA_RFR!P33,EIOPA_RFR!P33*(1%+VLOOKUP($B28,Int_Rate_Param,2,FALSE))))</f>
        <v>5.2130000000000003E-2</v>
      </c>
      <c r="Q28" s="94">
        <f>IF($B28&gt;20,IF(EIOPA_RFR!Q33*(1%+VLOOKUP($B$27,Int_Rate_Param,2,FALSE))&lt;1%+EIOPA_RFR!Q33,1%+EIOPA_RFR!Q33,EIOPA_RFR!Q33*(1%+VLOOKUP($B$27,Int_Rate_Param,2,FALSE))),IF(EIOPA_RFR!Q33*(1%+VLOOKUP($B28,Int_Rate_Param,2,FALSE))&lt;1%+EIOPA_RFR!Q33,1%+EIOPA_RFR!Q33,EIOPA_RFR!Q33*(1%+VLOOKUP($B28,Int_Rate_Param,2,FALSE))))</f>
        <v>5.6300000000000003E-2</v>
      </c>
      <c r="R28" s="94">
        <f>IF($B28&gt;20,IF(EIOPA_RFR!R33*(1%+VLOOKUP($B$27,Int_Rate_Param,2,FALSE))&lt;1%+EIOPA_RFR!R33,1%+EIOPA_RFR!R33,EIOPA_RFR!R33*(1%+VLOOKUP($B$27,Int_Rate_Param,2,FALSE))),IF(EIOPA_RFR!R33*(1%+VLOOKUP($B28,Int_Rate_Param,2,FALSE))&lt;1%+EIOPA_RFR!R33,1%+EIOPA_RFR!R33,EIOPA_RFR!R33*(1%+VLOOKUP($B28,Int_Rate_Param,2,FALSE))))</f>
        <v>2.3030000000000002E-2</v>
      </c>
      <c r="S28" s="94">
        <f>IF($B28&gt;20,IF(EIOPA_RFR!S33*(1%+VLOOKUP($B$27,Int_Rate_Param,2,FALSE))&lt;1%+EIOPA_RFR!S33,1%+EIOPA_RFR!S33,EIOPA_RFR!S33*(1%+VLOOKUP($B$27,Int_Rate_Param,2,FALSE))),IF(EIOPA_RFR!S33*(1%+VLOOKUP($B28,Int_Rate_Param,2,FALSE))&lt;1%+EIOPA_RFR!S33,1%+EIOPA_RFR!S33,EIOPA_RFR!S33*(1%+VLOOKUP($B28,Int_Rate_Param,2,FALSE))))</f>
        <v>2.3030000000000002E-2</v>
      </c>
      <c r="T28" s="94">
        <f>IF($B28&gt;20,IF(EIOPA_RFR!T33*(1%+VLOOKUP($B$27,Int_Rate_Param,2,FALSE))&lt;1%+EIOPA_RFR!T33,1%+EIOPA_RFR!T33,EIOPA_RFR!T33*(1%+VLOOKUP($B$27,Int_Rate_Param,2,FALSE))),IF(EIOPA_RFR!T33*(1%+VLOOKUP($B28,Int_Rate_Param,2,FALSE))&lt;1%+EIOPA_RFR!T33,1%+EIOPA_RFR!T33,EIOPA_RFR!T33*(1%+VLOOKUP($B28,Int_Rate_Param,2,FALSE))))</f>
        <v>2.3030000000000002E-2</v>
      </c>
      <c r="U28" s="94">
        <f>IF($B28&gt;20,IF(EIOPA_RFR!U33*(1%+VLOOKUP($B$27,Int_Rate_Param,2,FALSE))&lt;1%+EIOPA_RFR!U33,1%+EIOPA_RFR!U33,EIOPA_RFR!U33*(1%+VLOOKUP($B$27,Int_Rate_Param,2,FALSE))),IF(EIOPA_RFR!U33*(1%+VLOOKUP($B28,Int_Rate_Param,2,FALSE))&lt;1%+EIOPA_RFR!U33,1%+EIOPA_RFR!U33,EIOPA_RFR!U33*(1%+VLOOKUP($B28,Int_Rate_Param,2,FALSE))))</f>
        <v>1.431E-2</v>
      </c>
      <c r="V28" s="94">
        <f>IF($B28&gt;20,IF(EIOPA_RFR!V33*(1%+VLOOKUP($B$27,Int_Rate_Param,2,FALSE))&lt;1%+EIOPA_RFR!V33,1%+EIOPA_RFR!V33,EIOPA_RFR!V33*(1%+VLOOKUP($B$27,Int_Rate_Param,2,FALSE))),IF(EIOPA_RFR!V33*(1%+VLOOKUP($B28,Int_Rate_Param,2,FALSE))&lt;1%+EIOPA_RFR!V33,1%+EIOPA_RFR!V33,EIOPA_RFR!V33*(1%+VLOOKUP($B28,Int_Rate_Param,2,FALSE))))</f>
        <v>2.3030000000000002E-2</v>
      </c>
      <c r="W28" s="94">
        <f>IF($B28&gt;20,IF(EIOPA_RFR!W33*(1%+VLOOKUP($B$27,Int_Rate_Param,2,FALSE))&lt;1%+EIOPA_RFR!W33,1%+EIOPA_RFR!W33,EIOPA_RFR!W33*(1%+VLOOKUP($B$27,Int_Rate_Param,2,FALSE))),IF(EIOPA_RFR!W33*(1%+VLOOKUP($B28,Int_Rate_Param,2,FALSE))&lt;1%+EIOPA_RFR!W33,1%+EIOPA_RFR!W33,EIOPA_RFR!W33*(1%+VLOOKUP($B28,Int_Rate_Param,2,FALSE))))</f>
        <v>2.3030000000000002E-2</v>
      </c>
      <c r="X28" s="94">
        <f>IF($B28&gt;20,IF(EIOPA_RFR!X33*(1%+VLOOKUP($B$27,Int_Rate_Param,2,FALSE))&lt;1%+EIOPA_RFR!X33,1%+EIOPA_RFR!X33,EIOPA_RFR!X33*(1%+VLOOKUP($B$27,Int_Rate_Param,2,FALSE))),IF(EIOPA_RFR!X33*(1%+VLOOKUP($B28,Int_Rate_Param,2,FALSE))&lt;1%+EIOPA_RFR!X33,1%+EIOPA_RFR!X33,EIOPA_RFR!X33*(1%+VLOOKUP($B28,Int_Rate_Param,2,FALSE))))</f>
        <v>2.3030000000000002E-2</v>
      </c>
      <c r="Y28" s="94">
        <f>IF($B28&gt;20,IF(EIOPA_RFR!Y33*(1%+VLOOKUP($B$27,Int_Rate_Param,2,FALSE))&lt;1%+EIOPA_RFR!Y33,1%+EIOPA_RFR!Y33,EIOPA_RFR!Y33*(1%+VLOOKUP($B$27,Int_Rate_Param,2,FALSE))),IF(EIOPA_RFR!Y33*(1%+VLOOKUP($B28,Int_Rate_Param,2,FALSE))&lt;1%+EIOPA_RFR!Y33,1%+EIOPA_RFR!Y33,EIOPA_RFR!Y33*(1%+VLOOKUP($B28,Int_Rate_Param,2,FALSE))))</f>
        <v>2.3030000000000002E-2</v>
      </c>
      <c r="Z28" s="94">
        <f>IF($B28&gt;20,IF(EIOPA_RFR!Z33*(1%+VLOOKUP($B$27,Int_Rate_Param,2,FALSE))&lt;1%+EIOPA_RFR!Z33,1%+EIOPA_RFR!Z33,EIOPA_RFR!Z33*(1%+VLOOKUP($B$27,Int_Rate_Param,2,FALSE))),IF(EIOPA_RFR!Z33*(1%+VLOOKUP($B28,Int_Rate_Param,2,FALSE))&lt;1%+EIOPA_RFR!Z33,1%+EIOPA_RFR!Z33,EIOPA_RFR!Z33*(1%+VLOOKUP($B28,Int_Rate_Param,2,FALSE))))</f>
        <v>3.5569999999999997E-2</v>
      </c>
      <c r="AA28" s="94">
        <f>IF($B28&gt;20,IF(EIOPA_RFR!AA33*(1%+VLOOKUP($B$27,Int_Rate_Param,2,FALSE))&lt;1%+EIOPA_RFR!AA33,1%+EIOPA_RFR!AA33,EIOPA_RFR!AA33*(1%+VLOOKUP($B$27,Int_Rate_Param,2,FALSE))),IF(EIOPA_RFR!AA33*(1%+VLOOKUP($B28,Int_Rate_Param,2,FALSE))&lt;1%+EIOPA_RFR!AA33,1%+EIOPA_RFR!AA33,EIOPA_RFR!AA33*(1%+VLOOKUP($B28,Int_Rate_Param,2,FALSE))))</f>
        <v>4.897E-2</v>
      </c>
      <c r="AB28" s="94">
        <f>IF($B28&gt;20,IF(EIOPA_RFR!AB33*(1%+VLOOKUP($B$27,Int_Rate_Param,2,FALSE))&lt;1%+EIOPA_RFR!AB33,1%+EIOPA_RFR!AB33,EIOPA_RFR!AB33*(1%+VLOOKUP($B$27,Int_Rate_Param,2,FALSE))),IF(EIOPA_RFR!AB33*(1%+VLOOKUP($B28,Int_Rate_Param,2,FALSE))&lt;1%+EIOPA_RFR!AB33,1%+EIOPA_RFR!AB33,EIOPA_RFR!AB33*(1%+VLOOKUP($B28,Int_Rate_Param,2,FALSE))))</f>
        <v>2.3030000000000002E-2</v>
      </c>
      <c r="AC28" s="94">
        <f>IF($B28&gt;20,IF(EIOPA_RFR!AC33*(1%+VLOOKUP($B$27,Int_Rate_Param,2,FALSE))&lt;1%+EIOPA_RFR!AC33,1%+EIOPA_RFR!AC33,EIOPA_RFR!AC33*(1%+VLOOKUP($B$27,Int_Rate_Param,2,FALSE))),IF(EIOPA_RFR!AC33*(1%+VLOOKUP($B28,Int_Rate_Param,2,FALSE))&lt;1%+EIOPA_RFR!AC33,1%+EIOPA_RFR!AC33,EIOPA_RFR!AC33*(1%+VLOOKUP($B28,Int_Rate_Param,2,FALSE))))</f>
        <v>5.3690000000000002E-2</v>
      </c>
      <c r="AD28" s="94">
        <f>IF($B28&gt;20,IF(EIOPA_RFR!AD33*(1%+VLOOKUP($B$27,Int_Rate_Param,2,FALSE))&lt;1%+EIOPA_RFR!AD33,1%+EIOPA_RFR!AD33,EIOPA_RFR!AD33*(1%+VLOOKUP($B$27,Int_Rate_Param,2,FALSE))),IF(EIOPA_RFR!AD33*(1%+VLOOKUP($B28,Int_Rate_Param,2,FALSE))&lt;1%+EIOPA_RFR!AD33,1%+EIOPA_RFR!AD33,EIOPA_RFR!AD33*(1%+VLOOKUP($B28,Int_Rate_Param,2,FALSE))))</f>
        <v>7.6729999999999993E-2</v>
      </c>
      <c r="AE28" s="94">
        <f>IF($B28&gt;20,IF(EIOPA_RFR!AE33*(1%+VLOOKUP($B$27,Int_Rate_Param,2,FALSE))&lt;1%+EIOPA_RFR!AE33,1%+EIOPA_RFR!AE33,EIOPA_RFR!AE33*(1%+VLOOKUP($B$27,Int_Rate_Param,2,FALSE))),IF(EIOPA_RFR!AE33*(1%+VLOOKUP($B28,Int_Rate_Param,2,FALSE))&lt;1%+EIOPA_RFR!AE33,1%+EIOPA_RFR!AE33,EIOPA_RFR!AE33*(1%+VLOOKUP($B28,Int_Rate_Param,2,FALSE))))</f>
        <v>2.3030000000000002E-2</v>
      </c>
      <c r="AF28" s="94">
        <f>IF($B28&gt;20,IF(EIOPA_RFR!AF33*(1%+VLOOKUP($B$27,Int_Rate_Param,2,FALSE))&lt;1%+EIOPA_RFR!AF33,1%+EIOPA_RFR!AF33,EIOPA_RFR!AF33*(1%+VLOOKUP($B$27,Int_Rate_Param,2,FALSE))),IF(EIOPA_RFR!AF33*(1%+VLOOKUP($B28,Int_Rate_Param,2,FALSE))&lt;1%+EIOPA_RFR!AF33,1%+EIOPA_RFR!AF33,EIOPA_RFR!AF33*(1%+VLOOKUP($B28,Int_Rate_Param,2,FALSE))))</f>
        <v>2.3030000000000002E-2</v>
      </c>
      <c r="AG28" s="94">
        <f>IF($B28&gt;20,IF(EIOPA_RFR!AG33*(1%+VLOOKUP($B$27,Int_Rate_Param,2,FALSE))&lt;1%+EIOPA_RFR!AG33,1%+EIOPA_RFR!AG33,EIOPA_RFR!AG33*(1%+VLOOKUP($B$27,Int_Rate_Param,2,FALSE))),IF(EIOPA_RFR!AG33*(1%+VLOOKUP($B28,Int_Rate_Param,2,FALSE))&lt;1%+EIOPA_RFR!AG33,1%+EIOPA_RFR!AG33,EIOPA_RFR!AG33*(1%+VLOOKUP($B28,Int_Rate_Param,2,FALSE))))</f>
        <v>2.3030000000000002E-2</v>
      </c>
      <c r="AH28" s="94">
        <f>IF($B28&gt;20,IF(EIOPA_RFR!AH33*(1%+VLOOKUP($B$27,Int_Rate_Param,2,FALSE))&lt;1%+EIOPA_RFR!AH33,1%+EIOPA_RFR!AH33,EIOPA_RFR!AH33*(1%+VLOOKUP($B$27,Int_Rate_Param,2,FALSE))),IF(EIOPA_RFR!AH33*(1%+VLOOKUP($B28,Int_Rate_Param,2,FALSE))&lt;1%+EIOPA_RFR!AH33,1%+EIOPA_RFR!AH33,EIOPA_RFR!AH33*(1%+VLOOKUP($B28,Int_Rate_Param,2,FALSE))))</f>
        <v>3.5159999999999997E-2</v>
      </c>
      <c r="AI28" s="94">
        <f>IF($B28&gt;20,IF(EIOPA_RFR!AI33*(1%+VLOOKUP($B$27,Int_Rate_Param,2,FALSE))&lt;1%+EIOPA_RFR!AI33,1%+EIOPA_RFR!AI33,EIOPA_RFR!AI33*(1%+VLOOKUP($B$27,Int_Rate_Param,2,FALSE))),IF(EIOPA_RFR!AI33*(1%+VLOOKUP($B28,Int_Rate_Param,2,FALSE))&lt;1%+EIOPA_RFR!AI33,1%+EIOPA_RFR!AI33,EIOPA_RFR!AI33*(1%+VLOOKUP($B28,Int_Rate_Param,2,FALSE))))</f>
        <v>1.431E-2</v>
      </c>
      <c r="AJ28" s="94">
        <f>IF($B28&gt;20,IF(EIOPA_RFR!AJ33*(1%+VLOOKUP($B$27,Int_Rate_Param,2,FALSE))&lt;1%+EIOPA_RFR!AJ33,1%+EIOPA_RFR!AJ33,EIOPA_RFR!AJ33*(1%+VLOOKUP($B$27,Int_Rate_Param,2,FALSE))),IF(EIOPA_RFR!AJ33*(1%+VLOOKUP($B28,Int_Rate_Param,2,FALSE))&lt;1%+EIOPA_RFR!AJ33,1%+EIOPA_RFR!AJ33,EIOPA_RFR!AJ33*(1%+VLOOKUP($B28,Int_Rate_Param,2,FALSE))))</f>
        <v>2.2960000000000001E-2</v>
      </c>
      <c r="AK28" s="94">
        <f>IF($B28&gt;20,IF(EIOPA_RFR!AK33*(1%+VLOOKUP($B$27,Int_Rate_Param,2,FALSE))&lt;1%+EIOPA_RFR!AK33,1%+EIOPA_RFR!AK33,EIOPA_RFR!AK33*(1%+VLOOKUP($B$27,Int_Rate_Param,2,FALSE))),IF(EIOPA_RFR!AK33*(1%+VLOOKUP($B28,Int_Rate_Param,2,FALSE))&lt;1%+EIOPA_RFR!AK33,1%+EIOPA_RFR!AK33,EIOPA_RFR!AK33*(1%+VLOOKUP($B28,Int_Rate_Param,2,FALSE))))</f>
        <v>4.2660000000000003E-2</v>
      </c>
      <c r="AL28" s="94">
        <f>IF($B28&gt;20,IF(EIOPA_RFR!AL33*(1%+VLOOKUP($B$27,Int_Rate_Param,2,FALSE))&lt;1%+EIOPA_RFR!AL33,1%+EIOPA_RFR!AL33,EIOPA_RFR!AL33*(1%+VLOOKUP($B$27,Int_Rate_Param,2,FALSE))),IF(EIOPA_RFR!AL33*(1%+VLOOKUP($B28,Int_Rate_Param,2,FALSE))&lt;1%+EIOPA_RFR!AL33,1%+EIOPA_RFR!AL33,EIOPA_RFR!AL33*(1%+VLOOKUP($B28,Int_Rate_Param,2,FALSE))))</f>
        <v>9.5059999999999992E-2</v>
      </c>
      <c r="AM28" s="94">
        <f>IF($B28&gt;20,IF(EIOPA_RFR!AM33*(1%+VLOOKUP($B$27,Int_Rate_Param,2,FALSE))&lt;1%+EIOPA_RFR!AM33,1%+EIOPA_RFR!AM33,EIOPA_RFR!AM33*(1%+VLOOKUP($B$27,Int_Rate_Param,2,FALSE))),IF(EIOPA_RFR!AM33*(1%+VLOOKUP($B28,Int_Rate_Param,2,FALSE))&lt;1%+EIOPA_RFR!AM33,1%+EIOPA_RFR!AM33,EIOPA_RFR!AM33*(1%+VLOOKUP($B28,Int_Rate_Param,2,FALSE))))</f>
        <v>3.2710000000000003E-2</v>
      </c>
      <c r="AN28" s="94">
        <f>IF($B28&gt;20,IF(EIOPA_RFR!AN33*(1%+VLOOKUP($B$27,Int_Rate_Param,2,FALSE))&lt;1%+EIOPA_RFR!AN33,1%+EIOPA_RFR!AN33,EIOPA_RFR!AN33*(1%+VLOOKUP($B$27,Int_Rate_Param,2,FALSE))),IF(EIOPA_RFR!AN33*(1%+VLOOKUP($B28,Int_Rate_Param,2,FALSE))&lt;1%+EIOPA_RFR!AN33,1%+EIOPA_RFR!AN33,EIOPA_RFR!AN33*(1%+VLOOKUP($B28,Int_Rate_Param,2,FALSE))))</f>
        <v>5.2220000000000003E-2</v>
      </c>
      <c r="AO28" s="94">
        <f>IF($B28&gt;20,IF(EIOPA_RFR!AO33*(1%+VLOOKUP($B$27,Int_Rate_Param,2,FALSE))&lt;1%+EIOPA_RFR!AO33,1%+EIOPA_RFR!AO33,EIOPA_RFR!AO33*(1%+VLOOKUP($B$27,Int_Rate_Param,2,FALSE))),IF(EIOPA_RFR!AO33*(1%+VLOOKUP($B28,Int_Rate_Param,2,FALSE))&lt;1%+EIOPA_RFR!AO33,1%+EIOPA_RFR!AO33,EIOPA_RFR!AO33*(1%+VLOOKUP($B28,Int_Rate_Param,2,FALSE))))</f>
        <v>5.4290000000000005E-2</v>
      </c>
      <c r="AP28" s="94">
        <f>IF($B28&gt;20,IF(EIOPA_RFR!AP33*(1%+VLOOKUP($B$27,Int_Rate_Param,2,FALSE))&lt;1%+EIOPA_RFR!AP33,1%+EIOPA_RFR!AP33,EIOPA_RFR!AP33*(1%+VLOOKUP($B$27,Int_Rate_Param,2,FALSE))),IF(EIOPA_RFR!AP33*(1%+VLOOKUP($B28,Int_Rate_Param,2,FALSE))&lt;1%+EIOPA_RFR!AP33,1%+EIOPA_RFR!AP33,EIOPA_RFR!AP33*(1%+VLOOKUP($B28,Int_Rate_Param,2,FALSE))))</f>
        <v>7.0199999999999999E-2</v>
      </c>
      <c r="AQ28" s="94">
        <f>IF($B28&gt;20,IF(EIOPA_RFR!AQ33*(1%+VLOOKUP($B$27,Int_Rate_Param,2,FALSE))&lt;1%+EIOPA_RFR!AQ33,1%+EIOPA_RFR!AQ33,EIOPA_RFR!AQ33*(1%+VLOOKUP($B$27,Int_Rate_Param,2,FALSE))),IF(EIOPA_RFR!AQ33*(1%+VLOOKUP($B28,Int_Rate_Param,2,FALSE))&lt;1%+EIOPA_RFR!AQ33,1%+EIOPA_RFR!AQ33,EIOPA_RFR!AQ33*(1%+VLOOKUP($B28,Int_Rate_Param,2,FALSE))))</f>
        <v>3.6700000000000003E-2</v>
      </c>
      <c r="AR28" s="94">
        <f>IF($B28&gt;20,IF(EIOPA_RFR!AR33*(1%+VLOOKUP($B$27,Int_Rate_Param,2,FALSE))&lt;1%+EIOPA_RFR!AR33,1%+EIOPA_RFR!AR33,EIOPA_RFR!AR33*(1%+VLOOKUP($B$27,Int_Rate_Param,2,FALSE))),IF(EIOPA_RFR!AR33*(1%+VLOOKUP($B28,Int_Rate_Param,2,FALSE))&lt;1%+EIOPA_RFR!AR33,1%+EIOPA_RFR!AR33,EIOPA_RFR!AR33*(1%+VLOOKUP($B28,Int_Rate_Param,2,FALSE))))</f>
        <v>7.6780000000000001E-2</v>
      </c>
      <c r="AS28" s="94">
        <f>IF($B28&gt;20,IF(EIOPA_RFR!AS33*(1%+VLOOKUP($B$27,Int_Rate_Param,2,FALSE))&lt;1%+EIOPA_RFR!AS33,1%+EIOPA_RFR!AS33,EIOPA_RFR!AS33*(1%+VLOOKUP($B$27,Int_Rate_Param,2,FALSE))),IF(EIOPA_RFR!AS33*(1%+VLOOKUP($B28,Int_Rate_Param,2,FALSE))&lt;1%+EIOPA_RFR!AS33,1%+EIOPA_RFR!AS33,EIOPA_RFR!AS33*(1%+VLOOKUP($B28,Int_Rate_Param,2,FALSE))))</f>
        <v>1.627E-2</v>
      </c>
      <c r="AT28" s="94">
        <f>IF($B28&gt;20,IF(EIOPA_RFR!AT33*(1%+VLOOKUP($B$27,Int_Rate_Param,2,FALSE))&lt;1%+EIOPA_RFR!AT33,1%+EIOPA_RFR!AT33,EIOPA_RFR!AT33*(1%+VLOOKUP($B$27,Int_Rate_Param,2,FALSE))),IF(EIOPA_RFR!AT33*(1%+VLOOKUP($B28,Int_Rate_Param,2,FALSE))&lt;1%+EIOPA_RFR!AT33,1%+EIOPA_RFR!AT33,EIOPA_RFR!AT33*(1%+VLOOKUP($B28,Int_Rate_Param,2,FALSE))))</f>
        <v>5.3510000000000002E-2</v>
      </c>
      <c r="AU28" s="94">
        <f>IF($B28&gt;20,IF(EIOPA_RFR!AU33*(1%+VLOOKUP($B$27,Int_Rate_Param,2,FALSE))&lt;1%+EIOPA_RFR!AU33,1%+EIOPA_RFR!AU33,EIOPA_RFR!AU33*(1%+VLOOKUP($B$27,Int_Rate_Param,2,FALSE))),IF(EIOPA_RFR!AU33*(1%+VLOOKUP($B28,Int_Rate_Param,2,FALSE))&lt;1%+EIOPA_RFR!AU33,1%+EIOPA_RFR!AU33,EIOPA_RFR!AU33*(1%+VLOOKUP($B28,Int_Rate_Param,2,FALSE))))</f>
        <v>8.9359999999999995E-2</v>
      </c>
      <c r="AV28" s="94">
        <f>IF($B28&gt;20,IF(EIOPA_RFR!AV33*(1%+VLOOKUP($B$27,Int_Rate_Param,2,FALSE))&lt;1%+EIOPA_RFR!AV33,1%+EIOPA_RFR!AV33,EIOPA_RFR!AV33*(1%+VLOOKUP($B$27,Int_Rate_Param,2,FALSE))),IF(EIOPA_RFR!AV33*(1%+VLOOKUP($B28,Int_Rate_Param,2,FALSE))&lt;1%+EIOPA_RFR!AV33,1%+EIOPA_RFR!AV33,EIOPA_RFR!AV33*(1%+VLOOKUP($B28,Int_Rate_Param,2,FALSE))))</f>
        <v>4.9930000000000002E-2</v>
      </c>
      <c r="AW28" s="94">
        <f>IF($B28&gt;20,IF(EIOPA_RFR!AW33*(1%+VLOOKUP($B$27,Int_Rate_Param,2,FALSE))&lt;1%+EIOPA_RFR!AW33,1%+EIOPA_RFR!AW33,EIOPA_RFR!AW33*(1%+VLOOKUP($B$27,Int_Rate_Param,2,FALSE))),IF(EIOPA_RFR!AW33*(1%+VLOOKUP($B28,Int_Rate_Param,2,FALSE))&lt;1%+EIOPA_RFR!AW33,1%+EIOPA_RFR!AW33,EIOPA_RFR!AW33*(1%+VLOOKUP($B28,Int_Rate_Param,2,FALSE))))</f>
        <v>3.7100000000000001E-2</v>
      </c>
      <c r="AX28" s="94">
        <f>IF($B28&gt;20,IF(EIOPA_RFR!AX33*(1%+VLOOKUP($B$27,Int_Rate_Param,2,FALSE))&lt;1%+EIOPA_RFR!AX33,1%+EIOPA_RFR!AX33,EIOPA_RFR!AX33*(1%+VLOOKUP($B$27,Int_Rate_Param,2,FALSE))),IF(EIOPA_RFR!AX33*(1%+VLOOKUP($B28,Int_Rate_Param,2,FALSE))&lt;1%+EIOPA_RFR!AX33,1%+EIOPA_RFR!AX33,EIOPA_RFR!AX33*(1%+VLOOKUP($B28,Int_Rate_Param,2,FALSE))))</f>
        <v>9.1600000000000001E-2</v>
      </c>
      <c r="AY28" s="94">
        <f>IF($B28&gt;20,IF(EIOPA_RFR!AY33*(1%+VLOOKUP($B$27,Int_Rate_Param,2,FALSE))&lt;1%+EIOPA_RFR!AY33,1%+EIOPA_RFR!AY33,EIOPA_RFR!AY33*(1%+VLOOKUP($B$27,Int_Rate_Param,2,FALSE))),IF(EIOPA_RFR!AY33*(1%+VLOOKUP($B28,Int_Rate_Param,2,FALSE))&lt;1%+EIOPA_RFR!AY33,1%+EIOPA_RFR!AY33,EIOPA_RFR!AY33*(1%+VLOOKUP($B28,Int_Rate_Param,2,FALSE))))</f>
        <v>2.8650000000000002E-2</v>
      </c>
      <c r="AZ28" s="94">
        <f>IF($B28&gt;20,IF(EIOPA_RFR!AZ33*(1%+VLOOKUP($B$27,Int_Rate_Param,2,FALSE))&lt;1%+EIOPA_RFR!AZ33,1%+EIOPA_RFR!AZ33,EIOPA_RFR!AZ33*(1%+VLOOKUP($B$27,Int_Rate_Param,2,FALSE))),IF(EIOPA_RFR!AZ33*(1%+VLOOKUP($B28,Int_Rate_Param,2,FALSE))&lt;1%+EIOPA_RFR!AZ33,1%+EIOPA_RFR!AZ33,EIOPA_RFR!AZ33*(1%+VLOOKUP($B28,Int_Rate_Param,2,FALSE))))</f>
        <v>3.007E-2</v>
      </c>
      <c r="BA28" s="94">
        <f>IF($B28&gt;20,IF(EIOPA_RFR!BA33*(1%+VLOOKUP($B$27,Int_Rate_Param,2,FALSE))&lt;1%+EIOPA_RFR!BA33,1%+EIOPA_RFR!BA33,EIOPA_RFR!BA33*(1%+VLOOKUP($B$27,Int_Rate_Param,2,FALSE))),IF(EIOPA_RFR!BA33*(1%+VLOOKUP($B28,Int_Rate_Param,2,FALSE))&lt;1%+EIOPA_RFR!BA33,1%+EIOPA_RFR!BA33,EIOPA_RFR!BA33*(1%+VLOOKUP($B28,Int_Rate_Param,2,FALSE))))</f>
        <v>4.0349999999999997E-2</v>
      </c>
      <c r="BB28" s="94">
        <f>IF($B28&gt;20,IF(EIOPA_RFR!BB33*(1%+VLOOKUP($B$27,Int_Rate_Param,2,FALSE))&lt;1%+EIOPA_RFR!BB33,1%+EIOPA_RFR!BB33,EIOPA_RFR!BB33*(1%+VLOOKUP($B$27,Int_Rate_Param,2,FALSE))),IF(EIOPA_RFR!BB33*(1%+VLOOKUP($B28,Int_Rate_Param,2,FALSE))&lt;1%+EIOPA_RFR!BB33,1%+EIOPA_RFR!BB33,EIOPA_RFR!BB33*(1%+VLOOKUP($B28,Int_Rate_Param,2,FALSE))))</f>
        <v>9.9529999999999993E-2</v>
      </c>
      <c r="BC28" s="94">
        <f>IF($B28&gt;20,IF(EIOPA_RFR!BC33*(1%+VLOOKUP($B$27,Int_Rate_Param,2,FALSE))&lt;1%+EIOPA_RFR!BC33,1%+EIOPA_RFR!BC33,EIOPA_RFR!BC33*(1%+VLOOKUP($B$27,Int_Rate_Param,2,FALSE))),IF(EIOPA_RFR!BC33*(1%+VLOOKUP($B28,Int_Rate_Param,2,FALSE))&lt;1%+EIOPA_RFR!BC33,1%+EIOPA_RFR!BC33,EIOPA_RFR!BC33*(1%+VLOOKUP($B28,Int_Rate_Param,2,FALSE))))</f>
        <v>3.526E-2</v>
      </c>
    </row>
    <row r="29" spans="1:55" x14ac:dyDescent="0.25">
      <c r="A29">
        <f t="shared" si="0"/>
        <v>24</v>
      </c>
      <c r="B29" s="95">
        <v>22</v>
      </c>
      <c r="C29" s="94">
        <f>IF($B29&gt;20,IF(EIOPA_RFR!C34*(1%+VLOOKUP($B$27,Int_Rate_Param,2,FALSE))&lt;1%+EIOPA_RFR!C34,1%+EIOPA_RFR!C34,EIOPA_RFR!C34*(1%+VLOOKUP($B$27,Int_Rate_Param,2,FALSE))),IF(EIOPA_RFR!C34*(1%+VLOOKUP($B29,Int_Rate_Param,2,FALSE))&lt;1%+EIOPA_RFR!C34,1%+EIOPA_RFR!C34,EIOPA_RFR!C34*(1%+VLOOKUP($B29,Int_Rate_Param,2,FALSE))))</f>
        <v>2.3599999999999999E-2</v>
      </c>
      <c r="D29" s="94">
        <f>IF($B29&gt;20,IF(EIOPA_RFR!D34*(1%+VLOOKUP($B$27,Int_Rate_Param,2,FALSE))&lt;1%+EIOPA_RFR!D34,1%+EIOPA_RFR!D34,EIOPA_RFR!D34*(1%+VLOOKUP($B$27,Int_Rate_Param,2,FALSE))),IF(EIOPA_RFR!D34*(1%+VLOOKUP($B29,Int_Rate_Param,2,FALSE))&lt;1%+EIOPA_RFR!D34,1%+EIOPA_RFR!D34,EIOPA_RFR!D34*(1%+VLOOKUP($B29,Int_Rate_Param,2,FALSE))))</f>
        <v>2.3599999999999999E-2</v>
      </c>
      <c r="E29" s="94">
        <f>IF($B29&gt;20,IF(EIOPA_RFR!E34*(1%+VLOOKUP($B$27,Int_Rate_Param,2,FALSE))&lt;1%+EIOPA_RFR!E34,1%+EIOPA_RFR!E34,EIOPA_RFR!E34*(1%+VLOOKUP($B$27,Int_Rate_Param,2,FALSE))),IF(EIOPA_RFR!E34*(1%+VLOOKUP($B29,Int_Rate_Param,2,FALSE))&lt;1%+EIOPA_RFR!E34,1%+EIOPA_RFR!E34,EIOPA_RFR!E34*(1%+VLOOKUP($B29,Int_Rate_Param,2,FALSE))))</f>
        <v>2.3599999999999999E-2</v>
      </c>
      <c r="F29" s="94">
        <f>IF($B29&gt;20,IF(EIOPA_RFR!F34*(1%+VLOOKUP($B$27,Int_Rate_Param,2,FALSE))&lt;1%+EIOPA_RFR!F34,1%+EIOPA_RFR!F34,EIOPA_RFR!F34*(1%+VLOOKUP($B$27,Int_Rate_Param,2,FALSE))),IF(EIOPA_RFR!F34*(1%+VLOOKUP($B29,Int_Rate_Param,2,FALSE))&lt;1%+EIOPA_RFR!F34,1%+EIOPA_RFR!F34,EIOPA_RFR!F34*(1%+VLOOKUP($B29,Int_Rate_Param,2,FALSE))))</f>
        <v>2.3089999999999999E-2</v>
      </c>
      <c r="G29" s="94">
        <f>IF($B29&gt;20,IF(EIOPA_RFR!G34*(1%+VLOOKUP($B$27,Int_Rate_Param,2,FALSE))&lt;1%+EIOPA_RFR!G34,1%+EIOPA_RFR!G34,EIOPA_RFR!G34*(1%+VLOOKUP($B$27,Int_Rate_Param,2,FALSE))),IF(EIOPA_RFR!G34*(1%+VLOOKUP($B29,Int_Rate_Param,2,FALSE))&lt;1%+EIOPA_RFR!G34,1%+EIOPA_RFR!G34,EIOPA_RFR!G34*(1%+VLOOKUP($B29,Int_Rate_Param,2,FALSE))))</f>
        <v>4.4170000000000001E-2</v>
      </c>
      <c r="H29" s="94">
        <f>IF($B29&gt;20,IF(EIOPA_RFR!H34*(1%+VLOOKUP($B$27,Int_Rate_Param,2,FALSE))&lt;1%+EIOPA_RFR!H34,1%+EIOPA_RFR!H34,EIOPA_RFR!H34*(1%+VLOOKUP($B$27,Int_Rate_Param,2,FALSE))),IF(EIOPA_RFR!H34*(1%+VLOOKUP($B29,Int_Rate_Param,2,FALSE))&lt;1%+EIOPA_RFR!H34,1%+EIOPA_RFR!H34,EIOPA_RFR!H34*(1%+VLOOKUP($B29,Int_Rate_Param,2,FALSE))))</f>
        <v>2.3599999999999999E-2</v>
      </c>
      <c r="I29" s="94">
        <f>IF($B29&gt;20,IF(EIOPA_RFR!I34*(1%+VLOOKUP($B$27,Int_Rate_Param,2,FALSE))&lt;1%+EIOPA_RFR!I34,1%+EIOPA_RFR!I34,EIOPA_RFR!I34*(1%+VLOOKUP($B$27,Int_Rate_Param,2,FALSE))),IF(EIOPA_RFR!I34*(1%+VLOOKUP($B29,Int_Rate_Param,2,FALSE))&lt;1%+EIOPA_RFR!I34,1%+EIOPA_RFR!I34,EIOPA_RFR!I34*(1%+VLOOKUP($B29,Int_Rate_Param,2,FALSE))))</f>
        <v>2.8110000000000003E-2</v>
      </c>
      <c r="J29" s="94">
        <f>IF($B29&gt;20,IF(EIOPA_RFR!J34*(1%+VLOOKUP($B$27,Int_Rate_Param,2,FALSE))&lt;1%+EIOPA_RFR!J34,1%+EIOPA_RFR!J34,EIOPA_RFR!J34*(1%+VLOOKUP($B$27,Int_Rate_Param,2,FALSE))),IF(EIOPA_RFR!J34*(1%+VLOOKUP($B29,Int_Rate_Param,2,FALSE))&lt;1%+EIOPA_RFR!J34,1%+EIOPA_RFR!J34,EIOPA_RFR!J34*(1%+VLOOKUP($B29,Int_Rate_Param,2,FALSE))))</f>
        <v>2.35E-2</v>
      </c>
      <c r="K29" s="94">
        <f>IF($B29&gt;20,IF(EIOPA_RFR!K34*(1%+VLOOKUP($B$27,Int_Rate_Param,2,FALSE))&lt;1%+EIOPA_RFR!K34,1%+EIOPA_RFR!K34,EIOPA_RFR!K34*(1%+VLOOKUP($B$27,Int_Rate_Param,2,FALSE))),IF(EIOPA_RFR!K34*(1%+VLOOKUP($B29,Int_Rate_Param,2,FALSE))&lt;1%+EIOPA_RFR!K34,1%+EIOPA_RFR!K34,EIOPA_RFR!K34*(1%+VLOOKUP($B29,Int_Rate_Param,2,FALSE))))</f>
        <v>2.3599999999999999E-2</v>
      </c>
      <c r="L29" s="94">
        <f>IF($B29&gt;20,IF(EIOPA_RFR!L34*(1%+VLOOKUP($B$27,Int_Rate_Param,2,FALSE))&lt;1%+EIOPA_RFR!L34,1%+EIOPA_RFR!L34,EIOPA_RFR!L34*(1%+VLOOKUP($B$27,Int_Rate_Param,2,FALSE))),IF(EIOPA_RFR!L34*(1%+VLOOKUP($B29,Int_Rate_Param,2,FALSE))&lt;1%+EIOPA_RFR!L34,1%+EIOPA_RFR!L34,EIOPA_RFR!L34*(1%+VLOOKUP($B29,Int_Rate_Param,2,FALSE))))</f>
        <v>2.3599999999999999E-2</v>
      </c>
      <c r="M29" s="94">
        <f>IF($B29&gt;20,IF(EIOPA_RFR!M34*(1%+VLOOKUP($B$27,Int_Rate_Param,2,FALSE))&lt;1%+EIOPA_RFR!M34,1%+EIOPA_RFR!M34,EIOPA_RFR!M34*(1%+VLOOKUP($B$27,Int_Rate_Param,2,FALSE))),IF(EIOPA_RFR!M34*(1%+VLOOKUP($B29,Int_Rate_Param,2,FALSE))&lt;1%+EIOPA_RFR!M34,1%+EIOPA_RFR!M34,EIOPA_RFR!M34*(1%+VLOOKUP($B29,Int_Rate_Param,2,FALSE))))</f>
        <v>2.3599999999999999E-2</v>
      </c>
      <c r="N29" s="94">
        <f>IF($B29&gt;20,IF(EIOPA_RFR!N34*(1%+VLOOKUP($B$27,Int_Rate_Param,2,FALSE))&lt;1%+EIOPA_RFR!N34,1%+EIOPA_RFR!N34,EIOPA_RFR!N34*(1%+VLOOKUP($B$27,Int_Rate_Param,2,FALSE))),IF(EIOPA_RFR!N34*(1%+VLOOKUP($B29,Int_Rate_Param,2,FALSE))&lt;1%+EIOPA_RFR!N34,1%+EIOPA_RFR!N34,EIOPA_RFR!N34*(1%+VLOOKUP($B29,Int_Rate_Param,2,FALSE))))</f>
        <v>2.3599999999999999E-2</v>
      </c>
      <c r="O29" s="94">
        <f>IF($B29&gt;20,IF(EIOPA_RFR!O34*(1%+VLOOKUP($B$27,Int_Rate_Param,2,FALSE))&lt;1%+EIOPA_RFR!O34,1%+EIOPA_RFR!O34,EIOPA_RFR!O34*(1%+VLOOKUP($B$27,Int_Rate_Param,2,FALSE))),IF(EIOPA_RFR!O34*(1%+VLOOKUP($B29,Int_Rate_Param,2,FALSE))&lt;1%+EIOPA_RFR!O34,1%+EIOPA_RFR!O34,EIOPA_RFR!O34*(1%+VLOOKUP($B29,Int_Rate_Param,2,FALSE))))</f>
        <v>2.3599999999999999E-2</v>
      </c>
      <c r="P29" s="94">
        <f>IF($B29&gt;20,IF(EIOPA_RFR!P34*(1%+VLOOKUP($B$27,Int_Rate_Param,2,FALSE))&lt;1%+EIOPA_RFR!P34,1%+EIOPA_RFR!P34,EIOPA_RFR!P34*(1%+VLOOKUP($B$27,Int_Rate_Param,2,FALSE))),IF(EIOPA_RFR!P34*(1%+VLOOKUP($B29,Int_Rate_Param,2,FALSE))&lt;1%+EIOPA_RFR!P34,1%+EIOPA_RFR!P34,EIOPA_RFR!P34*(1%+VLOOKUP($B29,Int_Rate_Param,2,FALSE))))</f>
        <v>5.2400000000000002E-2</v>
      </c>
      <c r="Q29" s="94">
        <f>IF($B29&gt;20,IF(EIOPA_RFR!Q34*(1%+VLOOKUP($B$27,Int_Rate_Param,2,FALSE))&lt;1%+EIOPA_RFR!Q34,1%+EIOPA_RFR!Q34,EIOPA_RFR!Q34*(1%+VLOOKUP($B$27,Int_Rate_Param,2,FALSE))),IF(EIOPA_RFR!Q34*(1%+VLOOKUP($B29,Int_Rate_Param,2,FALSE))&lt;1%+EIOPA_RFR!Q34,1%+EIOPA_RFR!Q34,EIOPA_RFR!Q34*(1%+VLOOKUP($B29,Int_Rate_Param,2,FALSE))))</f>
        <v>5.6190000000000004E-2</v>
      </c>
      <c r="R29" s="94">
        <f>IF($B29&gt;20,IF(EIOPA_RFR!R34*(1%+VLOOKUP($B$27,Int_Rate_Param,2,FALSE))&lt;1%+EIOPA_RFR!R34,1%+EIOPA_RFR!R34,EIOPA_RFR!R34*(1%+VLOOKUP($B$27,Int_Rate_Param,2,FALSE))),IF(EIOPA_RFR!R34*(1%+VLOOKUP($B29,Int_Rate_Param,2,FALSE))&lt;1%+EIOPA_RFR!R34,1%+EIOPA_RFR!R34,EIOPA_RFR!R34*(1%+VLOOKUP($B29,Int_Rate_Param,2,FALSE))))</f>
        <v>2.3599999999999999E-2</v>
      </c>
      <c r="S29" s="94">
        <f>IF($B29&gt;20,IF(EIOPA_RFR!S34*(1%+VLOOKUP($B$27,Int_Rate_Param,2,FALSE))&lt;1%+EIOPA_RFR!S34,1%+EIOPA_RFR!S34,EIOPA_RFR!S34*(1%+VLOOKUP($B$27,Int_Rate_Param,2,FALSE))),IF(EIOPA_RFR!S34*(1%+VLOOKUP($B29,Int_Rate_Param,2,FALSE))&lt;1%+EIOPA_RFR!S34,1%+EIOPA_RFR!S34,EIOPA_RFR!S34*(1%+VLOOKUP($B29,Int_Rate_Param,2,FALSE))))</f>
        <v>2.3599999999999999E-2</v>
      </c>
      <c r="T29" s="94">
        <f>IF($B29&gt;20,IF(EIOPA_RFR!T34*(1%+VLOOKUP($B$27,Int_Rate_Param,2,FALSE))&lt;1%+EIOPA_RFR!T34,1%+EIOPA_RFR!T34,EIOPA_RFR!T34*(1%+VLOOKUP($B$27,Int_Rate_Param,2,FALSE))),IF(EIOPA_RFR!T34*(1%+VLOOKUP($B29,Int_Rate_Param,2,FALSE))&lt;1%+EIOPA_RFR!T34,1%+EIOPA_RFR!T34,EIOPA_RFR!T34*(1%+VLOOKUP($B29,Int_Rate_Param,2,FALSE))))</f>
        <v>2.3599999999999999E-2</v>
      </c>
      <c r="U29" s="94">
        <f>IF($B29&gt;20,IF(EIOPA_RFR!U34*(1%+VLOOKUP($B$27,Int_Rate_Param,2,FALSE))&lt;1%+EIOPA_RFR!U34,1%+EIOPA_RFR!U34,EIOPA_RFR!U34*(1%+VLOOKUP($B$27,Int_Rate_Param,2,FALSE))),IF(EIOPA_RFR!U34*(1%+VLOOKUP($B29,Int_Rate_Param,2,FALSE))&lt;1%+EIOPA_RFR!U34,1%+EIOPA_RFR!U34,EIOPA_RFR!U34*(1%+VLOOKUP($B29,Int_Rate_Param,2,FALSE))))</f>
        <v>1.439E-2</v>
      </c>
      <c r="V29" s="94">
        <f>IF($B29&gt;20,IF(EIOPA_RFR!V34*(1%+VLOOKUP($B$27,Int_Rate_Param,2,FALSE))&lt;1%+EIOPA_RFR!V34,1%+EIOPA_RFR!V34,EIOPA_RFR!V34*(1%+VLOOKUP($B$27,Int_Rate_Param,2,FALSE))),IF(EIOPA_RFR!V34*(1%+VLOOKUP($B29,Int_Rate_Param,2,FALSE))&lt;1%+EIOPA_RFR!V34,1%+EIOPA_RFR!V34,EIOPA_RFR!V34*(1%+VLOOKUP($B29,Int_Rate_Param,2,FALSE))))</f>
        <v>2.3599999999999999E-2</v>
      </c>
      <c r="W29" s="94">
        <f>IF($B29&gt;20,IF(EIOPA_RFR!W34*(1%+VLOOKUP($B$27,Int_Rate_Param,2,FALSE))&lt;1%+EIOPA_RFR!W34,1%+EIOPA_RFR!W34,EIOPA_RFR!W34*(1%+VLOOKUP($B$27,Int_Rate_Param,2,FALSE))),IF(EIOPA_RFR!W34*(1%+VLOOKUP($B29,Int_Rate_Param,2,FALSE))&lt;1%+EIOPA_RFR!W34,1%+EIOPA_RFR!W34,EIOPA_RFR!W34*(1%+VLOOKUP($B29,Int_Rate_Param,2,FALSE))))</f>
        <v>2.3599999999999999E-2</v>
      </c>
      <c r="X29" s="94">
        <f>IF($B29&gt;20,IF(EIOPA_RFR!X34*(1%+VLOOKUP($B$27,Int_Rate_Param,2,FALSE))&lt;1%+EIOPA_RFR!X34,1%+EIOPA_RFR!X34,EIOPA_RFR!X34*(1%+VLOOKUP($B$27,Int_Rate_Param,2,FALSE))),IF(EIOPA_RFR!X34*(1%+VLOOKUP($B29,Int_Rate_Param,2,FALSE))&lt;1%+EIOPA_RFR!X34,1%+EIOPA_RFR!X34,EIOPA_RFR!X34*(1%+VLOOKUP($B29,Int_Rate_Param,2,FALSE))))</f>
        <v>2.3599999999999999E-2</v>
      </c>
      <c r="Y29" s="94">
        <f>IF($B29&gt;20,IF(EIOPA_RFR!Y34*(1%+VLOOKUP($B$27,Int_Rate_Param,2,FALSE))&lt;1%+EIOPA_RFR!Y34,1%+EIOPA_RFR!Y34,EIOPA_RFR!Y34*(1%+VLOOKUP($B$27,Int_Rate_Param,2,FALSE))),IF(EIOPA_RFR!Y34*(1%+VLOOKUP($B29,Int_Rate_Param,2,FALSE))&lt;1%+EIOPA_RFR!Y34,1%+EIOPA_RFR!Y34,EIOPA_RFR!Y34*(1%+VLOOKUP($B29,Int_Rate_Param,2,FALSE))))</f>
        <v>2.3599999999999999E-2</v>
      </c>
      <c r="Z29" s="94">
        <f>IF($B29&gt;20,IF(EIOPA_RFR!Z34*(1%+VLOOKUP($B$27,Int_Rate_Param,2,FALSE))&lt;1%+EIOPA_RFR!Z34,1%+EIOPA_RFR!Z34,EIOPA_RFR!Z34*(1%+VLOOKUP($B$27,Int_Rate_Param,2,FALSE))),IF(EIOPA_RFR!Z34*(1%+VLOOKUP($B29,Int_Rate_Param,2,FALSE))&lt;1%+EIOPA_RFR!Z34,1%+EIOPA_RFR!Z34,EIOPA_RFR!Z34*(1%+VLOOKUP($B29,Int_Rate_Param,2,FALSE))))</f>
        <v>3.6089999999999997E-2</v>
      </c>
      <c r="AA29" s="94">
        <f>IF($B29&gt;20,IF(EIOPA_RFR!AA34*(1%+VLOOKUP($B$27,Int_Rate_Param,2,FALSE))&lt;1%+EIOPA_RFR!AA34,1%+EIOPA_RFR!AA34,EIOPA_RFR!AA34*(1%+VLOOKUP($B$27,Int_Rate_Param,2,FALSE))),IF(EIOPA_RFR!AA34*(1%+VLOOKUP($B29,Int_Rate_Param,2,FALSE))&lt;1%+EIOPA_RFR!AA34,1%+EIOPA_RFR!AA34,EIOPA_RFR!AA34*(1%+VLOOKUP($B29,Int_Rate_Param,2,FALSE))))</f>
        <v>4.9170000000000005E-2</v>
      </c>
      <c r="AB29" s="94">
        <f>IF($B29&gt;20,IF(EIOPA_RFR!AB34*(1%+VLOOKUP($B$27,Int_Rate_Param,2,FALSE))&lt;1%+EIOPA_RFR!AB34,1%+EIOPA_RFR!AB34,EIOPA_RFR!AB34*(1%+VLOOKUP($B$27,Int_Rate_Param,2,FALSE))),IF(EIOPA_RFR!AB34*(1%+VLOOKUP($B29,Int_Rate_Param,2,FALSE))&lt;1%+EIOPA_RFR!AB34,1%+EIOPA_RFR!AB34,EIOPA_RFR!AB34*(1%+VLOOKUP($B29,Int_Rate_Param,2,FALSE))))</f>
        <v>2.3599999999999999E-2</v>
      </c>
      <c r="AC29" s="94">
        <f>IF($B29&gt;20,IF(EIOPA_RFR!AC34*(1%+VLOOKUP($B$27,Int_Rate_Param,2,FALSE))&lt;1%+EIOPA_RFR!AC34,1%+EIOPA_RFR!AC34,EIOPA_RFR!AC34*(1%+VLOOKUP($B$27,Int_Rate_Param,2,FALSE))),IF(EIOPA_RFR!AC34*(1%+VLOOKUP($B29,Int_Rate_Param,2,FALSE))&lt;1%+EIOPA_RFR!AC34,1%+EIOPA_RFR!AC34,EIOPA_RFR!AC34*(1%+VLOOKUP($B29,Int_Rate_Param,2,FALSE))))</f>
        <v>5.3770000000000005E-2</v>
      </c>
      <c r="AD29" s="94">
        <f>IF($B29&gt;20,IF(EIOPA_RFR!AD34*(1%+VLOOKUP($B$27,Int_Rate_Param,2,FALSE))&lt;1%+EIOPA_RFR!AD34,1%+EIOPA_RFR!AD34,EIOPA_RFR!AD34*(1%+VLOOKUP($B$27,Int_Rate_Param,2,FALSE))),IF(EIOPA_RFR!AD34*(1%+VLOOKUP($B29,Int_Rate_Param,2,FALSE))&lt;1%+EIOPA_RFR!AD34,1%+EIOPA_RFR!AD34,EIOPA_RFR!AD34*(1%+VLOOKUP($B29,Int_Rate_Param,2,FALSE))))</f>
        <v>7.5969999999999996E-2</v>
      </c>
      <c r="AE29" s="94">
        <f>IF($B29&gt;20,IF(EIOPA_RFR!AE34*(1%+VLOOKUP($B$27,Int_Rate_Param,2,FALSE))&lt;1%+EIOPA_RFR!AE34,1%+EIOPA_RFR!AE34,EIOPA_RFR!AE34*(1%+VLOOKUP($B$27,Int_Rate_Param,2,FALSE))),IF(EIOPA_RFR!AE34*(1%+VLOOKUP($B29,Int_Rate_Param,2,FALSE))&lt;1%+EIOPA_RFR!AE34,1%+EIOPA_RFR!AE34,EIOPA_RFR!AE34*(1%+VLOOKUP($B29,Int_Rate_Param,2,FALSE))))</f>
        <v>2.3599999999999999E-2</v>
      </c>
      <c r="AF29" s="94">
        <f>IF($B29&gt;20,IF(EIOPA_RFR!AF34*(1%+VLOOKUP($B$27,Int_Rate_Param,2,FALSE))&lt;1%+EIOPA_RFR!AF34,1%+EIOPA_RFR!AF34,EIOPA_RFR!AF34*(1%+VLOOKUP($B$27,Int_Rate_Param,2,FALSE))),IF(EIOPA_RFR!AF34*(1%+VLOOKUP($B29,Int_Rate_Param,2,FALSE))&lt;1%+EIOPA_RFR!AF34,1%+EIOPA_RFR!AF34,EIOPA_RFR!AF34*(1%+VLOOKUP($B29,Int_Rate_Param,2,FALSE))))</f>
        <v>2.3599999999999999E-2</v>
      </c>
      <c r="AG29" s="94">
        <f>IF($B29&gt;20,IF(EIOPA_RFR!AG34*(1%+VLOOKUP($B$27,Int_Rate_Param,2,FALSE))&lt;1%+EIOPA_RFR!AG34,1%+EIOPA_RFR!AG34,EIOPA_RFR!AG34*(1%+VLOOKUP($B$27,Int_Rate_Param,2,FALSE))),IF(EIOPA_RFR!AG34*(1%+VLOOKUP($B29,Int_Rate_Param,2,FALSE))&lt;1%+EIOPA_RFR!AG34,1%+EIOPA_RFR!AG34,EIOPA_RFR!AG34*(1%+VLOOKUP($B29,Int_Rate_Param,2,FALSE))))</f>
        <v>2.3599999999999999E-2</v>
      </c>
      <c r="AH29" s="94">
        <f>IF($B29&gt;20,IF(EIOPA_RFR!AH34*(1%+VLOOKUP($B$27,Int_Rate_Param,2,FALSE))&lt;1%+EIOPA_RFR!AH34,1%+EIOPA_RFR!AH34,EIOPA_RFR!AH34*(1%+VLOOKUP($B$27,Int_Rate_Param,2,FALSE))),IF(EIOPA_RFR!AH34*(1%+VLOOKUP($B29,Int_Rate_Param,2,FALSE))&lt;1%+EIOPA_RFR!AH34,1%+EIOPA_RFR!AH34,EIOPA_RFR!AH34*(1%+VLOOKUP($B29,Int_Rate_Param,2,FALSE))))</f>
        <v>3.5909999999999997E-2</v>
      </c>
      <c r="AI29" s="94">
        <f>IF($B29&gt;20,IF(EIOPA_RFR!AI34*(1%+VLOOKUP($B$27,Int_Rate_Param,2,FALSE))&lt;1%+EIOPA_RFR!AI34,1%+EIOPA_RFR!AI34,EIOPA_RFR!AI34*(1%+VLOOKUP($B$27,Int_Rate_Param,2,FALSE))),IF(EIOPA_RFR!AI34*(1%+VLOOKUP($B29,Int_Rate_Param,2,FALSE))&lt;1%+EIOPA_RFR!AI34,1%+EIOPA_RFR!AI34,EIOPA_RFR!AI34*(1%+VLOOKUP($B29,Int_Rate_Param,2,FALSE))))</f>
        <v>1.439E-2</v>
      </c>
      <c r="AJ29" s="94">
        <f>IF($B29&gt;20,IF(EIOPA_RFR!AJ34*(1%+VLOOKUP($B$27,Int_Rate_Param,2,FALSE))&lt;1%+EIOPA_RFR!AJ34,1%+EIOPA_RFR!AJ34,EIOPA_RFR!AJ34*(1%+VLOOKUP($B$27,Int_Rate_Param,2,FALSE))),IF(EIOPA_RFR!AJ34*(1%+VLOOKUP($B29,Int_Rate_Param,2,FALSE))&lt;1%+EIOPA_RFR!AJ34,1%+EIOPA_RFR!AJ34,EIOPA_RFR!AJ34*(1%+VLOOKUP($B29,Int_Rate_Param,2,FALSE))))</f>
        <v>2.2940000000000002E-2</v>
      </c>
      <c r="AK29" s="94">
        <f>IF($B29&gt;20,IF(EIOPA_RFR!AK34*(1%+VLOOKUP($B$27,Int_Rate_Param,2,FALSE))&lt;1%+EIOPA_RFR!AK34,1%+EIOPA_RFR!AK34,EIOPA_RFR!AK34*(1%+VLOOKUP($B$27,Int_Rate_Param,2,FALSE))),IF(EIOPA_RFR!AK34*(1%+VLOOKUP($B29,Int_Rate_Param,2,FALSE))&lt;1%+EIOPA_RFR!AK34,1%+EIOPA_RFR!AK34,EIOPA_RFR!AK34*(1%+VLOOKUP($B29,Int_Rate_Param,2,FALSE))))</f>
        <v>4.2880000000000001E-2</v>
      </c>
      <c r="AL29" s="94">
        <f>IF($B29&gt;20,IF(EIOPA_RFR!AL34*(1%+VLOOKUP($B$27,Int_Rate_Param,2,FALSE))&lt;1%+EIOPA_RFR!AL34,1%+EIOPA_RFR!AL34,EIOPA_RFR!AL34*(1%+VLOOKUP($B$27,Int_Rate_Param,2,FALSE))),IF(EIOPA_RFR!AL34*(1%+VLOOKUP($B29,Int_Rate_Param,2,FALSE))&lt;1%+EIOPA_RFR!AL34,1%+EIOPA_RFR!AL34,EIOPA_RFR!AL34*(1%+VLOOKUP($B29,Int_Rate_Param,2,FALSE))))</f>
        <v>9.4119999999999995E-2</v>
      </c>
      <c r="AM29" s="94">
        <f>IF($B29&gt;20,IF(EIOPA_RFR!AM34*(1%+VLOOKUP($B$27,Int_Rate_Param,2,FALSE))&lt;1%+EIOPA_RFR!AM34,1%+EIOPA_RFR!AM34,EIOPA_RFR!AM34*(1%+VLOOKUP($B$27,Int_Rate_Param,2,FALSE))),IF(EIOPA_RFR!AM34*(1%+VLOOKUP($B29,Int_Rate_Param,2,FALSE))&lt;1%+EIOPA_RFR!AM34,1%+EIOPA_RFR!AM34,EIOPA_RFR!AM34*(1%+VLOOKUP($B29,Int_Rate_Param,2,FALSE))))</f>
        <v>3.2629999999999999E-2</v>
      </c>
      <c r="AN29" s="94">
        <f>IF($B29&gt;20,IF(EIOPA_RFR!AN34*(1%+VLOOKUP($B$27,Int_Rate_Param,2,FALSE))&lt;1%+EIOPA_RFR!AN34,1%+EIOPA_RFR!AN34,EIOPA_RFR!AN34*(1%+VLOOKUP($B$27,Int_Rate_Param,2,FALSE))),IF(EIOPA_RFR!AN34*(1%+VLOOKUP($B29,Int_Rate_Param,2,FALSE))&lt;1%+EIOPA_RFR!AN34,1%+EIOPA_RFR!AN34,EIOPA_RFR!AN34*(1%+VLOOKUP($B29,Int_Rate_Param,2,FALSE))))</f>
        <v>5.228E-2</v>
      </c>
      <c r="AO29" s="94">
        <f>IF($B29&gt;20,IF(EIOPA_RFR!AO34*(1%+VLOOKUP($B$27,Int_Rate_Param,2,FALSE))&lt;1%+EIOPA_RFR!AO34,1%+EIOPA_RFR!AO34,EIOPA_RFR!AO34*(1%+VLOOKUP($B$27,Int_Rate_Param,2,FALSE))),IF(EIOPA_RFR!AO34*(1%+VLOOKUP($B29,Int_Rate_Param,2,FALSE))&lt;1%+EIOPA_RFR!AO34,1%+EIOPA_RFR!AO34,EIOPA_RFR!AO34*(1%+VLOOKUP($B29,Int_Rate_Param,2,FALSE))))</f>
        <v>5.4300000000000001E-2</v>
      </c>
      <c r="AP29" s="94">
        <f>IF($B29&gt;20,IF(EIOPA_RFR!AP34*(1%+VLOOKUP($B$27,Int_Rate_Param,2,FALSE))&lt;1%+EIOPA_RFR!AP34,1%+EIOPA_RFR!AP34,EIOPA_RFR!AP34*(1%+VLOOKUP($B$27,Int_Rate_Param,2,FALSE))),IF(EIOPA_RFR!AP34*(1%+VLOOKUP($B29,Int_Rate_Param,2,FALSE))&lt;1%+EIOPA_RFR!AP34,1%+EIOPA_RFR!AP34,EIOPA_RFR!AP34*(1%+VLOOKUP($B29,Int_Rate_Param,2,FALSE))))</f>
        <v>6.9739999999999996E-2</v>
      </c>
      <c r="AQ29" s="94">
        <f>IF($B29&gt;20,IF(EIOPA_RFR!AQ34*(1%+VLOOKUP($B$27,Int_Rate_Param,2,FALSE))&lt;1%+EIOPA_RFR!AQ34,1%+EIOPA_RFR!AQ34,EIOPA_RFR!AQ34*(1%+VLOOKUP($B$27,Int_Rate_Param,2,FALSE))),IF(EIOPA_RFR!AQ34*(1%+VLOOKUP($B29,Int_Rate_Param,2,FALSE))&lt;1%+EIOPA_RFR!AQ34,1%+EIOPA_RFR!AQ34,EIOPA_RFR!AQ34*(1%+VLOOKUP($B29,Int_Rate_Param,2,FALSE))))</f>
        <v>3.712E-2</v>
      </c>
      <c r="AR29" s="94">
        <f>IF($B29&gt;20,IF(EIOPA_RFR!AR34*(1%+VLOOKUP($B$27,Int_Rate_Param,2,FALSE))&lt;1%+EIOPA_RFR!AR34,1%+EIOPA_RFR!AR34,EIOPA_RFR!AR34*(1%+VLOOKUP($B$27,Int_Rate_Param,2,FALSE))),IF(EIOPA_RFR!AR34*(1%+VLOOKUP($B29,Int_Rate_Param,2,FALSE))&lt;1%+EIOPA_RFR!AR34,1%+EIOPA_RFR!AR34,EIOPA_RFR!AR34*(1%+VLOOKUP($B29,Int_Rate_Param,2,FALSE))))</f>
        <v>7.6429999999999998E-2</v>
      </c>
      <c r="AS29" s="94">
        <f>IF($B29&gt;20,IF(EIOPA_RFR!AS34*(1%+VLOOKUP($B$27,Int_Rate_Param,2,FALSE))&lt;1%+EIOPA_RFR!AS34,1%+EIOPA_RFR!AS34,EIOPA_RFR!AS34*(1%+VLOOKUP($B$27,Int_Rate_Param,2,FALSE))),IF(EIOPA_RFR!AS34*(1%+VLOOKUP($B29,Int_Rate_Param,2,FALSE))&lt;1%+EIOPA_RFR!AS34,1%+EIOPA_RFR!AS34,EIOPA_RFR!AS34*(1%+VLOOKUP($B29,Int_Rate_Param,2,FALSE))))</f>
        <v>1.653E-2</v>
      </c>
      <c r="AT29" s="94">
        <f>IF($B29&gt;20,IF(EIOPA_RFR!AT34*(1%+VLOOKUP($B$27,Int_Rate_Param,2,FALSE))&lt;1%+EIOPA_RFR!AT34,1%+EIOPA_RFR!AT34,EIOPA_RFR!AT34*(1%+VLOOKUP($B$27,Int_Rate_Param,2,FALSE))),IF(EIOPA_RFR!AT34*(1%+VLOOKUP($B29,Int_Rate_Param,2,FALSE))&lt;1%+EIOPA_RFR!AT34,1%+EIOPA_RFR!AT34,EIOPA_RFR!AT34*(1%+VLOOKUP($B29,Int_Rate_Param,2,FALSE))))</f>
        <v>5.355E-2</v>
      </c>
      <c r="AU29" s="94">
        <f>IF($B29&gt;20,IF(EIOPA_RFR!AU34*(1%+VLOOKUP($B$27,Int_Rate_Param,2,FALSE))&lt;1%+EIOPA_RFR!AU34,1%+EIOPA_RFR!AU34,EIOPA_RFR!AU34*(1%+VLOOKUP($B$27,Int_Rate_Param,2,FALSE))),IF(EIOPA_RFR!AU34*(1%+VLOOKUP($B29,Int_Rate_Param,2,FALSE))&lt;1%+EIOPA_RFR!AU34,1%+EIOPA_RFR!AU34,EIOPA_RFR!AU34*(1%+VLOOKUP($B29,Int_Rate_Param,2,FALSE))))</f>
        <v>8.9209999999999998E-2</v>
      </c>
      <c r="AV29" s="94">
        <f>IF($B29&gt;20,IF(EIOPA_RFR!AV34*(1%+VLOOKUP($B$27,Int_Rate_Param,2,FALSE))&lt;1%+EIOPA_RFR!AV34,1%+EIOPA_RFR!AV34,EIOPA_RFR!AV34*(1%+VLOOKUP($B$27,Int_Rate_Param,2,FALSE))),IF(EIOPA_RFR!AV34*(1%+VLOOKUP($B29,Int_Rate_Param,2,FALSE))&lt;1%+EIOPA_RFR!AV34,1%+EIOPA_RFR!AV34,EIOPA_RFR!AV34*(1%+VLOOKUP($B29,Int_Rate_Param,2,FALSE))))</f>
        <v>5.0220000000000001E-2</v>
      </c>
      <c r="AW29" s="94">
        <f>IF($B29&gt;20,IF(EIOPA_RFR!AW34*(1%+VLOOKUP($B$27,Int_Rate_Param,2,FALSE))&lt;1%+EIOPA_RFR!AW34,1%+EIOPA_RFR!AW34,EIOPA_RFR!AW34*(1%+VLOOKUP($B$27,Int_Rate_Param,2,FALSE))),IF(EIOPA_RFR!AW34*(1%+VLOOKUP($B29,Int_Rate_Param,2,FALSE))&lt;1%+EIOPA_RFR!AW34,1%+EIOPA_RFR!AW34,EIOPA_RFR!AW34*(1%+VLOOKUP($B29,Int_Rate_Param,2,FALSE))))</f>
        <v>3.7380000000000004E-2</v>
      </c>
      <c r="AX29" s="94">
        <f>IF($B29&gt;20,IF(EIOPA_RFR!AX34*(1%+VLOOKUP($B$27,Int_Rate_Param,2,FALSE))&lt;1%+EIOPA_RFR!AX34,1%+EIOPA_RFR!AX34,EIOPA_RFR!AX34*(1%+VLOOKUP($B$27,Int_Rate_Param,2,FALSE))),IF(EIOPA_RFR!AX34*(1%+VLOOKUP($B29,Int_Rate_Param,2,FALSE))&lt;1%+EIOPA_RFR!AX34,1%+EIOPA_RFR!AX34,EIOPA_RFR!AX34*(1%+VLOOKUP($B29,Int_Rate_Param,2,FALSE))))</f>
        <v>9.0929999999999997E-2</v>
      </c>
      <c r="AY29" s="94">
        <f>IF($B29&gt;20,IF(EIOPA_RFR!AY34*(1%+VLOOKUP($B$27,Int_Rate_Param,2,FALSE))&lt;1%+EIOPA_RFR!AY34,1%+EIOPA_RFR!AY34,EIOPA_RFR!AY34*(1%+VLOOKUP($B$27,Int_Rate_Param,2,FALSE))),IF(EIOPA_RFR!AY34*(1%+VLOOKUP($B29,Int_Rate_Param,2,FALSE))&lt;1%+EIOPA_RFR!AY34,1%+EIOPA_RFR!AY34,EIOPA_RFR!AY34*(1%+VLOOKUP($B29,Int_Rate_Param,2,FALSE))))</f>
        <v>2.8999999999999998E-2</v>
      </c>
      <c r="AZ29" s="94">
        <f>IF($B29&gt;20,IF(EIOPA_RFR!AZ34*(1%+VLOOKUP($B$27,Int_Rate_Param,2,FALSE))&lt;1%+EIOPA_RFR!AZ34,1%+EIOPA_RFR!AZ34,EIOPA_RFR!AZ34*(1%+VLOOKUP($B$27,Int_Rate_Param,2,FALSE))),IF(EIOPA_RFR!AZ34*(1%+VLOOKUP($B29,Int_Rate_Param,2,FALSE))&lt;1%+EIOPA_RFR!AZ34,1%+EIOPA_RFR!AZ34,EIOPA_RFR!AZ34*(1%+VLOOKUP($B29,Int_Rate_Param,2,FALSE))))</f>
        <v>3.0769999999999999E-2</v>
      </c>
      <c r="BA29" s="94">
        <f>IF($B29&gt;20,IF(EIOPA_RFR!BA34*(1%+VLOOKUP($B$27,Int_Rate_Param,2,FALSE))&lt;1%+EIOPA_RFR!BA34,1%+EIOPA_RFR!BA34,EIOPA_RFR!BA34*(1%+VLOOKUP($B$27,Int_Rate_Param,2,FALSE))),IF(EIOPA_RFR!BA34*(1%+VLOOKUP($B29,Int_Rate_Param,2,FALSE))&lt;1%+EIOPA_RFR!BA34,1%+EIOPA_RFR!BA34,EIOPA_RFR!BA34*(1%+VLOOKUP($B29,Int_Rate_Param,2,FALSE))))</f>
        <v>4.07E-2</v>
      </c>
      <c r="BB29" s="94">
        <f>IF($B29&gt;20,IF(EIOPA_RFR!BB34*(1%+VLOOKUP($B$27,Int_Rate_Param,2,FALSE))&lt;1%+EIOPA_RFR!BB34,1%+EIOPA_RFR!BB34,EIOPA_RFR!BB34*(1%+VLOOKUP($B$27,Int_Rate_Param,2,FALSE))),IF(EIOPA_RFR!BB34*(1%+VLOOKUP($B29,Int_Rate_Param,2,FALSE))&lt;1%+EIOPA_RFR!BB34,1%+EIOPA_RFR!BB34,EIOPA_RFR!BB34*(1%+VLOOKUP($B29,Int_Rate_Param,2,FALSE))))</f>
        <v>9.8330000000000001E-2</v>
      </c>
      <c r="BC29" s="94">
        <f>IF($B29&gt;20,IF(EIOPA_RFR!BC34*(1%+VLOOKUP($B$27,Int_Rate_Param,2,FALSE))&lt;1%+EIOPA_RFR!BC34,1%+EIOPA_RFR!BC34,EIOPA_RFR!BC34*(1%+VLOOKUP($B$27,Int_Rate_Param,2,FALSE))),IF(EIOPA_RFR!BC34*(1%+VLOOKUP($B29,Int_Rate_Param,2,FALSE))&lt;1%+EIOPA_RFR!BC34,1%+EIOPA_RFR!BC34,EIOPA_RFR!BC34*(1%+VLOOKUP($B29,Int_Rate_Param,2,FALSE))))</f>
        <v>3.5310000000000001E-2</v>
      </c>
    </row>
    <row r="30" spans="1:55" x14ac:dyDescent="0.25">
      <c r="A30">
        <f t="shared" si="0"/>
        <v>25</v>
      </c>
      <c r="B30" s="95">
        <v>23</v>
      </c>
      <c r="C30" s="94">
        <f>IF($B30&gt;20,IF(EIOPA_RFR!C35*(1%+VLOOKUP($B$27,Int_Rate_Param,2,FALSE))&lt;1%+EIOPA_RFR!C35,1%+EIOPA_RFR!C35,EIOPA_RFR!C35*(1%+VLOOKUP($B$27,Int_Rate_Param,2,FALSE))),IF(EIOPA_RFR!C35*(1%+VLOOKUP($B30,Int_Rate_Param,2,FALSE))&lt;1%+EIOPA_RFR!C35,1%+EIOPA_RFR!C35,EIOPA_RFR!C35*(1%+VLOOKUP($B30,Int_Rate_Param,2,FALSE))))</f>
        <v>2.4219999999999998E-2</v>
      </c>
      <c r="D30" s="94">
        <f>IF($B30&gt;20,IF(EIOPA_RFR!D35*(1%+VLOOKUP($B$27,Int_Rate_Param,2,FALSE))&lt;1%+EIOPA_RFR!D35,1%+EIOPA_RFR!D35,EIOPA_RFR!D35*(1%+VLOOKUP($B$27,Int_Rate_Param,2,FALSE))),IF(EIOPA_RFR!D35*(1%+VLOOKUP($B30,Int_Rate_Param,2,FALSE))&lt;1%+EIOPA_RFR!D35,1%+EIOPA_RFR!D35,EIOPA_RFR!D35*(1%+VLOOKUP($B30,Int_Rate_Param,2,FALSE))))</f>
        <v>2.4219999999999998E-2</v>
      </c>
      <c r="E30" s="94">
        <f>IF($B30&gt;20,IF(EIOPA_RFR!E35*(1%+VLOOKUP($B$27,Int_Rate_Param,2,FALSE))&lt;1%+EIOPA_RFR!E35,1%+EIOPA_RFR!E35,EIOPA_RFR!E35*(1%+VLOOKUP($B$27,Int_Rate_Param,2,FALSE))),IF(EIOPA_RFR!E35*(1%+VLOOKUP($B30,Int_Rate_Param,2,FALSE))&lt;1%+EIOPA_RFR!E35,1%+EIOPA_RFR!E35,EIOPA_RFR!E35*(1%+VLOOKUP($B30,Int_Rate_Param,2,FALSE))))</f>
        <v>2.4219999999999998E-2</v>
      </c>
      <c r="F30" s="94">
        <f>IF($B30&gt;20,IF(EIOPA_RFR!F35*(1%+VLOOKUP($B$27,Int_Rate_Param,2,FALSE))&lt;1%+EIOPA_RFR!F35,1%+EIOPA_RFR!F35,EIOPA_RFR!F35*(1%+VLOOKUP($B$27,Int_Rate_Param,2,FALSE))),IF(EIOPA_RFR!F35*(1%+VLOOKUP($B30,Int_Rate_Param,2,FALSE))&lt;1%+EIOPA_RFR!F35,1%+EIOPA_RFR!F35,EIOPA_RFR!F35*(1%+VLOOKUP($B30,Int_Rate_Param,2,FALSE))))</f>
        <v>2.3719999999999998E-2</v>
      </c>
      <c r="G30" s="94">
        <f>IF($B30&gt;20,IF(EIOPA_RFR!G35*(1%+VLOOKUP($B$27,Int_Rate_Param,2,FALSE))&lt;1%+EIOPA_RFR!G35,1%+EIOPA_RFR!G35,EIOPA_RFR!G35*(1%+VLOOKUP($B$27,Int_Rate_Param,2,FALSE))),IF(EIOPA_RFR!G35*(1%+VLOOKUP($B30,Int_Rate_Param,2,FALSE))&lt;1%+EIOPA_RFR!G35,1%+EIOPA_RFR!G35,EIOPA_RFR!G35*(1%+VLOOKUP($B30,Int_Rate_Param,2,FALSE))))</f>
        <v>4.4420000000000001E-2</v>
      </c>
      <c r="H30" s="94">
        <f>IF($B30&gt;20,IF(EIOPA_RFR!H35*(1%+VLOOKUP($B$27,Int_Rate_Param,2,FALSE))&lt;1%+EIOPA_RFR!H35,1%+EIOPA_RFR!H35,EIOPA_RFR!H35*(1%+VLOOKUP($B$27,Int_Rate_Param,2,FALSE))),IF(EIOPA_RFR!H35*(1%+VLOOKUP($B30,Int_Rate_Param,2,FALSE))&lt;1%+EIOPA_RFR!H35,1%+EIOPA_RFR!H35,EIOPA_RFR!H35*(1%+VLOOKUP($B30,Int_Rate_Param,2,FALSE))))</f>
        <v>2.4219999999999998E-2</v>
      </c>
      <c r="I30" s="94">
        <f>IF($B30&gt;20,IF(EIOPA_RFR!I35*(1%+VLOOKUP($B$27,Int_Rate_Param,2,FALSE))&lt;1%+EIOPA_RFR!I35,1%+EIOPA_RFR!I35,EIOPA_RFR!I35*(1%+VLOOKUP($B$27,Int_Rate_Param,2,FALSE))),IF(EIOPA_RFR!I35*(1%+VLOOKUP($B30,Int_Rate_Param,2,FALSE))&lt;1%+EIOPA_RFR!I35,1%+EIOPA_RFR!I35,EIOPA_RFR!I35*(1%+VLOOKUP($B30,Int_Rate_Param,2,FALSE))))</f>
        <v>2.8799999999999999E-2</v>
      </c>
      <c r="J30" s="94">
        <f>IF($B30&gt;20,IF(EIOPA_RFR!J35*(1%+VLOOKUP($B$27,Int_Rate_Param,2,FALSE))&lt;1%+EIOPA_RFR!J35,1%+EIOPA_RFR!J35,EIOPA_RFR!J35*(1%+VLOOKUP($B$27,Int_Rate_Param,2,FALSE))),IF(EIOPA_RFR!J35*(1%+VLOOKUP($B30,Int_Rate_Param,2,FALSE))&lt;1%+EIOPA_RFR!J35,1%+EIOPA_RFR!J35,EIOPA_RFR!J35*(1%+VLOOKUP($B30,Int_Rate_Param,2,FALSE))))</f>
        <v>2.4120000000000003E-2</v>
      </c>
      <c r="K30" s="94">
        <f>IF($B30&gt;20,IF(EIOPA_RFR!K35*(1%+VLOOKUP($B$27,Int_Rate_Param,2,FALSE))&lt;1%+EIOPA_RFR!K35,1%+EIOPA_RFR!K35,EIOPA_RFR!K35*(1%+VLOOKUP($B$27,Int_Rate_Param,2,FALSE))),IF(EIOPA_RFR!K35*(1%+VLOOKUP($B30,Int_Rate_Param,2,FALSE))&lt;1%+EIOPA_RFR!K35,1%+EIOPA_RFR!K35,EIOPA_RFR!K35*(1%+VLOOKUP($B30,Int_Rate_Param,2,FALSE))))</f>
        <v>2.4219999999999998E-2</v>
      </c>
      <c r="L30" s="94">
        <f>IF($B30&gt;20,IF(EIOPA_RFR!L35*(1%+VLOOKUP($B$27,Int_Rate_Param,2,FALSE))&lt;1%+EIOPA_RFR!L35,1%+EIOPA_RFR!L35,EIOPA_RFR!L35*(1%+VLOOKUP($B$27,Int_Rate_Param,2,FALSE))),IF(EIOPA_RFR!L35*(1%+VLOOKUP($B30,Int_Rate_Param,2,FALSE))&lt;1%+EIOPA_RFR!L35,1%+EIOPA_RFR!L35,EIOPA_RFR!L35*(1%+VLOOKUP($B30,Int_Rate_Param,2,FALSE))))</f>
        <v>2.4219999999999998E-2</v>
      </c>
      <c r="M30" s="94">
        <f>IF($B30&gt;20,IF(EIOPA_RFR!M35*(1%+VLOOKUP($B$27,Int_Rate_Param,2,FALSE))&lt;1%+EIOPA_RFR!M35,1%+EIOPA_RFR!M35,EIOPA_RFR!M35*(1%+VLOOKUP($B$27,Int_Rate_Param,2,FALSE))),IF(EIOPA_RFR!M35*(1%+VLOOKUP($B30,Int_Rate_Param,2,FALSE))&lt;1%+EIOPA_RFR!M35,1%+EIOPA_RFR!M35,EIOPA_RFR!M35*(1%+VLOOKUP($B30,Int_Rate_Param,2,FALSE))))</f>
        <v>2.4219999999999998E-2</v>
      </c>
      <c r="N30" s="94">
        <f>IF($B30&gt;20,IF(EIOPA_RFR!N35*(1%+VLOOKUP($B$27,Int_Rate_Param,2,FALSE))&lt;1%+EIOPA_RFR!N35,1%+EIOPA_RFR!N35,EIOPA_RFR!N35*(1%+VLOOKUP($B$27,Int_Rate_Param,2,FALSE))),IF(EIOPA_RFR!N35*(1%+VLOOKUP($B30,Int_Rate_Param,2,FALSE))&lt;1%+EIOPA_RFR!N35,1%+EIOPA_RFR!N35,EIOPA_RFR!N35*(1%+VLOOKUP($B30,Int_Rate_Param,2,FALSE))))</f>
        <v>2.4219999999999998E-2</v>
      </c>
      <c r="O30" s="94">
        <f>IF($B30&gt;20,IF(EIOPA_RFR!O35*(1%+VLOOKUP($B$27,Int_Rate_Param,2,FALSE))&lt;1%+EIOPA_RFR!O35,1%+EIOPA_RFR!O35,EIOPA_RFR!O35*(1%+VLOOKUP($B$27,Int_Rate_Param,2,FALSE))),IF(EIOPA_RFR!O35*(1%+VLOOKUP($B30,Int_Rate_Param,2,FALSE))&lt;1%+EIOPA_RFR!O35,1%+EIOPA_RFR!O35,EIOPA_RFR!O35*(1%+VLOOKUP($B30,Int_Rate_Param,2,FALSE))))</f>
        <v>2.4219999999999998E-2</v>
      </c>
      <c r="P30" s="94">
        <f>IF($B30&gt;20,IF(EIOPA_RFR!P35*(1%+VLOOKUP($B$27,Int_Rate_Param,2,FALSE))&lt;1%+EIOPA_RFR!P35,1%+EIOPA_RFR!P35,EIOPA_RFR!P35*(1%+VLOOKUP($B$27,Int_Rate_Param,2,FALSE))),IF(EIOPA_RFR!P35*(1%+VLOOKUP($B30,Int_Rate_Param,2,FALSE))&lt;1%+EIOPA_RFR!P35,1%+EIOPA_RFR!P35,EIOPA_RFR!P35*(1%+VLOOKUP($B30,Int_Rate_Param,2,FALSE))))</f>
        <v>5.2630000000000003E-2</v>
      </c>
      <c r="Q30" s="94">
        <f>IF($B30&gt;20,IF(EIOPA_RFR!Q35*(1%+VLOOKUP($B$27,Int_Rate_Param,2,FALSE))&lt;1%+EIOPA_RFR!Q35,1%+EIOPA_RFR!Q35,EIOPA_RFR!Q35*(1%+VLOOKUP($B$27,Int_Rate_Param,2,FALSE))),IF(EIOPA_RFR!Q35*(1%+VLOOKUP($B30,Int_Rate_Param,2,FALSE))&lt;1%+EIOPA_RFR!Q35,1%+EIOPA_RFR!Q35,EIOPA_RFR!Q35*(1%+VLOOKUP($B30,Int_Rate_Param,2,FALSE))))</f>
        <v>5.6090000000000001E-2</v>
      </c>
      <c r="R30" s="94">
        <f>IF($B30&gt;20,IF(EIOPA_RFR!R35*(1%+VLOOKUP($B$27,Int_Rate_Param,2,FALSE))&lt;1%+EIOPA_RFR!R35,1%+EIOPA_RFR!R35,EIOPA_RFR!R35*(1%+VLOOKUP($B$27,Int_Rate_Param,2,FALSE))),IF(EIOPA_RFR!R35*(1%+VLOOKUP($B30,Int_Rate_Param,2,FALSE))&lt;1%+EIOPA_RFR!R35,1%+EIOPA_RFR!R35,EIOPA_RFR!R35*(1%+VLOOKUP($B30,Int_Rate_Param,2,FALSE))))</f>
        <v>2.4219999999999998E-2</v>
      </c>
      <c r="S30" s="94">
        <f>IF($B30&gt;20,IF(EIOPA_RFR!S35*(1%+VLOOKUP($B$27,Int_Rate_Param,2,FALSE))&lt;1%+EIOPA_RFR!S35,1%+EIOPA_RFR!S35,EIOPA_RFR!S35*(1%+VLOOKUP($B$27,Int_Rate_Param,2,FALSE))),IF(EIOPA_RFR!S35*(1%+VLOOKUP($B30,Int_Rate_Param,2,FALSE))&lt;1%+EIOPA_RFR!S35,1%+EIOPA_RFR!S35,EIOPA_RFR!S35*(1%+VLOOKUP($B30,Int_Rate_Param,2,FALSE))))</f>
        <v>2.4219999999999998E-2</v>
      </c>
      <c r="T30" s="94">
        <f>IF($B30&gt;20,IF(EIOPA_RFR!T35*(1%+VLOOKUP($B$27,Int_Rate_Param,2,FALSE))&lt;1%+EIOPA_RFR!T35,1%+EIOPA_RFR!T35,EIOPA_RFR!T35*(1%+VLOOKUP($B$27,Int_Rate_Param,2,FALSE))),IF(EIOPA_RFR!T35*(1%+VLOOKUP($B30,Int_Rate_Param,2,FALSE))&lt;1%+EIOPA_RFR!T35,1%+EIOPA_RFR!T35,EIOPA_RFR!T35*(1%+VLOOKUP($B30,Int_Rate_Param,2,FALSE))))</f>
        <v>2.4219999999999998E-2</v>
      </c>
      <c r="U30" s="94">
        <f>IF($B30&gt;20,IF(EIOPA_RFR!U35*(1%+VLOOKUP($B$27,Int_Rate_Param,2,FALSE))&lt;1%+EIOPA_RFR!U35,1%+EIOPA_RFR!U35,EIOPA_RFR!U35*(1%+VLOOKUP($B$27,Int_Rate_Param,2,FALSE))),IF(EIOPA_RFR!U35*(1%+VLOOKUP($B30,Int_Rate_Param,2,FALSE))&lt;1%+EIOPA_RFR!U35,1%+EIOPA_RFR!U35,EIOPA_RFR!U35*(1%+VLOOKUP($B30,Int_Rate_Param,2,FALSE))))</f>
        <v>1.4499999999999999E-2</v>
      </c>
      <c r="V30" s="94">
        <f>IF($B30&gt;20,IF(EIOPA_RFR!V35*(1%+VLOOKUP($B$27,Int_Rate_Param,2,FALSE))&lt;1%+EIOPA_RFR!V35,1%+EIOPA_RFR!V35,EIOPA_RFR!V35*(1%+VLOOKUP($B$27,Int_Rate_Param,2,FALSE))),IF(EIOPA_RFR!V35*(1%+VLOOKUP($B30,Int_Rate_Param,2,FALSE))&lt;1%+EIOPA_RFR!V35,1%+EIOPA_RFR!V35,EIOPA_RFR!V35*(1%+VLOOKUP($B30,Int_Rate_Param,2,FALSE))))</f>
        <v>2.4219999999999998E-2</v>
      </c>
      <c r="W30" s="94">
        <f>IF($B30&gt;20,IF(EIOPA_RFR!W35*(1%+VLOOKUP($B$27,Int_Rate_Param,2,FALSE))&lt;1%+EIOPA_RFR!W35,1%+EIOPA_RFR!W35,EIOPA_RFR!W35*(1%+VLOOKUP($B$27,Int_Rate_Param,2,FALSE))),IF(EIOPA_RFR!W35*(1%+VLOOKUP($B30,Int_Rate_Param,2,FALSE))&lt;1%+EIOPA_RFR!W35,1%+EIOPA_RFR!W35,EIOPA_RFR!W35*(1%+VLOOKUP($B30,Int_Rate_Param,2,FALSE))))</f>
        <v>2.4219999999999998E-2</v>
      </c>
      <c r="X30" s="94">
        <f>IF($B30&gt;20,IF(EIOPA_RFR!X35*(1%+VLOOKUP($B$27,Int_Rate_Param,2,FALSE))&lt;1%+EIOPA_RFR!X35,1%+EIOPA_RFR!X35,EIOPA_RFR!X35*(1%+VLOOKUP($B$27,Int_Rate_Param,2,FALSE))),IF(EIOPA_RFR!X35*(1%+VLOOKUP($B30,Int_Rate_Param,2,FALSE))&lt;1%+EIOPA_RFR!X35,1%+EIOPA_RFR!X35,EIOPA_RFR!X35*(1%+VLOOKUP($B30,Int_Rate_Param,2,FALSE))))</f>
        <v>2.4219999999999998E-2</v>
      </c>
      <c r="Y30" s="94">
        <f>IF($B30&gt;20,IF(EIOPA_RFR!Y35*(1%+VLOOKUP($B$27,Int_Rate_Param,2,FALSE))&lt;1%+EIOPA_RFR!Y35,1%+EIOPA_RFR!Y35,EIOPA_RFR!Y35*(1%+VLOOKUP($B$27,Int_Rate_Param,2,FALSE))),IF(EIOPA_RFR!Y35*(1%+VLOOKUP($B30,Int_Rate_Param,2,FALSE))&lt;1%+EIOPA_RFR!Y35,1%+EIOPA_RFR!Y35,EIOPA_RFR!Y35*(1%+VLOOKUP($B30,Int_Rate_Param,2,FALSE))))</f>
        <v>2.4219999999999998E-2</v>
      </c>
      <c r="Z30" s="94">
        <f>IF($B30&gt;20,IF(EIOPA_RFR!Z35*(1%+VLOOKUP($B$27,Int_Rate_Param,2,FALSE))&lt;1%+EIOPA_RFR!Z35,1%+EIOPA_RFR!Z35,EIOPA_RFR!Z35*(1%+VLOOKUP($B$27,Int_Rate_Param,2,FALSE))),IF(EIOPA_RFR!Z35*(1%+VLOOKUP($B30,Int_Rate_Param,2,FALSE))&lt;1%+EIOPA_RFR!Z35,1%+EIOPA_RFR!Z35,EIOPA_RFR!Z35*(1%+VLOOKUP($B30,Int_Rate_Param,2,FALSE))))</f>
        <v>3.6589999999999998E-2</v>
      </c>
      <c r="AA30" s="94">
        <f>IF($B30&gt;20,IF(EIOPA_RFR!AA35*(1%+VLOOKUP($B$27,Int_Rate_Param,2,FALSE))&lt;1%+EIOPA_RFR!AA35,1%+EIOPA_RFR!AA35,EIOPA_RFR!AA35*(1%+VLOOKUP($B$27,Int_Rate_Param,2,FALSE))),IF(EIOPA_RFR!AA35*(1%+VLOOKUP($B30,Int_Rate_Param,2,FALSE))&lt;1%+EIOPA_RFR!AA35,1%+EIOPA_RFR!AA35,EIOPA_RFR!AA35*(1%+VLOOKUP($B30,Int_Rate_Param,2,FALSE))))</f>
        <v>4.9350000000000005E-2</v>
      </c>
      <c r="AB30" s="94">
        <f>IF($B30&gt;20,IF(EIOPA_RFR!AB35*(1%+VLOOKUP($B$27,Int_Rate_Param,2,FALSE))&lt;1%+EIOPA_RFR!AB35,1%+EIOPA_RFR!AB35,EIOPA_RFR!AB35*(1%+VLOOKUP($B$27,Int_Rate_Param,2,FALSE))),IF(EIOPA_RFR!AB35*(1%+VLOOKUP($B30,Int_Rate_Param,2,FALSE))&lt;1%+EIOPA_RFR!AB35,1%+EIOPA_RFR!AB35,EIOPA_RFR!AB35*(1%+VLOOKUP($B30,Int_Rate_Param,2,FALSE))))</f>
        <v>2.4219999999999998E-2</v>
      </c>
      <c r="AC30" s="94">
        <f>IF($B30&gt;20,IF(EIOPA_RFR!AC35*(1%+VLOOKUP($B$27,Int_Rate_Param,2,FALSE))&lt;1%+EIOPA_RFR!AC35,1%+EIOPA_RFR!AC35,EIOPA_RFR!AC35*(1%+VLOOKUP($B$27,Int_Rate_Param,2,FALSE))),IF(EIOPA_RFR!AC35*(1%+VLOOKUP($B30,Int_Rate_Param,2,FALSE))&lt;1%+EIOPA_RFR!AC35,1%+EIOPA_RFR!AC35,EIOPA_RFR!AC35*(1%+VLOOKUP($B30,Int_Rate_Param,2,FALSE))))</f>
        <v>5.3839999999999999E-2</v>
      </c>
      <c r="AD30" s="94">
        <f>IF($B30&gt;20,IF(EIOPA_RFR!AD35*(1%+VLOOKUP($B$27,Int_Rate_Param,2,FALSE))&lt;1%+EIOPA_RFR!AD35,1%+EIOPA_RFR!AD35,EIOPA_RFR!AD35*(1%+VLOOKUP($B$27,Int_Rate_Param,2,FALSE))),IF(EIOPA_RFR!AD35*(1%+VLOOKUP($B30,Int_Rate_Param,2,FALSE))&lt;1%+EIOPA_RFR!AD35,1%+EIOPA_RFR!AD35,EIOPA_RFR!AD35*(1%+VLOOKUP($B30,Int_Rate_Param,2,FALSE))))</f>
        <v>7.5240000000000001E-2</v>
      </c>
      <c r="AE30" s="94">
        <f>IF($B30&gt;20,IF(EIOPA_RFR!AE35*(1%+VLOOKUP($B$27,Int_Rate_Param,2,FALSE))&lt;1%+EIOPA_RFR!AE35,1%+EIOPA_RFR!AE35,EIOPA_RFR!AE35*(1%+VLOOKUP($B$27,Int_Rate_Param,2,FALSE))),IF(EIOPA_RFR!AE35*(1%+VLOOKUP($B30,Int_Rate_Param,2,FALSE))&lt;1%+EIOPA_RFR!AE35,1%+EIOPA_RFR!AE35,EIOPA_RFR!AE35*(1%+VLOOKUP($B30,Int_Rate_Param,2,FALSE))))</f>
        <v>2.4219999999999998E-2</v>
      </c>
      <c r="AF30" s="94">
        <f>IF($B30&gt;20,IF(EIOPA_RFR!AF35*(1%+VLOOKUP($B$27,Int_Rate_Param,2,FALSE))&lt;1%+EIOPA_RFR!AF35,1%+EIOPA_RFR!AF35,EIOPA_RFR!AF35*(1%+VLOOKUP($B$27,Int_Rate_Param,2,FALSE))),IF(EIOPA_RFR!AF35*(1%+VLOOKUP($B30,Int_Rate_Param,2,FALSE))&lt;1%+EIOPA_RFR!AF35,1%+EIOPA_RFR!AF35,EIOPA_RFR!AF35*(1%+VLOOKUP($B30,Int_Rate_Param,2,FALSE))))</f>
        <v>2.4219999999999998E-2</v>
      </c>
      <c r="AG30" s="94">
        <f>IF($B30&gt;20,IF(EIOPA_RFR!AG35*(1%+VLOOKUP($B$27,Int_Rate_Param,2,FALSE))&lt;1%+EIOPA_RFR!AG35,1%+EIOPA_RFR!AG35,EIOPA_RFR!AG35*(1%+VLOOKUP($B$27,Int_Rate_Param,2,FALSE))),IF(EIOPA_RFR!AG35*(1%+VLOOKUP($B30,Int_Rate_Param,2,FALSE))&lt;1%+EIOPA_RFR!AG35,1%+EIOPA_RFR!AG35,EIOPA_RFR!AG35*(1%+VLOOKUP($B30,Int_Rate_Param,2,FALSE))))</f>
        <v>2.4219999999999998E-2</v>
      </c>
      <c r="AH30" s="94">
        <f>IF($B30&gt;20,IF(EIOPA_RFR!AH35*(1%+VLOOKUP($B$27,Int_Rate_Param,2,FALSE))&lt;1%+EIOPA_RFR!AH35,1%+EIOPA_RFR!AH35,EIOPA_RFR!AH35*(1%+VLOOKUP($B$27,Int_Rate_Param,2,FALSE))),IF(EIOPA_RFR!AH35*(1%+VLOOKUP($B30,Int_Rate_Param,2,FALSE))&lt;1%+EIOPA_RFR!AH35,1%+EIOPA_RFR!AH35,EIOPA_RFR!AH35*(1%+VLOOKUP($B30,Int_Rate_Param,2,FALSE))))</f>
        <v>3.6610000000000004E-2</v>
      </c>
      <c r="AI30" s="94">
        <f>IF($B30&gt;20,IF(EIOPA_RFR!AI35*(1%+VLOOKUP($B$27,Int_Rate_Param,2,FALSE))&lt;1%+EIOPA_RFR!AI35,1%+EIOPA_RFR!AI35,EIOPA_RFR!AI35*(1%+VLOOKUP($B$27,Int_Rate_Param,2,FALSE))),IF(EIOPA_RFR!AI35*(1%+VLOOKUP($B30,Int_Rate_Param,2,FALSE))&lt;1%+EIOPA_RFR!AI35,1%+EIOPA_RFR!AI35,EIOPA_RFR!AI35*(1%+VLOOKUP($B30,Int_Rate_Param,2,FALSE))))</f>
        <v>1.4499999999999999E-2</v>
      </c>
      <c r="AJ30" s="94">
        <f>IF($B30&gt;20,IF(EIOPA_RFR!AJ35*(1%+VLOOKUP($B$27,Int_Rate_Param,2,FALSE))&lt;1%+EIOPA_RFR!AJ35,1%+EIOPA_RFR!AJ35,EIOPA_RFR!AJ35*(1%+VLOOKUP($B$27,Int_Rate_Param,2,FALSE))),IF(EIOPA_RFR!AJ35*(1%+VLOOKUP($B30,Int_Rate_Param,2,FALSE))&lt;1%+EIOPA_RFR!AJ35,1%+EIOPA_RFR!AJ35,EIOPA_RFR!AJ35*(1%+VLOOKUP($B30,Int_Rate_Param,2,FALSE))))</f>
        <v>2.2919999999999999E-2</v>
      </c>
      <c r="AK30" s="94">
        <f>IF($B30&gt;20,IF(EIOPA_RFR!AK35*(1%+VLOOKUP($B$27,Int_Rate_Param,2,FALSE))&lt;1%+EIOPA_RFR!AK35,1%+EIOPA_RFR!AK35,EIOPA_RFR!AK35*(1%+VLOOKUP($B$27,Int_Rate_Param,2,FALSE))),IF(EIOPA_RFR!AK35*(1%+VLOOKUP($B30,Int_Rate_Param,2,FALSE))&lt;1%+EIOPA_RFR!AK35,1%+EIOPA_RFR!AK35,EIOPA_RFR!AK35*(1%+VLOOKUP($B30,Int_Rate_Param,2,FALSE))))</f>
        <v>4.3060000000000001E-2</v>
      </c>
      <c r="AL30" s="94">
        <f>IF($B30&gt;20,IF(EIOPA_RFR!AL35*(1%+VLOOKUP($B$27,Int_Rate_Param,2,FALSE))&lt;1%+EIOPA_RFR!AL35,1%+EIOPA_RFR!AL35,EIOPA_RFR!AL35*(1%+VLOOKUP($B$27,Int_Rate_Param,2,FALSE))),IF(EIOPA_RFR!AL35*(1%+VLOOKUP($B30,Int_Rate_Param,2,FALSE))&lt;1%+EIOPA_RFR!AL35,1%+EIOPA_RFR!AL35,EIOPA_RFR!AL35*(1%+VLOOKUP($B30,Int_Rate_Param,2,FALSE))))</f>
        <v>9.3189999999999995E-2</v>
      </c>
      <c r="AM30" s="94">
        <f>IF($B30&gt;20,IF(EIOPA_RFR!AM35*(1%+VLOOKUP($B$27,Int_Rate_Param,2,FALSE))&lt;1%+EIOPA_RFR!AM35,1%+EIOPA_RFR!AM35,EIOPA_RFR!AM35*(1%+VLOOKUP($B$27,Int_Rate_Param,2,FALSE))),IF(EIOPA_RFR!AM35*(1%+VLOOKUP($B30,Int_Rate_Param,2,FALSE))&lt;1%+EIOPA_RFR!AM35,1%+EIOPA_RFR!AM35,EIOPA_RFR!AM35*(1%+VLOOKUP($B30,Int_Rate_Param,2,FALSE))))</f>
        <v>3.2509999999999997E-2</v>
      </c>
      <c r="AN30" s="94">
        <f>IF($B30&gt;20,IF(EIOPA_RFR!AN35*(1%+VLOOKUP($B$27,Int_Rate_Param,2,FALSE))&lt;1%+EIOPA_RFR!AN35,1%+EIOPA_RFR!AN35,EIOPA_RFR!AN35*(1%+VLOOKUP($B$27,Int_Rate_Param,2,FALSE))),IF(EIOPA_RFR!AN35*(1%+VLOOKUP($B30,Int_Rate_Param,2,FALSE))&lt;1%+EIOPA_RFR!AN35,1%+EIOPA_RFR!AN35,EIOPA_RFR!AN35*(1%+VLOOKUP($B30,Int_Rate_Param,2,FALSE))))</f>
        <v>5.2340000000000005E-2</v>
      </c>
      <c r="AO30" s="94">
        <f>IF($B30&gt;20,IF(EIOPA_RFR!AO35*(1%+VLOOKUP($B$27,Int_Rate_Param,2,FALSE))&lt;1%+EIOPA_RFR!AO35,1%+EIOPA_RFR!AO35,EIOPA_RFR!AO35*(1%+VLOOKUP($B$27,Int_Rate_Param,2,FALSE))),IF(EIOPA_RFR!AO35*(1%+VLOOKUP($B30,Int_Rate_Param,2,FALSE))&lt;1%+EIOPA_RFR!AO35,1%+EIOPA_RFR!AO35,EIOPA_RFR!AO35*(1%+VLOOKUP($B30,Int_Rate_Param,2,FALSE))))</f>
        <v>5.4300000000000001E-2</v>
      </c>
      <c r="AP30" s="94">
        <f>IF($B30&gt;20,IF(EIOPA_RFR!AP35*(1%+VLOOKUP($B$27,Int_Rate_Param,2,FALSE))&lt;1%+EIOPA_RFR!AP35,1%+EIOPA_RFR!AP35,EIOPA_RFR!AP35*(1%+VLOOKUP($B$27,Int_Rate_Param,2,FALSE))),IF(EIOPA_RFR!AP35*(1%+VLOOKUP($B30,Int_Rate_Param,2,FALSE))&lt;1%+EIOPA_RFR!AP35,1%+EIOPA_RFR!AP35,EIOPA_RFR!AP35*(1%+VLOOKUP($B30,Int_Rate_Param,2,FALSE))))</f>
        <v>6.9290000000000004E-2</v>
      </c>
      <c r="AQ30" s="94">
        <f>IF($B30&gt;20,IF(EIOPA_RFR!AQ35*(1%+VLOOKUP($B$27,Int_Rate_Param,2,FALSE))&lt;1%+EIOPA_RFR!AQ35,1%+EIOPA_RFR!AQ35,EIOPA_RFR!AQ35*(1%+VLOOKUP($B$27,Int_Rate_Param,2,FALSE))),IF(EIOPA_RFR!AQ35*(1%+VLOOKUP($B30,Int_Rate_Param,2,FALSE))&lt;1%+EIOPA_RFR!AQ35,1%+EIOPA_RFR!AQ35,EIOPA_RFR!AQ35*(1%+VLOOKUP($B30,Int_Rate_Param,2,FALSE))))</f>
        <v>3.7539999999999997E-2</v>
      </c>
      <c r="AR30" s="94">
        <f>IF($B30&gt;20,IF(EIOPA_RFR!AR35*(1%+VLOOKUP($B$27,Int_Rate_Param,2,FALSE))&lt;1%+EIOPA_RFR!AR35,1%+EIOPA_RFR!AR35,EIOPA_RFR!AR35*(1%+VLOOKUP($B$27,Int_Rate_Param,2,FALSE))),IF(EIOPA_RFR!AR35*(1%+VLOOKUP($B30,Int_Rate_Param,2,FALSE))&lt;1%+EIOPA_RFR!AR35,1%+EIOPA_RFR!AR35,EIOPA_RFR!AR35*(1%+VLOOKUP($B30,Int_Rate_Param,2,FALSE))))</f>
        <v>7.6079999999999995E-2</v>
      </c>
      <c r="AS30" s="94">
        <f>IF($B30&gt;20,IF(EIOPA_RFR!AS35*(1%+VLOOKUP($B$27,Int_Rate_Param,2,FALSE))&lt;1%+EIOPA_RFR!AS35,1%+EIOPA_RFR!AS35,EIOPA_RFR!AS35*(1%+VLOOKUP($B$27,Int_Rate_Param,2,FALSE))),IF(EIOPA_RFR!AS35*(1%+VLOOKUP($B30,Int_Rate_Param,2,FALSE))&lt;1%+EIOPA_RFR!AS35,1%+EIOPA_RFR!AS35,EIOPA_RFR!AS35*(1%+VLOOKUP($B30,Int_Rate_Param,2,FALSE))))</f>
        <v>1.6740000000000001E-2</v>
      </c>
      <c r="AT30" s="94">
        <f>IF($B30&gt;20,IF(EIOPA_RFR!AT35*(1%+VLOOKUP($B$27,Int_Rate_Param,2,FALSE))&lt;1%+EIOPA_RFR!AT35,1%+EIOPA_RFR!AT35,EIOPA_RFR!AT35*(1%+VLOOKUP($B$27,Int_Rate_Param,2,FALSE))),IF(EIOPA_RFR!AT35*(1%+VLOOKUP($B30,Int_Rate_Param,2,FALSE))&lt;1%+EIOPA_RFR!AT35,1%+EIOPA_RFR!AT35,EIOPA_RFR!AT35*(1%+VLOOKUP($B30,Int_Rate_Param,2,FALSE))))</f>
        <v>5.3580000000000003E-2</v>
      </c>
      <c r="AU30" s="94">
        <f>IF($B30&gt;20,IF(EIOPA_RFR!AU35*(1%+VLOOKUP($B$27,Int_Rate_Param,2,FALSE))&lt;1%+EIOPA_RFR!AU35,1%+EIOPA_RFR!AU35,EIOPA_RFR!AU35*(1%+VLOOKUP($B$27,Int_Rate_Param,2,FALSE))),IF(EIOPA_RFR!AU35*(1%+VLOOKUP($B30,Int_Rate_Param,2,FALSE))&lt;1%+EIOPA_RFR!AU35,1%+EIOPA_RFR!AU35,EIOPA_RFR!AU35*(1%+VLOOKUP($B30,Int_Rate_Param,2,FALSE))))</f>
        <v>8.8939999999999991E-2</v>
      </c>
      <c r="AV30" s="94">
        <f>IF($B30&gt;20,IF(EIOPA_RFR!AV35*(1%+VLOOKUP($B$27,Int_Rate_Param,2,FALSE))&lt;1%+EIOPA_RFR!AV35,1%+EIOPA_RFR!AV35,EIOPA_RFR!AV35*(1%+VLOOKUP($B$27,Int_Rate_Param,2,FALSE))),IF(EIOPA_RFR!AV35*(1%+VLOOKUP($B30,Int_Rate_Param,2,FALSE))&lt;1%+EIOPA_RFR!AV35,1%+EIOPA_RFR!AV35,EIOPA_RFR!AV35*(1%+VLOOKUP($B30,Int_Rate_Param,2,FALSE))))</f>
        <v>5.0470000000000001E-2</v>
      </c>
      <c r="AW30" s="94">
        <f>IF($B30&gt;20,IF(EIOPA_RFR!AW35*(1%+VLOOKUP($B$27,Int_Rate_Param,2,FALSE))&lt;1%+EIOPA_RFR!AW35,1%+EIOPA_RFR!AW35,EIOPA_RFR!AW35*(1%+VLOOKUP($B$27,Int_Rate_Param,2,FALSE))),IF(EIOPA_RFR!AW35*(1%+VLOOKUP($B30,Int_Rate_Param,2,FALSE))&lt;1%+EIOPA_RFR!AW35,1%+EIOPA_RFR!AW35,EIOPA_RFR!AW35*(1%+VLOOKUP($B30,Int_Rate_Param,2,FALSE))))</f>
        <v>3.7679999999999998E-2</v>
      </c>
      <c r="AX30" s="94">
        <f>IF($B30&gt;20,IF(EIOPA_RFR!AX35*(1%+VLOOKUP($B$27,Int_Rate_Param,2,FALSE))&lt;1%+EIOPA_RFR!AX35,1%+EIOPA_RFR!AX35,EIOPA_RFR!AX35*(1%+VLOOKUP($B$27,Int_Rate_Param,2,FALSE))),IF(EIOPA_RFR!AX35*(1%+VLOOKUP($B30,Int_Rate_Param,2,FALSE))&lt;1%+EIOPA_RFR!AX35,1%+EIOPA_RFR!AX35,EIOPA_RFR!AX35*(1%+VLOOKUP($B30,Int_Rate_Param,2,FALSE))))</f>
        <v>9.0249999999999997E-2</v>
      </c>
      <c r="AY30" s="94">
        <f>IF($B30&gt;20,IF(EIOPA_RFR!AY35*(1%+VLOOKUP($B$27,Int_Rate_Param,2,FALSE))&lt;1%+EIOPA_RFR!AY35,1%+EIOPA_RFR!AY35,EIOPA_RFR!AY35*(1%+VLOOKUP($B$27,Int_Rate_Param,2,FALSE))),IF(EIOPA_RFR!AY35*(1%+VLOOKUP($B30,Int_Rate_Param,2,FALSE))&lt;1%+EIOPA_RFR!AY35,1%+EIOPA_RFR!AY35,EIOPA_RFR!AY35*(1%+VLOOKUP($B30,Int_Rate_Param,2,FALSE))))</f>
        <v>2.9409999999999999E-2</v>
      </c>
      <c r="AZ30" s="94">
        <f>IF($B30&gt;20,IF(EIOPA_RFR!AZ35*(1%+VLOOKUP($B$27,Int_Rate_Param,2,FALSE))&lt;1%+EIOPA_RFR!AZ35,1%+EIOPA_RFR!AZ35,EIOPA_RFR!AZ35*(1%+VLOOKUP($B$27,Int_Rate_Param,2,FALSE))),IF(EIOPA_RFR!AZ35*(1%+VLOOKUP($B30,Int_Rate_Param,2,FALSE))&lt;1%+EIOPA_RFR!AZ35,1%+EIOPA_RFR!AZ35,EIOPA_RFR!AZ35*(1%+VLOOKUP($B30,Int_Rate_Param,2,FALSE))))</f>
        <v>3.1440000000000003E-2</v>
      </c>
      <c r="BA30" s="94">
        <f>IF($B30&gt;20,IF(EIOPA_RFR!BA35*(1%+VLOOKUP($B$27,Int_Rate_Param,2,FALSE))&lt;1%+EIOPA_RFR!BA35,1%+EIOPA_RFR!BA35,EIOPA_RFR!BA35*(1%+VLOOKUP($B$27,Int_Rate_Param,2,FALSE))),IF(EIOPA_RFR!BA35*(1%+VLOOKUP($B30,Int_Rate_Param,2,FALSE))&lt;1%+EIOPA_RFR!BA35,1%+EIOPA_RFR!BA35,EIOPA_RFR!BA35*(1%+VLOOKUP($B30,Int_Rate_Param,2,FALSE))))</f>
        <v>4.104E-2</v>
      </c>
      <c r="BB30" s="94">
        <f>IF($B30&gt;20,IF(EIOPA_RFR!BB35*(1%+VLOOKUP($B$27,Int_Rate_Param,2,FALSE))&lt;1%+EIOPA_RFR!BB35,1%+EIOPA_RFR!BB35,EIOPA_RFR!BB35*(1%+VLOOKUP($B$27,Int_Rate_Param,2,FALSE))),IF(EIOPA_RFR!BB35*(1%+VLOOKUP($B30,Int_Rate_Param,2,FALSE))&lt;1%+EIOPA_RFR!BB35,1%+EIOPA_RFR!BB35,EIOPA_RFR!BB35*(1%+VLOOKUP($B30,Int_Rate_Param,2,FALSE))))</f>
        <v>9.7179999999999989E-2</v>
      </c>
      <c r="BC30" s="94">
        <f>IF($B30&gt;20,IF(EIOPA_RFR!BC35*(1%+VLOOKUP($B$27,Int_Rate_Param,2,FALSE))&lt;1%+EIOPA_RFR!BC35,1%+EIOPA_RFR!BC35,EIOPA_RFR!BC35*(1%+VLOOKUP($B$27,Int_Rate_Param,2,FALSE))),IF(EIOPA_RFR!BC35*(1%+VLOOKUP($B30,Int_Rate_Param,2,FALSE))&lt;1%+EIOPA_RFR!BC35,1%+EIOPA_RFR!BC35,EIOPA_RFR!BC35*(1%+VLOOKUP($B30,Int_Rate_Param,2,FALSE))))</f>
        <v>3.5349999999999999E-2</v>
      </c>
    </row>
    <row r="31" spans="1:55" x14ac:dyDescent="0.25">
      <c r="A31">
        <f t="shared" si="0"/>
        <v>26</v>
      </c>
      <c r="B31" s="95">
        <v>24</v>
      </c>
      <c r="C31" s="94">
        <f>IF($B31&gt;20,IF(EIOPA_RFR!C36*(1%+VLOOKUP($B$27,Int_Rate_Param,2,FALSE))&lt;1%+EIOPA_RFR!C36,1%+EIOPA_RFR!C36,EIOPA_RFR!C36*(1%+VLOOKUP($B$27,Int_Rate_Param,2,FALSE))),IF(EIOPA_RFR!C36*(1%+VLOOKUP($B31,Int_Rate_Param,2,FALSE))&lt;1%+EIOPA_RFR!C36,1%+EIOPA_RFR!C36,EIOPA_RFR!C36*(1%+VLOOKUP($B31,Int_Rate_Param,2,FALSE))))</f>
        <v>2.486E-2</v>
      </c>
      <c r="D31" s="94">
        <f>IF($B31&gt;20,IF(EIOPA_RFR!D36*(1%+VLOOKUP($B$27,Int_Rate_Param,2,FALSE))&lt;1%+EIOPA_RFR!D36,1%+EIOPA_RFR!D36,EIOPA_RFR!D36*(1%+VLOOKUP($B$27,Int_Rate_Param,2,FALSE))),IF(EIOPA_RFR!D36*(1%+VLOOKUP($B31,Int_Rate_Param,2,FALSE))&lt;1%+EIOPA_RFR!D36,1%+EIOPA_RFR!D36,EIOPA_RFR!D36*(1%+VLOOKUP($B31,Int_Rate_Param,2,FALSE))))</f>
        <v>2.486E-2</v>
      </c>
      <c r="E31" s="94">
        <f>IF($B31&gt;20,IF(EIOPA_RFR!E36*(1%+VLOOKUP($B$27,Int_Rate_Param,2,FALSE))&lt;1%+EIOPA_RFR!E36,1%+EIOPA_RFR!E36,EIOPA_RFR!E36*(1%+VLOOKUP($B$27,Int_Rate_Param,2,FALSE))),IF(EIOPA_RFR!E36*(1%+VLOOKUP($B31,Int_Rate_Param,2,FALSE))&lt;1%+EIOPA_RFR!E36,1%+EIOPA_RFR!E36,EIOPA_RFR!E36*(1%+VLOOKUP($B31,Int_Rate_Param,2,FALSE))))</f>
        <v>2.486E-2</v>
      </c>
      <c r="F31" s="94">
        <f>IF($B31&gt;20,IF(EIOPA_RFR!F36*(1%+VLOOKUP($B$27,Int_Rate_Param,2,FALSE))&lt;1%+EIOPA_RFR!F36,1%+EIOPA_RFR!F36,EIOPA_RFR!F36*(1%+VLOOKUP($B$27,Int_Rate_Param,2,FALSE))),IF(EIOPA_RFR!F36*(1%+VLOOKUP($B31,Int_Rate_Param,2,FALSE))&lt;1%+EIOPA_RFR!F36,1%+EIOPA_RFR!F36,EIOPA_RFR!F36*(1%+VLOOKUP($B31,Int_Rate_Param,2,FALSE))))</f>
        <v>2.4370000000000003E-2</v>
      </c>
      <c r="G31" s="94">
        <f>IF($B31&gt;20,IF(EIOPA_RFR!G36*(1%+VLOOKUP($B$27,Int_Rate_Param,2,FALSE))&lt;1%+EIOPA_RFR!G36,1%+EIOPA_RFR!G36,EIOPA_RFR!G36*(1%+VLOOKUP($B$27,Int_Rate_Param,2,FALSE))),IF(EIOPA_RFR!G36*(1%+VLOOKUP($B31,Int_Rate_Param,2,FALSE))&lt;1%+EIOPA_RFR!G36,1%+EIOPA_RFR!G36,EIOPA_RFR!G36*(1%+VLOOKUP($B31,Int_Rate_Param,2,FALSE))))</f>
        <v>4.4660000000000005E-2</v>
      </c>
      <c r="H31" s="94">
        <f>IF($B31&gt;20,IF(EIOPA_RFR!H36*(1%+VLOOKUP($B$27,Int_Rate_Param,2,FALSE))&lt;1%+EIOPA_RFR!H36,1%+EIOPA_RFR!H36,EIOPA_RFR!H36*(1%+VLOOKUP($B$27,Int_Rate_Param,2,FALSE))),IF(EIOPA_RFR!H36*(1%+VLOOKUP($B31,Int_Rate_Param,2,FALSE))&lt;1%+EIOPA_RFR!H36,1%+EIOPA_RFR!H36,EIOPA_RFR!H36*(1%+VLOOKUP($B31,Int_Rate_Param,2,FALSE))))</f>
        <v>2.486E-2</v>
      </c>
      <c r="I31" s="94">
        <f>IF($B31&gt;20,IF(EIOPA_RFR!I36*(1%+VLOOKUP($B$27,Int_Rate_Param,2,FALSE))&lt;1%+EIOPA_RFR!I36,1%+EIOPA_RFR!I36,EIOPA_RFR!I36*(1%+VLOOKUP($B$27,Int_Rate_Param,2,FALSE))),IF(EIOPA_RFR!I36*(1%+VLOOKUP($B31,Int_Rate_Param,2,FALSE))&lt;1%+EIOPA_RFR!I36,1%+EIOPA_RFR!I36,EIOPA_RFR!I36*(1%+VLOOKUP($B31,Int_Rate_Param,2,FALSE))))</f>
        <v>2.9479999999999999E-2</v>
      </c>
      <c r="J31" s="94">
        <f>IF($B31&gt;20,IF(EIOPA_RFR!J36*(1%+VLOOKUP($B$27,Int_Rate_Param,2,FALSE))&lt;1%+EIOPA_RFR!J36,1%+EIOPA_RFR!J36,EIOPA_RFR!J36*(1%+VLOOKUP($B$27,Int_Rate_Param,2,FALSE))),IF(EIOPA_RFR!J36*(1%+VLOOKUP($B31,Int_Rate_Param,2,FALSE))&lt;1%+EIOPA_RFR!J36,1%+EIOPA_RFR!J36,EIOPA_RFR!J36*(1%+VLOOKUP($B31,Int_Rate_Param,2,FALSE))))</f>
        <v>2.4760000000000001E-2</v>
      </c>
      <c r="K31" s="94">
        <f>IF($B31&gt;20,IF(EIOPA_RFR!K36*(1%+VLOOKUP($B$27,Int_Rate_Param,2,FALSE))&lt;1%+EIOPA_RFR!K36,1%+EIOPA_RFR!K36,EIOPA_RFR!K36*(1%+VLOOKUP($B$27,Int_Rate_Param,2,FALSE))),IF(EIOPA_RFR!K36*(1%+VLOOKUP($B31,Int_Rate_Param,2,FALSE))&lt;1%+EIOPA_RFR!K36,1%+EIOPA_RFR!K36,EIOPA_RFR!K36*(1%+VLOOKUP($B31,Int_Rate_Param,2,FALSE))))</f>
        <v>2.486E-2</v>
      </c>
      <c r="L31" s="94">
        <f>IF($B31&gt;20,IF(EIOPA_RFR!L36*(1%+VLOOKUP($B$27,Int_Rate_Param,2,FALSE))&lt;1%+EIOPA_RFR!L36,1%+EIOPA_RFR!L36,EIOPA_RFR!L36*(1%+VLOOKUP($B$27,Int_Rate_Param,2,FALSE))),IF(EIOPA_RFR!L36*(1%+VLOOKUP($B31,Int_Rate_Param,2,FALSE))&lt;1%+EIOPA_RFR!L36,1%+EIOPA_RFR!L36,EIOPA_RFR!L36*(1%+VLOOKUP($B31,Int_Rate_Param,2,FALSE))))</f>
        <v>2.486E-2</v>
      </c>
      <c r="M31" s="94">
        <f>IF($B31&gt;20,IF(EIOPA_RFR!M36*(1%+VLOOKUP($B$27,Int_Rate_Param,2,FALSE))&lt;1%+EIOPA_RFR!M36,1%+EIOPA_RFR!M36,EIOPA_RFR!M36*(1%+VLOOKUP($B$27,Int_Rate_Param,2,FALSE))),IF(EIOPA_RFR!M36*(1%+VLOOKUP($B31,Int_Rate_Param,2,FALSE))&lt;1%+EIOPA_RFR!M36,1%+EIOPA_RFR!M36,EIOPA_RFR!M36*(1%+VLOOKUP($B31,Int_Rate_Param,2,FALSE))))</f>
        <v>2.486E-2</v>
      </c>
      <c r="N31" s="94">
        <f>IF($B31&gt;20,IF(EIOPA_RFR!N36*(1%+VLOOKUP($B$27,Int_Rate_Param,2,FALSE))&lt;1%+EIOPA_RFR!N36,1%+EIOPA_RFR!N36,EIOPA_RFR!N36*(1%+VLOOKUP($B$27,Int_Rate_Param,2,FALSE))),IF(EIOPA_RFR!N36*(1%+VLOOKUP($B31,Int_Rate_Param,2,FALSE))&lt;1%+EIOPA_RFR!N36,1%+EIOPA_RFR!N36,EIOPA_RFR!N36*(1%+VLOOKUP($B31,Int_Rate_Param,2,FALSE))))</f>
        <v>2.486E-2</v>
      </c>
      <c r="O31" s="94">
        <f>IF($B31&gt;20,IF(EIOPA_RFR!O36*(1%+VLOOKUP($B$27,Int_Rate_Param,2,FALSE))&lt;1%+EIOPA_RFR!O36,1%+EIOPA_RFR!O36,EIOPA_RFR!O36*(1%+VLOOKUP($B$27,Int_Rate_Param,2,FALSE))),IF(EIOPA_RFR!O36*(1%+VLOOKUP($B31,Int_Rate_Param,2,FALSE))&lt;1%+EIOPA_RFR!O36,1%+EIOPA_RFR!O36,EIOPA_RFR!O36*(1%+VLOOKUP($B31,Int_Rate_Param,2,FALSE))))</f>
        <v>2.486E-2</v>
      </c>
      <c r="P31" s="94">
        <f>IF($B31&gt;20,IF(EIOPA_RFR!P36*(1%+VLOOKUP($B$27,Int_Rate_Param,2,FALSE))&lt;1%+EIOPA_RFR!P36,1%+EIOPA_RFR!P36,EIOPA_RFR!P36*(1%+VLOOKUP($B$27,Int_Rate_Param,2,FALSE))),IF(EIOPA_RFR!P36*(1%+VLOOKUP($B31,Int_Rate_Param,2,FALSE))&lt;1%+EIOPA_RFR!P36,1%+EIOPA_RFR!P36,EIOPA_RFR!P36*(1%+VLOOKUP($B31,Int_Rate_Param,2,FALSE))))</f>
        <v>5.2819999999999999E-2</v>
      </c>
      <c r="Q31" s="94">
        <f>IF($B31&gt;20,IF(EIOPA_RFR!Q36*(1%+VLOOKUP($B$27,Int_Rate_Param,2,FALSE))&lt;1%+EIOPA_RFR!Q36,1%+EIOPA_RFR!Q36,EIOPA_RFR!Q36*(1%+VLOOKUP($B$27,Int_Rate_Param,2,FALSE))),IF(EIOPA_RFR!Q36*(1%+VLOOKUP($B31,Int_Rate_Param,2,FALSE))&lt;1%+EIOPA_RFR!Q36,1%+EIOPA_RFR!Q36,EIOPA_RFR!Q36*(1%+VLOOKUP($B31,Int_Rate_Param,2,FALSE))))</f>
        <v>5.5990000000000005E-2</v>
      </c>
      <c r="R31" s="94">
        <f>IF($B31&gt;20,IF(EIOPA_RFR!R36*(1%+VLOOKUP($B$27,Int_Rate_Param,2,FALSE))&lt;1%+EIOPA_RFR!R36,1%+EIOPA_RFR!R36,EIOPA_RFR!R36*(1%+VLOOKUP($B$27,Int_Rate_Param,2,FALSE))),IF(EIOPA_RFR!R36*(1%+VLOOKUP($B31,Int_Rate_Param,2,FALSE))&lt;1%+EIOPA_RFR!R36,1%+EIOPA_RFR!R36,EIOPA_RFR!R36*(1%+VLOOKUP($B31,Int_Rate_Param,2,FALSE))))</f>
        <v>2.486E-2</v>
      </c>
      <c r="S31" s="94">
        <f>IF($B31&gt;20,IF(EIOPA_RFR!S36*(1%+VLOOKUP($B$27,Int_Rate_Param,2,FALSE))&lt;1%+EIOPA_RFR!S36,1%+EIOPA_RFR!S36,EIOPA_RFR!S36*(1%+VLOOKUP($B$27,Int_Rate_Param,2,FALSE))),IF(EIOPA_RFR!S36*(1%+VLOOKUP($B31,Int_Rate_Param,2,FALSE))&lt;1%+EIOPA_RFR!S36,1%+EIOPA_RFR!S36,EIOPA_RFR!S36*(1%+VLOOKUP($B31,Int_Rate_Param,2,FALSE))))</f>
        <v>2.486E-2</v>
      </c>
      <c r="T31" s="94">
        <f>IF($B31&gt;20,IF(EIOPA_RFR!T36*(1%+VLOOKUP($B$27,Int_Rate_Param,2,FALSE))&lt;1%+EIOPA_RFR!T36,1%+EIOPA_RFR!T36,EIOPA_RFR!T36*(1%+VLOOKUP($B$27,Int_Rate_Param,2,FALSE))),IF(EIOPA_RFR!T36*(1%+VLOOKUP($B31,Int_Rate_Param,2,FALSE))&lt;1%+EIOPA_RFR!T36,1%+EIOPA_RFR!T36,EIOPA_RFR!T36*(1%+VLOOKUP($B31,Int_Rate_Param,2,FALSE))))</f>
        <v>2.486E-2</v>
      </c>
      <c r="U31" s="94">
        <f>IF($B31&gt;20,IF(EIOPA_RFR!U36*(1%+VLOOKUP($B$27,Int_Rate_Param,2,FALSE))&lt;1%+EIOPA_RFR!U36,1%+EIOPA_RFR!U36,EIOPA_RFR!U36*(1%+VLOOKUP($B$27,Int_Rate_Param,2,FALSE))),IF(EIOPA_RFR!U36*(1%+VLOOKUP($B31,Int_Rate_Param,2,FALSE))&lt;1%+EIOPA_RFR!U36,1%+EIOPA_RFR!U36,EIOPA_RFR!U36*(1%+VLOOKUP($B31,Int_Rate_Param,2,FALSE))))</f>
        <v>1.465E-2</v>
      </c>
      <c r="V31" s="94">
        <f>IF($B31&gt;20,IF(EIOPA_RFR!V36*(1%+VLOOKUP($B$27,Int_Rate_Param,2,FALSE))&lt;1%+EIOPA_RFR!V36,1%+EIOPA_RFR!V36,EIOPA_RFR!V36*(1%+VLOOKUP($B$27,Int_Rate_Param,2,FALSE))),IF(EIOPA_RFR!V36*(1%+VLOOKUP($B31,Int_Rate_Param,2,FALSE))&lt;1%+EIOPA_RFR!V36,1%+EIOPA_RFR!V36,EIOPA_RFR!V36*(1%+VLOOKUP($B31,Int_Rate_Param,2,FALSE))))</f>
        <v>2.486E-2</v>
      </c>
      <c r="W31" s="94">
        <f>IF($B31&gt;20,IF(EIOPA_RFR!W36*(1%+VLOOKUP($B$27,Int_Rate_Param,2,FALSE))&lt;1%+EIOPA_RFR!W36,1%+EIOPA_RFR!W36,EIOPA_RFR!W36*(1%+VLOOKUP($B$27,Int_Rate_Param,2,FALSE))),IF(EIOPA_RFR!W36*(1%+VLOOKUP($B31,Int_Rate_Param,2,FALSE))&lt;1%+EIOPA_RFR!W36,1%+EIOPA_RFR!W36,EIOPA_RFR!W36*(1%+VLOOKUP($B31,Int_Rate_Param,2,FALSE))))</f>
        <v>2.486E-2</v>
      </c>
      <c r="X31" s="94">
        <f>IF($B31&gt;20,IF(EIOPA_RFR!X36*(1%+VLOOKUP($B$27,Int_Rate_Param,2,FALSE))&lt;1%+EIOPA_RFR!X36,1%+EIOPA_RFR!X36,EIOPA_RFR!X36*(1%+VLOOKUP($B$27,Int_Rate_Param,2,FALSE))),IF(EIOPA_RFR!X36*(1%+VLOOKUP($B31,Int_Rate_Param,2,FALSE))&lt;1%+EIOPA_RFR!X36,1%+EIOPA_RFR!X36,EIOPA_RFR!X36*(1%+VLOOKUP($B31,Int_Rate_Param,2,FALSE))))</f>
        <v>2.486E-2</v>
      </c>
      <c r="Y31" s="94">
        <f>IF($B31&gt;20,IF(EIOPA_RFR!Y36*(1%+VLOOKUP($B$27,Int_Rate_Param,2,FALSE))&lt;1%+EIOPA_RFR!Y36,1%+EIOPA_RFR!Y36,EIOPA_RFR!Y36*(1%+VLOOKUP($B$27,Int_Rate_Param,2,FALSE))),IF(EIOPA_RFR!Y36*(1%+VLOOKUP($B31,Int_Rate_Param,2,FALSE))&lt;1%+EIOPA_RFR!Y36,1%+EIOPA_RFR!Y36,EIOPA_RFR!Y36*(1%+VLOOKUP($B31,Int_Rate_Param,2,FALSE))))</f>
        <v>2.486E-2</v>
      </c>
      <c r="Z31" s="94">
        <f>IF($B31&gt;20,IF(EIOPA_RFR!Z36*(1%+VLOOKUP($B$27,Int_Rate_Param,2,FALSE))&lt;1%+EIOPA_RFR!Z36,1%+EIOPA_RFR!Z36,EIOPA_RFR!Z36*(1%+VLOOKUP($B$27,Int_Rate_Param,2,FALSE))),IF(EIOPA_RFR!Z36*(1%+VLOOKUP($B31,Int_Rate_Param,2,FALSE))&lt;1%+EIOPA_RFR!Z36,1%+EIOPA_RFR!Z36,EIOPA_RFR!Z36*(1%+VLOOKUP($B31,Int_Rate_Param,2,FALSE))))</f>
        <v>3.7060000000000003E-2</v>
      </c>
      <c r="AA31" s="94">
        <f>IF($B31&gt;20,IF(EIOPA_RFR!AA36*(1%+VLOOKUP($B$27,Int_Rate_Param,2,FALSE))&lt;1%+EIOPA_RFR!AA36,1%+EIOPA_RFR!AA36,EIOPA_RFR!AA36*(1%+VLOOKUP($B$27,Int_Rate_Param,2,FALSE))),IF(EIOPA_RFR!AA36*(1%+VLOOKUP($B31,Int_Rate_Param,2,FALSE))&lt;1%+EIOPA_RFR!AA36,1%+EIOPA_RFR!AA36,EIOPA_RFR!AA36*(1%+VLOOKUP($B31,Int_Rate_Param,2,FALSE))))</f>
        <v>4.9510000000000005E-2</v>
      </c>
      <c r="AB31" s="94">
        <f>IF($B31&gt;20,IF(EIOPA_RFR!AB36*(1%+VLOOKUP($B$27,Int_Rate_Param,2,FALSE))&lt;1%+EIOPA_RFR!AB36,1%+EIOPA_RFR!AB36,EIOPA_RFR!AB36*(1%+VLOOKUP($B$27,Int_Rate_Param,2,FALSE))),IF(EIOPA_RFR!AB36*(1%+VLOOKUP($B31,Int_Rate_Param,2,FALSE))&lt;1%+EIOPA_RFR!AB36,1%+EIOPA_RFR!AB36,EIOPA_RFR!AB36*(1%+VLOOKUP($B31,Int_Rate_Param,2,FALSE))))</f>
        <v>2.486E-2</v>
      </c>
      <c r="AC31" s="94">
        <f>IF($B31&gt;20,IF(EIOPA_RFR!AC36*(1%+VLOOKUP($B$27,Int_Rate_Param,2,FALSE))&lt;1%+EIOPA_RFR!AC36,1%+EIOPA_RFR!AC36,EIOPA_RFR!AC36*(1%+VLOOKUP($B$27,Int_Rate_Param,2,FALSE))),IF(EIOPA_RFR!AC36*(1%+VLOOKUP($B31,Int_Rate_Param,2,FALSE))&lt;1%+EIOPA_RFR!AC36,1%+EIOPA_RFR!AC36,EIOPA_RFR!AC36*(1%+VLOOKUP($B31,Int_Rate_Param,2,FALSE))))</f>
        <v>5.3880000000000004E-2</v>
      </c>
      <c r="AD31" s="94">
        <f>IF($B31&gt;20,IF(EIOPA_RFR!AD36*(1%+VLOOKUP($B$27,Int_Rate_Param,2,FALSE))&lt;1%+EIOPA_RFR!AD36,1%+EIOPA_RFR!AD36,EIOPA_RFR!AD36*(1%+VLOOKUP($B$27,Int_Rate_Param,2,FALSE))),IF(EIOPA_RFR!AD36*(1%+VLOOKUP($B31,Int_Rate_Param,2,FALSE))&lt;1%+EIOPA_RFR!AD36,1%+EIOPA_RFR!AD36,EIOPA_RFR!AD36*(1%+VLOOKUP($B31,Int_Rate_Param,2,FALSE))))</f>
        <v>7.4539999999999995E-2</v>
      </c>
      <c r="AE31" s="94">
        <f>IF($B31&gt;20,IF(EIOPA_RFR!AE36*(1%+VLOOKUP($B$27,Int_Rate_Param,2,FALSE))&lt;1%+EIOPA_RFR!AE36,1%+EIOPA_RFR!AE36,EIOPA_RFR!AE36*(1%+VLOOKUP($B$27,Int_Rate_Param,2,FALSE))),IF(EIOPA_RFR!AE36*(1%+VLOOKUP($B31,Int_Rate_Param,2,FALSE))&lt;1%+EIOPA_RFR!AE36,1%+EIOPA_RFR!AE36,EIOPA_RFR!AE36*(1%+VLOOKUP($B31,Int_Rate_Param,2,FALSE))))</f>
        <v>2.486E-2</v>
      </c>
      <c r="AF31" s="94">
        <f>IF($B31&gt;20,IF(EIOPA_RFR!AF36*(1%+VLOOKUP($B$27,Int_Rate_Param,2,FALSE))&lt;1%+EIOPA_RFR!AF36,1%+EIOPA_RFR!AF36,EIOPA_RFR!AF36*(1%+VLOOKUP($B$27,Int_Rate_Param,2,FALSE))),IF(EIOPA_RFR!AF36*(1%+VLOOKUP($B31,Int_Rate_Param,2,FALSE))&lt;1%+EIOPA_RFR!AF36,1%+EIOPA_RFR!AF36,EIOPA_RFR!AF36*(1%+VLOOKUP($B31,Int_Rate_Param,2,FALSE))))</f>
        <v>2.486E-2</v>
      </c>
      <c r="AG31" s="94">
        <f>IF($B31&gt;20,IF(EIOPA_RFR!AG36*(1%+VLOOKUP($B$27,Int_Rate_Param,2,FALSE))&lt;1%+EIOPA_RFR!AG36,1%+EIOPA_RFR!AG36,EIOPA_RFR!AG36*(1%+VLOOKUP($B$27,Int_Rate_Param,2,FALSE))),IF(EIOPA_RFR!AG36*(1%+VLOOKUP($B31,Int_Rate_Param,2,FALSE))&lt;1%+EIOPA_RFR!AG36,1%+EIOPA_RFR!AG36,EIOPA_RFR!AG36*(1%+VLOOKUP($B31,Int_Rate_Param,2,FALSE))))</f>
        <v>2.486E-2</v>
      </c>
      <c r="AH31" s="94">
        <f>IF($B31&gt;20,IF(EIOPA_RFR!AH36*(1%+VLOOKUP($B$27,Int_Rate_Param,2,FALSE))&lt;1%+EIOPA_RFR!AH36,1%+EIOPA_RFR!AH36,EIOPA_RFR!AH36*(1%+VLOOKUP($B$27,Int_Rate_Param,2,FALSE))),IF(EIOPA_RFR!AH36*(1%+VLOOKUP($B31,Int_Rate_Param,2,FALSE))&lt;1%+EIOPA_RFR!AH36,1%+EIOPA_RFR!AH36,EIOPA_RFR!AH36*(1%+VLOOKUP($B31,Int_Rate_Param,2,FALSE))))</f>
        <v>3.7240000000000002E-2</v>
      </c>
      <c r="AI31" s="94">
        <f>IF($B31&gt;20,IF(EIOPA_RFR!AI36*(1%+VLOOKUP($B$27,Int_Rate_Param,2,FALSE))&lt;1%+EIOPA_RFR!AI36,1%+EIOPA_RFR!AI36,EIOPA_RFR!AI36*(1%+VLOOKUP($B$27,Int_Rate_Param,2,FALSE))),IF(EIOPA_RFR!AI36*(1%+VLOOKUP($B31,Int_Rate_Param,2,FALSE))&lt;1%+EIOPA_RFR!AI36,1%+EIOPA_RFR!AI36,EIOPA_RFR!AI36*(1%+VLOOKUP($B31,Int_Rate_Param,2,FALSE))))</f>
        <v>1.465E-2</v>
      </c>
      <c r="AJ31" s="94">
        <f>IF($B31&gt;20,IF(EIOPA_RFR!AJ36*(1%+VLOOKUP($B$27,Int_Rate_Param,2,FALSE))&lt;1%+EIOPA_RFR!AJ36,1%+EIOPA_RFR!AJ36,EIOPA_RFR!AJ36*(1%+VLOOKUP($B$27,Int_Rate_Param,2,FALSE))),IF(EIOPA_RFR!AJ36*(1%+VLOOKUP($B31,Int_Rate_Param,2,FALSE))&lt;1%+EIOPA_RFR!AJ36,1%+EIOPA_RFR!AJ36,EIOPA_RFR!AJ36*(1%+VLOOKUP($B31,Int_Rate_Param,2,FALSE))))</f>
        <v>2.2890000000000001E-2</v>
      </c>
      <c r="AK31" s="94">
        <f>IF($B31&gt;20,IF(EIOPA_RFR!AK36*(1%+VLOOKUP($B$27,Int_Rate_Param,2,FALSE))&lt;1%+EIOPA_RFR!AK36,1%+EIOPA_RFR!AK36,EIOPA_RFR!AK36*(1%+VLOOKUP($B$27,Int_Rate_Param,2,FALSE))),IF(EIOPA_RFR!AK36*(1%+VLOOKUP($B31,Int_Rate_Param,2,FALSE))&lt;1%+EIOPA_RFR!AK36,1%+EIOPA_RFR!AK36,EIOPA_RFR!AK36*(1%+VLOOKUP($B31,Int_Rate_Param,2,FALSE))))</f>
        <v>4.3189999999999999E-2</v>
      </c>
      <c r="AL31" s="94">
        <f>IF($B31&gt;20,IF(EIOPA_RFR!AL36*(1%+VLOOKUP($B$27,Int_Rate_Param,2,FALSE))&lt;1%+EIOPA_RFR!AL36,1%+EIOPA_RFR!AL36,EIOPA_RFR!AL36*(1%+VLOOKUP($B$27,Int_Rate_Param,2,FALSE))),IF(EIOPA_RFR!AL36*(1%+VLOOKUP($B31,Int_Rate_Param,2,FALSE))&lt;1%+EIOPA_RFR!AL36,1%+EIOPA_RFR!AL36,EIOPA_RFR!AL36*(1%+VLOOKUP($B31,Int_Rate_Param,2,FALSE))))</f>
        <v>9.2299999999999993E-2</v>
      </c>
      <c r="AM31" s="94">
        <f>IF($B31&gt;20,IF(EIOPA_RFR!AM36*(1%+VLOOKUP($B$27,Int_Rate_Param,2,FALSE))&lt;1%+EIOPA_RFR!AM36,1%+EIOPA_RFR!AM36,EIOPA_RFR!AM36*(1%+VLOOKUP($B$27,Int_Rate_Param,2,FALSE))),IF(EIOPA_RFR!AM36*(1%+VLOOKUP($B31,Int_Rate_Param,2,FALSE))&lt;1%+EIOPA_RFR!AM36,1%+EIOPA_RFR!AM36,EIOPA_RFR!AM36*(1%+VLOOKUP($B31,Int_Rate_Param,2,FALSE))))</f>
        <v>3.2379999999999999E-2</v>
      </c>
      <c r="AN31" s="94">
        <f>IF($B31&gt;20,IF(EIOPA_RFR!AN36*(1%+VLOOKUP($B$27,Int_Rate_Param,2,FALSE))&lt;1%+EIOPA_RFR!AN36,1%+EIOPA_RFR!AN36,EIOPA_RFR!AN36*(1%+VLOOKUP($B$27,Int_Rate_Param,2,FALSE))),IF(EIOPA_RFR!AN36*(1%+VLOOKUP($B31,Int_Rate_Param,2,FALSE))&lt;1%+EIOPA_RFR!AN36,1%+EIOPA_RFR!AN36,EIOPA_RFR!AN36*(1%+VLOOKUP($B31,Int_Rate_Param,2,FALSE))))</f>
        <v>5.2380000000000003E-2</v>
      </c>
      <c r="AO31" s="94">
        <f>IF($B31&gt;20,IF(EIOPA_RFR!AO36*(1%+VLOOKUP($B$27,Int_Rate_Param,2,FALSE))&lt;1%+EIOPA_RFR!AO36,1%+EIOPA_RFR!AO36,EIOPA_RFR!AO36*(1%+VLOOKUP($B$27,Int_Rate_Param,2,FALSE))),IF(EIOPA_RFR!AO36*(1%+VLOOKUP($B31,Int_Rate_Param,2,FALSE))&lt;1%+EIOPA_RFR!AO36,1%+EIOPA_RFR!AO36,EIOPA_RFR!AO36*(1%+VLOOKUP($B31,Int_Rate_Param,2,FALSE))))</f>
        <v>5.4290000000000005E-2</v>
      </c>
      <c r="AP31" s="94">
        <f>IF($B31&gt;20,IF(EIOPA_RFR!AP36*(1%+VLOOKUP($B$27,Int_Rate_Param,2,FALSE))&lt;1%+EIOPA_RFR!AP36,1%+EIOPA_RFR!AP36,EIOPA_RFR!AP36*(1%+VLOOKUP($B$27,Int_Rate_Param,2,FALSE))),IF(EIOPA_RFR!AP36*(1%+VLOOKUP($B31,Int_Rate_Param,2,FALSE))&lt;1%+EIOPA_RFR!AP36,1%+EIOPA_RFR!AP36,EIOPA_RFR!AP36*(1%+VLOOKUP($B31,Int_Rate_Param,2,FALSE))))</f>
        <v>6.8839999999999998E-2</v>
      </c>
      <c r="AQ31" s="94">
        <f>IF($B31&gt;20,IF(EIOPA_RFR!AQ36*(1%+VLOOKUP($B$27,Int_Rate_Param,2,FALSE))&lt;1%+EIOPA_RFR!AQ36,1%+EIOPA_RFR!AQ36,EIOPA_RFR!AQ36*(1%+VLOOKUP($B$27,Int_Rate_Param,2,FALSE))),IF(EIOPA_RFR!AQ36*(1%+VLOOKUP($B31,Int_Rate_Param,2,FALSE))&lt;1%+EIOPA_RFR!AQ36,1%+EIOPA_RFR!AQ36,EIOPA_RFR!AQ36*(1%+VLOOKUP($B31,Int_Rate_Param,2,FALSE))))</f>
        <v>3.7940000000000002E-2</v>
      </c>
      <c r="AR31" s="94">
        <f>IF($B31&gt;20,IF(EIOPA_RFR!AR36*(1%+VLOOKUP($B$27,Int_Rate_Param,2,FALSE))&lt;1%+EIOPA_RFR!AR36,1%+EIOPA_RFR!AR36,EIOPA_RFR!AR36*(1%+VLOOKUP($B$27,Int_Rate_Param,2,FALSE))),IF(EIOPA_RFR!AR36*(1%+VLOOKUP($B31,Int_Rate_Param,2,FALSE))&lt;1%+EIOPA_RFR!AR36,1%+EIOPA_RFR!AR36,EIOPA_RFR!AR36*(1%+VLOOKUP($B31,Int_Rate_Param,2,FALSE))))</f>
        <v>7.5729999999999992E-2</v>
      </c>
      <c r="AS31" s="94">
        <f>IF($B31&gt;20,IF(EIOPA_RFR!AS36*(1%+VLOOKUP($B$27,Int_Rate_Param,2,FALSE))&lt;1%+EIOPA_RFR!AS36,1%+EIOPA_RFR!AS36,EIOPA_RFR!AS36*(1%+VLOOKUP($B$27,Int_Rate_Param,2,FALSE))),IF(EIOPA_RFR!AS36*(1%+VLOOKUP($B31,Int_Rate_Param,2,FALSE))&lt;1%+EIOPA_RFR!AS36,1%+EIOPA_RFR!AS36,EIOPA_RFR!AS36*(1%+VLOOKUP($B31,Int_Rate_Param,2,FALSE))))</f>
        <v>1.6910000000000001E-2</v>
      </c>
      <c r="AT31" s="94">
        <f>IF($B31&gt;20,IF(EIOPA_RFR!AT36*(1%+VLOOKUP($B$27,Int_Rate_Param,2,FALSE))&lt;1%+EIOPA_RFR!AT36,1%+EIOPA_RFR!AT36,EIOPA_RFR!AT36*(1%+VLOOKUP($B$27,Int_Rate_Param,2,FALSE))),IF(EIOPA_RFR!AT36*(1%+VLOOKUP($B31,Int_Rate_Param,2,FALSE))&lt;1%+EIOPA_RFR!AT36,1%+EIOPA_RFR!AT36,EIOPA_RFR!AT36*(1%+VLOOKUP($B31,Int_Rate_Param,2,FALSE))))</f>
        <v>5.3600000000000002E-2</v>
      </c>
      <c r="AU31" s="94">
        <f>IF($B31&gt;20,IF(EIOPA_RFR!AU36*(1%+VLOOKUP($B$27,Int_Rate_Param,2,FALSE))&lt;1%+EIOPA_RFR!AU36,1%+EIOPA_RFR!AU36,EIOPA_RFR!AU36*(1%+VLOOKUP($B$27,Int_Rate_Param,2,FALSE))),IF(EIOPA_RFR!AU36*(1%+VLOOKUP($B31,Int_Rate_Param,2,FALSE))&lt;1%+EIOPA_RFR!AU36,1%+EIOPA_RFR!AU36,EIOPA_RFR!AU36*(1%+VLOOKUP($B31,Int_Rate_Param,2,FALSE))))</f>
        <v>8.8589999999999988E-2</v>
      </c>
      <c r="AV31" s="94">
        <f>IF($B31&gt;20,IF(EIOPA_RFR!AV36*(1%+VLOOKUP($B$27,Int_Rate_Param,2,FALSE))&lt;1%+EIOPA_RFR!AV36,1%+EIOPA_RFR!AV36,EIOPA_RFR!AV36*(1%+VLOOKUP($B$27,Int_Rate_Param,2,FALSE))),IF(EIOPA_RFR!AV36*(1%+VLOOKUP($B31,Int_Rate_Param,2,FALSE))&lt;1%+EIOPA_RFR!AV36,1%+EIOPA_RFR!AV36,EIOPA_RFR!AV36*(1%+VLOOKUP($B31,Int_Rate_Param,2,FALSE))))</f>
        <v>5.0689999999999999E-2</v>
      </c>
      <c r="AW31" s="94">
        <f>IF($B31&gt;20,IF(EIOPA_RFR!AW36*(1%+VLOOKUP($B$27,Int_Rate_Param,2,FALSE))&lt;1%+EIOPA_RFR!AW36,1%+EIOPA_RFR!AW36,EIOPA_RFR!AW36*(1%+VLOOKUP($B$27,Int_Rate_Param,2,FALSE))),IF(EIOPA_RFR!AW36*(1%+VLOOKUP($B31,Int_Rate_Param,2,FALSE))&lt;1%+EIOPA_RFR!AW36,1%+EIOPA_RFR!AW36,EIOPA_RFR!AW36*(1%+VLOOKUP($B31,Int_Rate_Param,2,FALSE))))</f>
        <v>3.7990000000000003E-2</v>
      </c>
      <c r="AX31" s="94">
        <f>IF($B31&gt;20,IF(EIOPA_RFR!AX36*(1%+VLOOKUP($B$27,Int_Rate_Param,2,FALSE))&lt;1%+EIOPA_RFR!AX36,1%+EIOPA_RFR!AX36,EIOPA_RFR!AX36*(1%+VLOOKUP($B$27,Int_Rate_Param,2,FALSE))),IF(EIOPA_RFR!AX36*(1%+VLOOKUP($B31,Int_Rate_Param,2,FALSE))&lt;1%+EIOPA_RFR!AX36,1%+EIOPA_RFR!AX36,EIOPA_RFR!AX36*(1%+VLOOKUP($B31,Int_Rate_Param,2,FALSE))))</f>
        <v>8.9560000000000001E-2</v>
      </c>
      <c r="AY31" s="94">
        <f>IF($B31&gt;20,IF(EIOPA_RFR!AY36*(1%+VLOOKUP($B$27,Int_Rate_Param,2,FALSE))&lt;1%+EIOPA_RFR!AY36,1%+EIOPA_RFR!AY36,EIOPA_RFR!AY36*(1%+VLOOKUP($B$27,Int_Rate_Param,2,FALSE))),IF(EIOPA_RFR!AY36*(1%+VLOOKUP($B31,Int_Rate_Param,2,FALSE))&lt;1%+EIOPA_RFR!AY36,1%+EIOPA_RFR!AY36,EIOPA_RFR!AY36*(1%+VLOOKUP($B31,Int_Rate_Param,2,FALSE))))</f>
        <v>2.9859999999999998E-2</v>
      </c>
      <c r="AZ31" s="94">
        <f>IF($B31&gt;20,IF(EIOPA_RFR!AZ36*(1%+VLOOKUP($B$27,Int_Rate_Param,2,FALSE))&lt;1%+EIOPA_RFR!AZ36,1%+EIOPA_RFR!AZ36,EIOPA_RFR!AZ36*(1%+VLOOKUP($B$27,Int_Rate_Param,2,FALSE))),IF(EIOPA_RFR!AZ36*(1%+VLOOKUP($B31,Int_Rate_Param,2,FALSE))&lt;1%+EIOPA_RFR!AZ36,1%+EIOPA_RFR!AZ36,EIOPA_RFR!AZ36*(1%+VLOOKUP($B31,Int_Rate_Param,2,FALSE))))</f>
        <v>3.2079999999999997E-2</v>
      </c>
      <c r="BA31" s="94">
        <f>IF($B31&gt;20,IF(EIOPA_RFR!BA36*(1%+VLOOKUP($B$27,Int_Rate_Param,2,FALSE))&lt;1%+EIOPA_RFR!BA36,1%+EIOPA_RFR!BA36,EIOPA_RFR!BA36*(1%+VLOOKUP($B$27,Int_Rate_Param,2,FALSE))),IF(EIOPA_RFR!BA36*(1%+VLOOKUP($B31,Int_Rate_Param,2,FALSE))&lt;1%+EIOPA_RFR!BA36,1%+EIOPA_RFR!BA36,EIOPA_RFR!BA36*(1%+VLOOKUP($B31,Int_Rate_Param,2,FALSE))))</f>
        <v>4.1360000000000001E-2</v>
      </c>
      <c r="BB31" s="94">
        <f>IF($B31&gt;20,IF(EIOPA_RFR!BB36*(1%+VLOOKUP($B$27,Int_Rate_Param,2,FALSE))&lt;1%+EIOPA_RFR!BB36,1%+EIOPA_RFR!BB36,EIOPA_RFR!BB36*(1%+VLOOKUP($B$27,Int_Rate_Param,2,FALSE))),IF(EIOPA_RFR!BB36*(1%+VLOOKUP($B31,Int_Rate_Param,2,FALSE))&lt;1%+EIOPA_RFR!BB36,1%+EIOPA_RFR!BB36,EIOPA_RFR!BB36*(1%+VLOOKUP($B31,Int_Rate_Param,2,FALSE))))</f>
        <v>9.6079999999999999E-2</v>
      </c>
      <c r="BC31" s="94">
        <f>IF($B31&gt;20,IF(EIOPA_RFR!BC36*(1%+VLOOKUP($B$27,Int_Rate_Param,2,FALSE))&lt;1%+EIOPA_RFR!BC36,1%+EIOPA_RFR!BC36,EIOPA_RFR!BC36*(1%+VLOOKUP($B$27,Int_Rate_Param,2,FALSE))),IF(EIOPA_RFR!BC36*(1%+VLOOKUP($B31,Int_Rate_Param,2,FALSE))&lt;1%+EIOPA_RFR!BC36,1%+EIOPA_RFR!BC36,EIOPA_RFR!BC36*(1%+VLOOKUP($B31,Int_Rate_Param,2,FALSE))))</f>
        <v>3.5380000000000002E-2</v>
      </c>
    </row>
    <row r="32" spans="1:55" x14ac:dyDescent="0.25">
      <c r="A32">
        <f t="shared" si="0"/>
        <v>27</v>
      </c>
      <c r="B32" s="95">
        <v>25</v>
      </c>
      <c r="C32" s="94">
        <f>IF($B32&gt;20,IF(EIOPA_RFR!C37*(1%+VLOOKUP($B$27,Int_Rate_Param,2,FALSE))&lt;1%+EIOPA_RFR!C37,1%+EIOPA_RFR!C37,EIOPA_RFR!C37*(1%+VLOOKUP($B$27,Int_Rate_Param,2,FALSE))),IF(EIOPA_RFR!C37*(1%+VLOOKUP($B32,Int_Rate_Param,2,FALSE))&lt;1%+EIOPA_RFR!C37,1%+EIOPA_RFR!C37,EIOPA_RFR!C37*(1%+VLOOKUP($B32,Int_Rate_Param,2,FALSE))))</f>
        <v>2.5509999999999998E-2</v>
      </c>
      <c r="D32" s="94">
        <f>IF($B32&gt;20,IF(EIOPA_RFR!D37*(1%+VLOOKUP($B$27,Int_Rate_Param,2,FALSE))&lt;1%+EIOPA_RFR!D37,1%+EIOPA_RFR!D37,EIOPA_RFR!D37*(1%+VLOOKUP($B$27,Int_Rate_Param,2,FALSE))),IF(EIOPA_RFR!D37*(1%+VLOOKUP($B32,Int_Rate_Param,2,FALSE))&lt;1%+EIOPA_RFR!D37,1%+EIOPA_RFR!D37,EIOPA_RFR!D37*(1%+VLOOKUP($B32,Int_Rate_Param,2,FALSE))))</f>
        <v>2.5509999999999998E-2</v>
      </c>
      <c r="E32" s="94">
        <f>IF($B32&gt;20,IF(EIOPA_RFR!E37*(1%+VLOOKUP($B$27,Int_Rate_Param,2,FALSE))&lt;1%+EIOPA_RFR!E37,1%+EIOPA_RFR!E37,EIOPA_RFR!E37*(1%+VLOOKUP($B$27,Int_Rate_Param,2,FALSE))),IF(EIOPA_RFR!E37*(1%+VLOOKUP($B32,Int_Rate_Param,2,FALSE))&lt;1%+EIOPA_RFR!E37,1%+EIOPA_RFR!E37,EIOPA_RFR!E37*(1%+VLOOKUP($B32,Int_Rate_Param,2,FALSE))))</f>
        <v>2.5509999999999998E-2</v>
      </c>
      <c r="F32" s="94">
        <f>IF($B32&gt;20,IF(EIOPA_RFR!F37*(1%+VLOOKUP($B$27,Int_Rate_Param,2,FALSE))&lt;1%+EIOPA_RFR!F37,1%+EIOPA_RFR!F37,EIOPA_RFR!F37*(1%+VLOOKUP($B$27,Int_Rate_Param,2,FALSE))),IF(EIOPA_RFR!F37*(1%+VLOOKUP($B32,Int_Rate_Param,2,FALSE))&lt;1%+EIOPA_RFR!F37,1%+EIOPA_RFR!F37,EIOPA_RFR!F37*(1%+VLOOKUP($B32,Int_Rate_Param,2,FALSE))))</f>
        <v>2.504E-2</v>
      </c>
      <c r="G32" s="94">
        <f>IF($B32&gt;20,IF(EIOPA_RFR!G37*(1%+VLOOKUP($B$27,Int_Rate_Param,2,FALSE))&lt;1%+EIOPA_RFR!G37,1%+EIOPA_RFR!G37,EIOPA_RFR!G37*(1%+VLOOKUP($B$27,Int_Rate_Param,2,FALSE))),IF(EIOPA_RFR!G37*(1%+VLOOKUP($B32,Int_Rate_Param,2,FALSE))&lt;1%+EIOPA_RFR!G37,1%+EIOPA_RFR!G37,EIOPA_RFR!G37*(1%+VLOOKUP($B32,Int_Rate_Param,2,FALSE))))</f>
        <v>4.4880000000000003E-2</v>
      </c>
      <c r="H32" s="94">
        <f>IF($B32&gt;20,IF(EIOPA_RFR!H37*(1%+VLOOKUP($B$27,Int_Rate_Param,2,FALSE))&lt;1%+EIOPA_RFR!H37,1%+EIOPA_RFR!H37,EIOPA_RFR!H37*(1%+VLOOKUP($B$27,Int_Rate_Param,2,FALSE))),IF(EIOPA_RFR!H37*(1%+VLOOKUP($B32,Int_Rate_Param,2,FALSE))&lt;1%+EIOPA_RFR!H37,1%+EIOPA_RFR!H37,EIOPA_RFR!H37*(1%+VLOOKUP($B32,Int_Rate_Param,2,FALSE))))</f>
        <v>2.5509999999999998E-2</v>
      </c>
      <c r="I32" s="94">
        <f>IF($B32&gt;20,IF(EIOPA_RFR!I37*(1%+VLOOKUP($B$27,Int_Rate_Param,2,FALSE))&lt;1%+EIOPA_RFR!I37,1%+EIOPA_RFR!I37,EIOPA_RFR!I37*(1%+VLOOKUP($B$27,Int_Rate_Param,2,FALSE))),IF(EIOPA_RFR!I37*(1%+VLOOKUP($B32,Int_Rate_Param,2,FALSE))&lt;1%+EIOPA_RFR!I37,1%+EIOPA_RFR!I37,EIOPA_RFR!I37*(1%+VLOOKUP($B32,Int_Rate_Param,2,FALSE))))</f>
        <v>3.0129999999999997E-2</v>
      </c>
      <c r="J32" s="94">
        <f>IF($B32&gt;20,IF(EIOPA_RFR!J37*(1%+VLOOKUP($B$27,Int_Rate_Param,2,FALSE))&lt;1%+EIOPA_RFR!J37,1%+EIOPA_RFR!J37,EIOPA_RFR!J37*(1%+VLOOKUP($B$27,Int_Rate_Param,2,FALSE))),IF(EIOPA_RFR!J37*(1%+VLOOKUP($B32,Int_Rate_Param,2,FALSE))&lt;1%+EIOPA_RFR!J37,1%+EIOPA_RFR!J37,EIOPA_RFR!J37*(1%+VLOOKUP($B32,Int_Rate_Param,2,FALSE))))</f>
        <v>2.5419999999999998E-2</v>
      </c>
      <c r="K32" s="94">
        <f>IF($B32&gt;20,IF(EIOPA_RFR!K37*(1%+VLOOKUP($B$27,Int_Rate_Param,2,FALSE))&lt;1%+EIOPA_RFR!K37,1%+EIOPA_RFR!K37,EIOPA_RFR!K37*(1%+VLOOKUP($B$27,Int_Rate_Param,2,FALSE))),IF(EIOPA_RFR!K37*(1%+VLOOKUP($B32,Int_Rate_Param,2,FALSE))&lt;1%+EIOPA_RFR!K37,1%+EIOPA_RFR!K37,EIOPA_RFR!K37*(1%+VLOOKUP($B32,Int_Rate_Param,2,FALSE))))</f>
        <v>2.5509999999999998E-2</v>
      </c>
      <c r="L32" s="94">
        <f>IF($B32&gt;20,IF(EIOPA_RFR!L37*(1%+VLOOKUP($B$27,Int_Rate_Param,2,FALSE))&lt;1%+EIOPA_RFR!L37,1%+EIOPA_RFR!L37,EIOPA_RFR!L37*(1%+VLOOKUP($B$27,Int_Rate_Param,2,FALSE))),IF(EIOPA_RFR!L37*(1%+VLOOKUP($B32,Int_Rate_Param,2,FALSE))&lt;1%+EIOPA_RFR!L37,1%+EIOPA_RFR!L37,EIOPA_RFR!L37*(1%+VLOOKUP($B32,Int_Rate_Param,2,FALSE))))</f>
        <v>2.5509999999999998E-2</v>
      </c>
      <c r="M32" s="94">
        <f>IF($B32&gt;20,IF(EIOPA_RFR!M37*(1%+VLOOKUP($B$27,Int_Rate_Param,2,FALSE))&lt;1%+EIOPA_RFR!M37,1%+EIOPA_RFR!M37,EIOPA_RFR!M37*(1%+VLOOKUP($B$27,Int_Rate_Param,2,FALSE))),IF(EIOPA_RFR!M37*(1%+VLOOKUP($B32,Int_Rate_Param,2,FALSE))&lt;1%+EIOPA_RFR!M37,1%+EIOPA_RFR!M37,EIOPA_RFR!M37*(1%+VLOOKUP($B32,Int_Rate_Param,2,FALSE))))</f>
        <v>2.5509999999999998E-2</v>
      </c>
      <c r="N32" s="94">
        <f>IF($B32&gt;20,IF(EIOPA_RFR!N37*(1%+VLOOKUP($B$27,Int_Rate_Param,2,FALSE))&lt;1%+EIOPA_RFR!N37,1%+EIOPA_RFR!N37,EIOPA_RFR!N37*(1%+VLOOKUP($B$27,Int_Rate_Param,2,FALSE))),IF(EIOPA_RFR!N37*(1%+VLOOKUP($B32,Int_Rate_Param,2,FALSE))&lt;1%+EIOPA_RFR!N37,1%+EIOPA_RFR!N37,EIOPA_RFR!N37*(1%+VLOOKUP($B32,Int_Rate_Param,2,FALSE))))</f>
        <v>2.5509999999999998E-2</v>
      </c>
      <c r="O32" s="94">
        <f>IF($B32&gt;20,IF(EIOPA_RFR!O37*(1%+VLOOKUP($B$27,Int_Rate_Param,2,FALSE))&lt;1%+EIOPA_RFR!O37,1%+EIOPA_RFR!O37,EIOPA_RFR!O37*(1%+VLOOKUP($B$27,Int_Rate_Param,2,FALSE))),IF(EIOPA_RFR!O37*(1%+VLOOKUP($B32,Int_Rate_Param,2,FALSE))&lt;1%+EIOPA_RFR!O37,1%+EIOPA_RFR!O37,EIOPA_RFR!O37*(1%+VLOOKUP($B32,Int_Rate_Param,2,FALSE))))</f>
        <v>2.5509999999999998E-2</v>
      </c>
      <c r="P32" s="94">
        <f>IF($B32&gt;20,IF(EIOPA_RFR!P37*(1%+VLOOKUP($B$27,Int_Rate_Param,2,FALSE))&lt;1%+EIOPA_RFR!P37,1%+EIOPA_RFR!P37,EIOPA_RFR!P37*(1%+VLOOKUP($B$27,Int_Rate_Param,2,FALSE))),IF(EIOPA_RFR!P37*(1%+VLOOKUP($B32,Int_Rate_Param,2,FALSE))&lt;1%+EIOPA_RFR!P37,1%+EIOPA_RFR!P37,EIOPA_RFR!P37*(1%+VLOOKUP($B32,Int_Rate_Param,2,FALSE))))</f>
        <v>5.2970000000000003E-2</v>
      </c>
      <c r="Q32" s="94">
        <f>IF($B32&gt;20,IF(EIOPA_RFR!Q37*(1%+VLOOKUP($B$27,Int_Rate_Param,2,FALSE))&lt;1%+EIOPA_RFR!Q37,1%+EIOPA_RFR!Q37,EIOPA_RFR!Q37*(1%+VLOOKUP($B$27,Int_Rate_Param,2,FALSE))),IF(EIOPA_RFR!Q37*(1%+VLOOKUP($B32,Int_Rate_Param,2,FALSE))&lt;1%+EIOPA_RFR!Q37,1%+EIOPA_RFR!Q37,EIOPA_RFR!Q37*(1%+VLOOKUP($B32,Int_Rate_Param,2,FALSE))))</f>
        <v>5.5890000000000002E-2</v>
      </c>
      <c r="R32" s="94">
        <f>IF($B32&gt;20,IF(EIOPA_RFR!R37*(1%+VLOOKUP($B$27,Int_Rate_Param,2,FALSE))&lt;1%+EIOPA_RFR!R37,1%+EIOPA_RFR!R37,EIOPA_RFR!R37*(1%+VLOOKUP($B$27,Int_Rate_Param,2,FALSE))),IF(EIOPA_RFR!R37*(1%+VLOOKUP($B32,Int_Rate_Param,2,FALSE))&lt;1%+EIOPA_RFR!R37,1%+EIOPA_RFR!R37,EIOPA_RFR!R37*(1%+VLOOKUP($B32,Int_Rate_Param,2,FALSE))))</f>
        <v>2.5509999999999998E-2</v>
      </c>
      <c r="S32" s="94">
        <f>IF($B32&gt;20,IF(EIOPA_RFR!S37*(1%+VLOOKUP($B$27,Int_Rate_Param,2,FALSE))&lt;1%+EIOPA_RFR!S37,1%+EIOPA_RFR!S37,EIOPA_RFR!S37*(1%+VLOOKUP($B$27,Int_Rate_Param,2,FALSE))),IF(EIOPA_RFR!S37*(1%+VLOOKUP($B32,Int_Rate_Param,2,FALSE))&lt;1%+EIOPA_RFR!S37,1%+EIOPA_RFR!S37,EIOPA_RFR!S37*(1%+VLOOKUP($B32,Int_Rate_Param,2,FALSE))))</f>
        <v>2.5509999999999998E-2</v>
      </c>
      <c r="T32" s="94">
        <f>IF($B32&gt;20,IF(EIOPA_RFR!T37*(1%+VLOOKUP($B$27,Int_Rate_Param,2,FALSE))&lt;1%+EIOPA_RFR!T37,1%+EIOPA_RFR!T37,EIOPA_RFR!T37*(1%+VLOOKUP($B$27,Int_Rate_Param,2,FALSE))),IF(EIOPA_RFR!T37*(1%+VLOOKUP($B32,Int_Rate_Param,2,FALSE))&lt;1%+EIOPA_RFR!T37,1%+EIOPA_RFR!T37,EIOPA_RFR!T37*(1%+VLOOKUP($B32,Int_Rate_Param,2,FALSE))))</f>
        <v>2.5509999999999998E-2</v>
      </c>
      <c r="U32" s="94">
        <f>IF($B32&gt;20,IF(EIOPA_RFR!U37*(1%+VLOOKUP($B$27,Int_Rate_Param,2,FALSE))&lt;1%+EIOPA_RFR!U37,1%+EIOPA_RFR!U37,EIOPA_RFR!U37*(1%+VLOOKUP($B$27,Int_Rate_Param,2,FALSE))),IF(EIOPA_RFR!U37*(1%+VLOOKUP($B32,Int_Rate_Param,2,FALSE))&lt;1%+EIOPA_RFR!U37,1%+EIOPA_RFR!U37,EIOPA_RFR!U37*(1%+VLOOKUP($B32,Int_Rate_Param,2,FALSE))))</f>
        <v>1.489E-2</v>
      </c>
      <c r="V32" s="94">
        <f>IF($B32&gt;20,IF(EIOPA_RFR!V37*(1%+VLOOKUP($B$27,Int_Rate_Param,2,FALSE))&lt;1%+EIOPA_RFR!V37,1%+EIOPA_RFR!V37,EIOPA_RFR!V37*(1%+VLOOKUP($B$27,Int_Rate_Param,2,FALSE))),IF(EIOPA_RFR!V37*(1%+VLOOKUP($B32,Int_Rate_Param,2,FALSE))&lt;1%+EIOPA_RFR!V37,1%+EIOPA_RFR!V37,EIOPA_RFR!V37*(1%+VLOOKUP($B32,Int_Rate_Param,2,FALSE))))</f>
        <v>2.5509999999999998E-2</v>
      </c>
      <c r="W32" s="94">
        <f>IF($B32&gt;20,IF(EIOPA_RFR!W37*(1%+VLOOKUP($B$27,Int_Rate_Param,2,FALSE))&lt;1%+EIOPA_RFR!W37,1%+EIOPA_RFR!W37,EIOPA_RFR!W37*(1%+VLOOKUP($B$27,Int_Rate_Param,2,FALSE))),IF(EIOPA_RFR!W37*(1%+VLOOKUP($B32,Int_Rate_Param,2,FALSE))&lt;1%+EIOPA_RFR!W37,1%+EIOPA_RFR!W37,EIOPA_RFR!W37*(1%+VLOOKUP($B32,Int_Rate_Param,2,FALSE))))</f>
        <v>2.5509999999999998E-2</v>
      </c>
      <c r="X32" s="94">
        <f>IF($B32&gt;20,IF(EIOPA_RFR!X37*(1%+VLOOKUP($B$27,Int_Rate_Param,2,FALSE))&lt;1%+EIOPA_RFR!X37,1%+EIOPA_RFR!X37,EIOPA_RFR!X37*(1%+VLOOKUP($B$27,Int_Rate_Param,2,FALSE))),IF(EIOPA_RFR!X37*(1%+VLOOKUP($B32,Int_Rate_Param,2,FALSE))&lt;1%+EIOPA_RFR!X37,1%+EIOPA_RFR!X37,EIOPA_RFR!X37*(1%+VLOOKUP($B32,Int_Rate_Param,2,FALSE))))</f>
        <v>2.5509999999999998E-2</v>
      </c>
      <c r="Y32" s="94">
        <f>IF($B32&gt;20,IF(EIOPA_RFR!Y37*(1%+VLOOKUP($B$27,Int_Rate_Param,2,FALSE))&lt;1%+EIOPA_RFR!Y37,1%+EIOPA_RFR!Y37,EIOPA_RFR!Y37*(1%+VLOOKUP($B$27,Int_Rate_Param,2,FALSE))),IF(EIOPA_RFR!Y37*(1%+VLOOKUP($B32,Int_Rate_Param,2,FALSE))&lt;1%+EIOPA_RFR!Y37,1%+EIOPA_RFR!Y37,EIOPA_RFR!Y37*(1%+VLOOKUP($B32,Int_Rate_Param,2,FALSE))))</f>
        <v>2.5509999999999998E-2</v>
      </c>
      <c r="Z32" s="94">
        <f>IF($B32&gt;20,IF(EIOPA_RFR!Z37*(1%+VLOOKUP($B$27,Int_Rate_Param,2,FALSE))&lt;1%+EIOPA_RFR!Z37,1%+EIOPA_RFR!Z37,EIOPA_RFR!Z37*(1%+VLOOKUP($B$27,Int_Rate_Param,2,FALSE))),IF(EIOPA_RFR!Z37*(1%+VLOOKUP($B32,Int_Rate_Param,2,FALSE))&lt;1%+EIOPA_RFR!Z37,1%+EIOPA_RFR!Z37,EIOPA_RFR!Z37*(1%+VLOOKUP($B32,Int_Rate_Param,2,FALSE))))</f>
        <v>3.7510000000000002E-2</v>
      </c>
      <c r="AA32" s="94">
        <f>IF($B32&gt;20,IF(EIOPA_RFR!AA37*(1%+VLOOKUP($B$27,Int_Rate_Param,2,FALSE))&lt;1%+EIOPA_RFR!AA37,1%+EIOPA_RFR!AA37,EIOPA_RFR!AA37*(1%+VLOOKUP($B$27,Int_Rate_Param,2,FALSE))),IF(EIOPA_RFR!AA37*(1%+VLOOKUP($B32,Int_Rate_Param,2,FALSE))&lt;1%+EIOPA_RFR!AA37,1%+EIOPA_RFR!AA37,EIOPA_RFR!AA37*(1%+VLOOKUP($B32,Int_Rate_Param,2,FALSE))))</f>
        <v>4.965E-2</v>
      </c>
      <c r="AB32" s="94">
        <f>IF($B32&gt;20,IF(EIOPA_RFR!AB37*(1%+VLOOKUP($B$27,Int_Rate_Param,2,FALSE))&lt;1%+EIOPA_RFR!AB37,1%+EIOPA_RFR!AB37,EIOPA_RFR!AB37*(1%+VLOOKUP($B$27,Int_Rate_Param,2,FALSE))),IF(EIOPA_RFR!AB37*(1%+VLOOKUP($B32,Int_Rate_Param,2,FALSE))&lt;1%+EIOPA_RFR!AB37,1%+EIOPA_RFR!AB37,EIOPA_RFR!AB37*(1%+VLOOKUP($B32,Int_Rate_Param,2,FALSE))))</f>
        <v>2.5509999999999998E-2</v>
      </c>
      <c r="AC32" s="94">
        <f>IF($B32&gt;20,IF(EIOPA_RFR!AC37*(1%+VLOOKUP($B$27,Int_Rate_Param,2,FALSE))&lt;1%+EIOPA_RFR!AC37,1%+EIOPA_RFR!AC37,EIOPA_RFR!AC37*(1%+VLOOKUP($B$27,Int_Rate_Param,2,FALSE))),IF(EIOPA_RFR!AC37*(1%+VLOOKUP($B32,Int_Rate_Param,2,FALSE))&lt;1%+EIOPA_RFR!AC37,1%+EIOPA_RFR!AC37,EIOPA_RFR!AC37*(1%+VLOOKUP($B32,Int_Rate_Param,2,FALSE))))</f>
        <v>5.3920000000000003E-2</v>
      </c>
      <c r="AD32" s="94">
        <f>IF($B32&gt;20,IF(EIOPA_RFR!AD37*(1%+VLOOKUP($B$27,Int_Rate_Param,2,FALSE))&lt;1%+EIOPA_RFR!AD37,1%+EIOPA_RFR!AD37,EIOPA_RFR!AD37*(1%+VLOOKUP($B$27,Int_Rate_Param,2,FALSE))),IF(EIOPA_RFR!AD37*(1%+VLOOKUP($B32,Int_Rate_Param,2,FALSE))&lt;1%+EIOPA_RFR!AD37,1%+EIOPA_RFR!AD37,EIOPA_RFR!AD37*(1%+VLOOKUP($B32,Int_Rate_Param,2,FALSE))))</f>
        <v>7.3859999999999995E-2</v>
      </c>
      <c r="AE32" s="94">
        <f>IF($B32&gt;20,IF(EIOPA_RFR!AE37*(1%+VLOOKUP($B$27,Int_Rate_Param,2,FALSE))&lt;1%+EIOPA_RFR!AE37,1%+EIOPA_RFR!AE37,EIOPA_RFR!AE37*(1%+VLOOKUP($B$27,Int_Rate_Param,2,FALSE))),IF(EIOPA_RFR!AE37*(1%+VLOOKUP($B32,Int_Rate_Param,2,FALSE))&lt;1%+EIOPA_RFR!AE37,1%+EIOPA_RFR!AE37,EIOPA_RFR!AE37*(1%+VLOOKUP($B32,Int_Rate_Param,2,FALSE))))</f>
        <v>2.5509999999999998E-2</v>
      </c>
      <c r="AF32" s="94">
        <f>IF($B32&gt;20,IF(EIOPA_RFR!AF37*(1%+VLOOKUP($B$27,Int_Rate_Param,2,FALSE))&lt;1%+EIOPA_RFR!AF37,1%+EIOPA_RFR!AF37,EIOPA_RFR!AF37*(1%+VLOOKUP($B$27,Int_Rate_Param,2,FALSE))),IF(EIOPA_RFR!AF37*(1%+VLOOKUP($B32,Int_Rate_Param,2,FALSE))&lt;1%+EIOPA_RFR!AF37,1%+EIOPA_RFR!AF37,EIOPA_RFR!AF37*(1%+VLOOKUP($B32,Int_Rate_Param,2,FALSE))))</f>
        <v>2.5509999999999998E-2</v>
      </c>
      <c r="AG32" s="94">
        <f>IF($B32&gt;20,IF(EIOPA_RFR!AG37*(1%+VLOOKUP($B$27,Int_Rate_Param,2,FALSE))&lt;1%+EIOPA_RFR!AG37,1%+EIOPA_RFR!AG37,EIOPA_RFR!AG37*(1%+VLOOKUP($B$27,Int_Rate_Param,2,FALSE))),IF(EIOPA_RFR!AG37*(1%+VLOOKUP($B32,Int_Rate_Param,2,FALSE))&lt;1%+EIOPA_RFR!AG37,1%+EIOPA_RFR!AG37,EIOPA_RFR!AG37*(1%+VLOOKUP($B32,Int_Rate_Param,2,FALSE))))</f>
        <v>2.5509999999999998E-2</v>
      </c>
      <c r="AH32" s="94">
        <f>IF($B32&gt;20,IF(EIOPA_RFR!AH37*(1%+VLOOKUP($B$27,Int_Rate_Param,2,FALSE))&lt;1%+EIOPA_RFR!AH37,1%+EIOPA_RFR!AH37,EIOPA_RFR!AH37*(1%+VLOOKUP($B$27,Int_Rate_Param,2,FALSE))),IF(EIOPA_RFR!AH37*(1%+VLOOKUP($B32,Int_Rate_Param,2,FALSE))&lt;1%+EIOPA_RFR!AH37,1%+EIOPA_RFR!AH37,EIOPA_RFR!AH37*(1%+VLOOKUP($B32,Int_Rate_Param,2,FALSE))))</f>
        <v>3.7830000000000003E-2</v>
      </c>
      <c r="AI32" s="94">
        <f>IF($B32&gt;20,IF(EIOPA_RFR!AI37*(1%+VLOOKUP($B$27,Int_Rate_Param,2,FALSE))&lt;1%+EIOPA_RFR!AI37,1%+EIOPA_RFR!AI37,EIOPA_RFR!AI37*(1%+VLOOKUP($B$27,Int_Rate_Param,2,FALSE))),IF(EIOPA_RFR!AI37*(1%+VLOOKUP($B32,Int_Rate_Param,2,FALSE))&lt;1%+EIOPA_RFR!AI37,1%+EIOPA_RFR!AI37,EIOPA_RFR!AI37*(1%+VLOOKUP($B32,Int_Rate_Param,2,FALSE))))</f>
        <v>1.489E-2</v>
      </c>
      <c r="AJ32" s="94">
        <f>IF($B32&gt;20,IF(EIOPA_RFR!AJ37*(1%+VLOOKUP($B$27,Int_Rate_Param,2,FALSE))&lt;1%+EIOPA_RFR!AJ37,1%+EIOPA_RFR!AJ37,EIOPA_RFR!AJ37*(1%+VLOOKUP($B$27,Int_Rate_Param,2,FALSE))),IF(EIOPA_RFR!AJ37*(1%+VLOOKUP($B32,Int_Rate_Param,2,FALSE))&lt;1%+EIOPA_RFR!AJ37,1%+EIOPA_RFR!AJ37,EIOPA_RFR!AJ37*(1%+VLOOKUP($B32,Int_Rate_Param,2,FALSE))))</f>
        <v>2.2859999999999998E-2</v>
      </c>
      <c r="AK32" s="94">
        <f>IF($B32&gt;20,IF(EIOPA_RFR!AK37*(1%+VLOOKUP($B$27,Int_Rate_Param,2,FALSE))&lt;1%+EIOPA_RFR!AK37,1%+EIOPA_RFR!AK37,EIOPA_RFR!AK37*(1%+VLOOKUP($B$27,Int_Rate_Param,2,FALSE))),IF(EIOPA_RFR!AK37*(1%+VLOOKUP($B32,Int_Rate_Param,2,FALSE))&lt;1%+EIOPA_RFR!AK37,1%+EIOPA_RFR!AK37,EIOPA_RFR!AK37*(1%+VLOOKUP($B32,Int_Rate_Param,2,FALSE))))</f>
        <v>4.3270000000000003E-2</v>
      </c>
      <c r="AL32" s="94">
        <f>IF($B32&gt;20,IF(EIOPA_RFR!AL37*(1%+VLOOKUP($B$27,Int_Rate_Param,2,FALSE))&lt;1%+EIOPA_RFR!AL37,1%+EIOPA_RFR!AL37,EIOPA_RFR!AL37*(1%+VLOOKUP($B$27,Int_Rate_Param,2,FALSE))),IF(EIOPA_RFR!AL37*(1%+VLOOKUP($B32,Int_Rate_Param,2,FALSE))&lt;1%+EIOPA_RFR!AL37,1%+EIOPA_RFR!AL37,EIOPA_RFR!AL37*(1%+VLOOKUP($B32,Int_Rate_Param,2,FALSE))))</f>
        <v>9.1429999999999997E-2</v>
      </c>
      <c r="AM32" s="94">
        <f>IF($B32&gt;20,IF(EIOPA_RFR!AM37*(1%+VLOOKUP($B$27,Int_Rate_Param,2,FALSE))&lt;1%+EIOPA_RFR!AM37,1%+EIOPA_RFR!AM37,EIOPA_RFR!AM37*(1%+VLOOKUP($B$27,Int_Rate_Param,2,FALSE))),IF(EIOPA_RFR!AM37*(1%+VLOOKUP($B32,Int_Rate_Param,2,FALSE))&lt;1%+EIOPA_RFR!AM37,1%+EIOPA_RFR!AM37,EIOPA_RFR!AM37*(1%+VLOOKUP($B32,Int_Rate_Param,2,FALSE))))</f>
        <v>3.227E-2</v>
      </c>
      <c r="AN32" s="94">
        <f>IF($B32&gt;20,IF(EIOPA_RFR!AN37*(1%+VLOOKUP($B$27,Int_Rate_Param,2,FALSE))&lt;1%+EIOPA_RFR!AN37,1%+EIOPA_RFR!AN37,EIOPA_RFR!AN37*(1%+VLOOKUP($B$27,Int_Rate_Param,2,FALSE))),IF(EIOPA_RFR!AN37*(1%+VLOOKUP($B32,Int_Rate_Param,2,FALSE))&lt;1%+EIOPA_RFR!AN37,1%+EIOPA_RFR!AN37,EIOPA_RFR!AN37*(1%+VLOOKUP($B32,Int_Rate_Param,2,FALSE))))</f>
        <v>5.2420000000000001E-2</v>
      </c>
      <c r="AO32" s="94">
        <f>IF($B32&gt;20,IF(EIOPA_RFR!AO37*(1%+VLOOKUP($B$27,Int_Rate_Param,2,FALSE))&lt;1%+EIOPA_RFR!AO37,1%+EIOPA_RFR!AO37,EIOPA_RFR!AO37*(1%+VLOOKUP($B$27,Int_Rate_Param,2,FALSE))),IF(EIOPA_RFR!AO37*(1%+VLOOKUP($B32,Int_Rate_Param,2,FALSE))&lt;1%+EIOPA_RFR!AO37,1%+EIOPA_RFR!AO37,EIOPA_RFR!AO37*(1%+VLOOKUP($B32,Int_Rate_Param,2,FALSE))))</f>
        <v>5.4280000000000002E-2</v>
      </c>
      <c r="AP32" s="94">
        <f>IF($B32&gt;20,IF(EIOPA_RFR!AP37*(1%+VLOOKUP($B$27,Int_Rate_Param,2,FALSE))&lt;1%+EIOPA_RFR!AP37,1%+EIOPA_RFR!AP37,EIOPA_RFR!AP37*(1%+VLOOKUP($B$27,Int_Rate_Param,2,FALSE))),IF(EIOPA_RFR!AP37*(1%+VLOOKUP($B32,Int_Rate_Param,2,FALSE))&lt;1%+EIOPA_RFR!AP37,1%+EIOPA_RFR!AP37,EIOPA_RFR!AP37*(1%+VLOOKUP($B32,Int_Rate_Param,2,FALSE))))</f>
        <v>6.8400000000000002E-2</v>
      </c>
      <c r="AQ32" s="94">
        <f>IF($B32&gt;20,IF(EIOPA_RFR!AQ37*(1%+VLOOKUP($B$27,Int_Rate_Param,2,FALSE))&lt;1%+EIOPA_RFR!AQ37,1%+EIOPA_RFR!AQ37,EIOPA_RFR!AQ37*(1%+VLOOKUP($B$27,Int_Rate_Param,2,FALSE))),IF(EIOPA_RFR!AQ37*(1%+VLOOKUP($B32,Int_Rate_Param,2,FALSE))&lt;1%+EIOPA_RFR!AQ37,1%+EIOPA_RFR!AQ37,EIOPA_RFR!AQ37*(1%+VLOOKUP($B32,Int_Rate_Param,2,FALSE))))</f>
        <v>3.8330000000000003E-2</v>
      </c>
      <c r="AR32" s="94">
        <f>IF($B32&gt;20,IF(EIOPA_RFR!AR37*(1%+VLOOKUP($B$27,Int_Rate_Param,2,FALSE))&lt;1%+EIOPA_RFR!AR37,1%+EIOPA_RFR!AR37,EIOPA_RFR!AR37*(1%+VLOOKUP($B$27,Int_Rate_Param,2,FALSE))),IF(EIOPA_RFR!AR37*(1%+VLOOKUP($B32,Int_Rate_Param,2,FALSE))&lt;1%+EIOPA_RFR!AR37,1%+EIOPA_RFR!AR37,EIOPA_RFR!AR37*(1%+VLOOKUP($B32,Int_Rate_Param,2,FALSE))))</f>
        <v>7.5389999999999999E-2</v>
      </c>
      <c r="AS32" s="94">
        <f>IF($B32&gt;20,IF(EIOPA_RFR!AS37*(1%+VLOOKUP($B$27,Int_Rate_Param,2,FALSE))&lt;1%+EIOPA_RFR!AS37,1%+EIOPA_RFR!AS37,EIOPA_RFR!AS37*(1%+VLOOKUP($B$27,Int_Rate_Param,2,FALSE))),IF(EIOPA_RFR!AS37*(1%+VLOOKUP($B32,Int_Rate_Param,2,FALSE))&lt;1%+EIOPA_RFR!AS37,1%+EIOPA_RFR!AS37,EIOPA_RFR!AS37*(1%+VLOOKUP($B32,Int_Rate_Param,2,FALSE))))</f>
        <v>1.704E-2</v>
      </c>
      <c r="AT32" s="94">
        <f>IF($B32&gt;20,IF(EIOPA_RFR!AT37*(1%+VLOOKUP($B$27,Int_Rate_Param,2,FALSE))&lt;1%+EIOPA_RFR!AT37,1%+EIOPA_RFR!AT37,EIOPA_RFR!AT37*(1%+VLOOKUP($B$27,Int_Rate_Param,2,FALSE))),IF(EIOPA_RFR!AT37*(1%+VLOOKUP($B32,Int_Rate_Param,2,FALSE))&lt;1%+EIOPA_RFR!AT37,1%+EIOPA_RFR!AT37,EIOPA_RFR!AT37*(1%+VLOOKUP($B32,Int_Rate_Param,2,FALSE))))</f>
        <v>5.3610000000000005E-2</v>
      </c>
      <c r="AU32" s="94">
        <f>IF($B32&gt;20,IF(EIOPA_RFR!AU37*(1%+VLOOKUP($B$27,Int_Rate_Param,2,FALSE))&lt;1%+EIOPA_RFR!AU37,1%+EIOPA_RFR!AU37,EIOPA_RFR!AU37*(1%+VLOOKUP($B$27,Int_Rate_Param,2,FALSE))),IF(EIOPA_RFR!AU37*(1%+VLOOKUP($B32,Int_Rate_Param,2,FALSE))&lt;1%+EIOPA_RFR!AU37,1%+EIOPA_RFR!AU37,EIOPA_RFR!AU37*(1%+VLOOKUP($B32,Int_Rate_Param,2,FALSE))))</f>
        <v>8.8179999999999994E-2</v>
      </c>
      <c r="AV32" s="94">
        <f>IF($B32&gt;20,IF(EIOPA_RFR!AV37*(1%+VLOOKUP($B$27,Int_Rate_Param,2,FALSE))&lt;1%+EIOPA_RFR!AV37,1%+EIOPA_RFR!AV37,EIOPA_RFR!AV37*(1%+VLOOKUP($B$27,Int_Rate_Param,2,FALSE))),IF(EIOPA_RFR!AV37*(1%+VLOOKUP($B32,Int_Rate_Param,2,FALSE))&lt;1%+EIOPA_RFR!AV37,1%+EIOPA_RFR!AV37,EIOPA_RFR!AV37*(1%+VLOOKUP($B32,Int_Rate_Param,2,FALSE))))</f>
        <v>5.0880000000000002E-2</v>
      </c>
      <c r="AW32" s="94">
        <f>IF($B32&gt;20,IF(EIOPA_RFR!AW37*(1%+VLOOKUP($B$27,Int_Rate_Param,2,FALSE))&lt;1%+EIOPA_RFR!AW37,1%+EIOPA_RFR!AW37,EIOPA_RFR!AW37*(1%+VLOOKUP($B$27,Int_Rate_Param,2,FALSE))),IF(EIOPA_RFR!AW37*(1%+VLOOKUP($B32,Int_Rate_Param,2,FALSE))&lt;1%+EIOPA_RFR!AW37,1%+EIOPA_RFR!AW37,EIOPA_RFR!AW37*(1%+VLOOKUP($B32,Int_Rate_Param,2,FALSE))))</f>
        <v>3.8309999999999997E-2</v>
      </c>
      <c r="AX32" s="94">
        <f>IF($B32&gt;20,IF(EIOPA_RFR!AX37*(1%+VLOOKUP($B$27,Int_Rate_Param,2,FALSE))&lt;1%+EIOPA_RFR!AX37,1%+EIOPA_RFR!AX37,EIOPA_RFR!AX37*(1%+VLOOKUP($B$27,Int_Rate_Param,2,FALSE))),IF(EIOPA_RFR!AX37*(1%+VLOOKUP($B32,Int_Rate_Param,2,FALSE))&lt;1%+EIOPA_RFR!AX37,1%+EIOPA_RFR!AX37,EIOPA_RFR!AX37*(1%+VLOOKUP($B32,Int_Rate_Param,2,FALSE))))</f>
        <v>8.8869999999999991E-2</v>
      </c>
      <c r="AY32" s="94">
        <f>IF($B32&gt;20,IF(EIOPA_RFR!AY37*(1%+VLOOKUP($B$27,Int_Rate_Param,2,FALSE))&lt;1%+EIOPA_RFR!AY37,1%+EIOPA_RFR!AY37,EIOPA_RFR!AY37*(1%+VLOOKUP($B$27,Int_Rate_Param,2,FALSE))),IF(EIOPA_RFR!AY37*(1%+VLOOKUP($B32,Int_Rate_Param,2,FALSE))&lt;1%+EIOPA_RFR!AY37,1%+EIOPA_RFR!AY37,EIOPA_RFR!AY37*(1%+VLOOKUP($B32,Int_Rate_Param,2,FALSE))))</f>
        <v>3.0339999999999999E-2</v>
      </c>
      <c r="AZ32" s="94">
        <f>IF($B32&gt;20,IF(EIOPA_RFR!AZ37*(1%+VLOOKUP($B$27,Int_Rate_Param,2,FALSE))&lt;1%+EIOPA_RFR!AZ37,1%+EIOPA_RFR!AZ37,EIOPA_RFR!AZ37*(1%+VLOOKUP($B$27,Int_Rate_Param,2,FALSE))),IF(EIOPA_RFR!AZ37*(1%+VLOOKUP($B32,Int_Rate_Param,2,FALSE))&lt;1%+EIOPA_RFR!AZ37,1%+EIOPA_RFR!AZ37,EIOPA_RFR!AZ37*(1%+VLOOKUP($B32,Int_Rate_Param,2,FALSE))))</f>
        <v>3.2689999999999997E-2</v>
      </c>
      <c r="BA32" s="94">
        <f>IF($B32&gt;20,IF(EIOPA_RFR!BA37*(1%+VLOOKUP($B$27,Int_Rate_Param,2,FALSE))&lt;1%+EIOPA_RFR!BA37,1%+EIOPA_RFR!BA37,EIOPA_RFR!BA37*(1%+VLOOKUP($B$27,Int_Rate_Param,2,FALSE))),IF(EIOPA_RFR!BA37*(1%+VLOOKUP($B32,Int_Rate_Param,2,FALSE))&lt;1%+EIOPA_RFR!BA37,1%+EIOPA_RFR!BA37,EIOPA_RFR!BA37*(1%+VLOOKUP($B32,Int_Rate_Param,2,FALSE))))</f>
        <v>4.1669999999999999E-2</v>
      </c>
      <c r="BB32" s="94">
        <f>IF($B32&gt;20,IF(EIOPA_RFR!BB37*(1%+VLOOKUP($B$27,Int_Rate_Param,2,FALSE))&lt;1%+EIOPA_RFR!BB37,1%+EIOPA_RFR!BB37,EIOPA_RFR!BB37*(1%+VLOOKUP($B$27,Int_Rate_Param,2,FALSE))),IF(EIOPA_RFR!BB37*(1%+VLOOKUP($B32,Int_Rate_Param,2,FALSE))&lt;1%+EIOPA_RFR!BB37,1%+EIOPA_RFR!BB37,EIOPA_RFR!BB37*(1%+VLOOKUP($B32,Int_Rate_Param,2,FALSE))))</f>
        <v>9.5029999999999989E-2</v>
      </c>
      <c r="BC32" s="94">
        <f>IF($B32&gt;20,IF(EIOPA_RFR!BC37*(1%+VLOOKUP($B$27,Int_Rate_Param,2,FALSE))&lt;1%+EIOPA_RFR!BC37,1%+EIOPA_RFR!BC37,EIOPA_RFR!BC37*(1%+VLOOKUP($B$27,Int_Rate_Param,2,FALSE))),IF(EIOPA_RFR!BC37*(1%+VLOOKUP($B32,Int_Rate_Param,2,FALSE))&lt;1%+EIOPA_RFR!BC37,1%+EIOPA_RFR!BC37,EIOPA_RFR!BC37*(1%+VLOOKUP($B32,Int_Rate_Param,2,FALSE))))</f>
        <v>3.5389999999999998E-2</v>
      </c>
    </row>
    <row r="33" spans="1:55" x14ac:dyDescent="0.25">
      <c r="A33">
        <f t="shared" si="0"/>
        <v>28</v>
      </c>
      <c r="B33" s="95">
        <v>26</v>
      </c>
      <c r="C33" s="94">
        <f>IF($B33&gt;20,IF(EIOPA_RFR!C38*(1%+VLOOKUP($B$27,Int_Rate_Param,2,FALSE))&lt;1%+EIOPA_RFR!C38,1%+EIOPA_RFR!C38,EIOPA_RFR!C38*(1%+VLOOKUP($B$27,Int_Rate_Param,2,FALSE))),IF(EIOPA_RFR!C38*(1%+VLOOKUP($B33,Int_Rate_Param,2,FALSE))&lt;1%+EIOPA_RFR!C38,1%+EIOPA_RFR!C38,EIOPA_RFR!C38*(1%+VLOOKUP($B33,Int_Rate_Param,2,FALSE))))</f>
        <v>2.6160000000000003E-2</v>
      </c>
      <c r="D33" s="94">
        <f>IF($B33&gt;20,IF(EIOPA_RFR!D38*(1%+VLOOKUP($B$27,Int_Rate_Param,2,FALSE))&lt;1%+EIOPA_RFR!D38,1%+EIOPA_RFR!D38,EIOPA_RFR!D38*(1%+VLOOKUP($B$27,Int_Rate_Param,2,FALSE))),IF(EIOPA_RFR!D38*(1%+VLOOKUP($B33,Int_Rate_Param,2,FALSE))&lt;1%+EIOPA_RFR!D38,1%+EIOPA_RFR!D38,EIOPA_RFR!D38*(1%+VLOOKUP($B33,Int_Rate_Param,2,FALSE))))</f>
        <v>2.6160000000000003E-2</v>
      </c>
      <c r="E33" s="94">
        <f>IF($B33&gt;20,IF(EIOPA_RFR!E38*(1%+VLOOKUP($B$27,Int_Rate_Param,2,FALSE))&lt;1%+EIOPA_RFR!E38,1%+EIOPA_RFR!E38,EIOPA_RFR!E38*(1%+VLOOKUP($B$27,Int_Rate_Param,2,FALSE))),IF(EIOPA_RFR!E38*(1%+VLOOKUP($B33,Int_Rate_Param,2,FALSE))&lt;1%+EIOPA_RFR!E38,1%+EIOPA_RFR!E38,EIOPA_RFR!E38*(1%+VLOOKUP($B33,Int_Rate_Param,2,FALSE))))</f>
        <v>2.6160000000000003E-2</v>
      </c>
      <c r="F33" s="94">
        <f>IF($B33&gt;20,IF(EIOPA_RFR!F38*(1%+VLOOKUP($B$27,Int_Rate_Param,2,FALSE))&lt;1%+EIOPA_RFR!F38,1%+EIOPA_RFR!F38,EIOPA_RFR!F38*(1%+VLOOKUP($B$27,Int_Rate_Param,2,FALSE))),IF(EIOPA_RFR!F38*(1%+VLOOKUP($B33,Int_Rate_Param,2,FALSE))&lt;1%+EIOPA_RFR!F38,1%+EIOPA_RFR!F38,EIOPA_RFR!F38*(1%+VLOOKUP($B33,Int_Rate_Param,2,FALSE))))</f>
        <v>2.5709999999999997E-2</v>
      </c>
      <c r="G33" s="94">
        <f>IF($B33&gt;20,IF(EIOPA_RFR!G38*(1%+VLOOKUP($B$27,Int_Rate_Param,2,FALSE))&lt;1%+EIOPA_RFR!G38,1%+EIOPA_RFR!G38,EIOPA_RFR!G38*(1%+VLOOKUP($B$27,Int_Rate_Param,2,FALSE))),IF(EIOPA_RFR!G38*(1%+VLOOKUP($B33,Int_Rate_Param,2,FALSE))&lt;1%+EIOPA_RFR!G38,1%+EIOPA_RFR!G38,EIOPA_RFR!G38*(1%+VLOOKUP($B33,Int_Rate_Param,2,FALSE))))</f>
        <v>4.5090000000000005E-2</v>
      </c>
      <c r="H33" s="94">
        <f>IF($B33&gt;20,IF(EIOPA_RFR!H38*(1%+VLOOKUP($B$27,Int_Rate_Param,2,FALSE))&lt;1%+EIOPA_RFR!H38,1%+EIOPA_RFR!H38,EIOPA_RFR!H38*(1%+VLOOKUP($B$27,Int_Rate_Param,2,FALSE))),IF(EIOPA_RFR!H38*(1%+VLOOKUP($B33,Int_Rate_Param,2,FALSE))&lt;1%+EIOPA_RFR!H38,1%+EIOPA_RFR!H38,EIOPA_RFR!H38*(1%+VLOOKUP($B33,Int_Rate_Param,2,FALSE))))</f>
        <v>2.6160000000000003E-2</v>
      </c>
      <c r="I33" s="94">
        <f>IF($B33&gt;20,IF(EIOPA_RFR!I38*(1%+VLOOKUP($B$27,Int_Rate_Param,2,FALSE))&lt;1%+EIOPA_RFR!I38,1%+EIOPA_RFR!I38,EIOPA_RFR!I38*(1%+VLOOKUP($B$27,Int_Rate_Param,2,FALSE))),IF(EIOPA_RFR!I38*(1%+VLOOKUP($B33,Int_Rate_Param,2,FALSE))&lt;1%+EIOPA_RFR!I38,1%+EIOPA_RFR!I38,EIOPA_RFR!I38*(1%+VLOOKUP($B33,Int_Rate_Param,2,FALSE))))</f>
        <v>3.0760000000000003E-2</v>
      </c>
      <c r="J33" s="94">
        <f>IF($B33&gt;20,IF(EIOPA_RFR!J38*(1%+VLOOKUP($B$27,Int_Rate_Param,2,FALSE))&lt;1%+EIOPA_RFR!J38,1%+EIOPA_RFR!J38,EIOPA_RFR!J38*(1%+VLOOKUP($B$27,Int_Rate_Param,2,FALSE))),IF(EIOPA_RFR!J38*(1%+VLOOKUP($B33,Int_Rate_Param,2,FALSE))&lt;1%+EIOPA_RFR!J38,1%+EIOPA_RFR!J38,EIOPA_RFR!J38*(1%+VLOOKUP($B33,Int_Rate_Param,2,FALSE))))</f>
        <v>2.6070000000000003E-2</v>
      </c>
      <c r="K33" s="94">
        <f>IF($B33&gt;20,IF(EIOPA_RFR!K38*(1%+VLOOKUP($B$27,Int_Rate_Param,2,FALSE))&lt;1%+EIOPA_RFR!K38,1%+EIOPA_RFR!K38,EIOPA_RFR!K38*(1%+VLOOKUP($B$27,Int_Rate_Param,2,FALSE))),IF(EIOPA_RFR!K38*(1%+VLOOKUP($B33,Int_Rate_Param,2,FALSE))&lt;1%+EIOPA_RFR!K38,1%+EIOPA_RFR!K38,EIOPA_RFR!K38*(1%+VLOOKUP($B33,Int_Rate_Param,2,FALSE))))</f>
        <v>2.6160000000000003E-2</v>
      </c>
      <c r="L33" s="94">
        <f>IF($B33&gt;20,IF(EIOPA_RFR!L38*(1%+VLOOKUP($B$27,Int_Rate_Param,2,FALSE))&lt;1%+EIOPA_RFR!L38,1%+EIOPA_RFR!L38,EIOPA_RFR!L38*(1%+VLOOKUP($B$27,Int_Rate_Param,2,FALSE))),IF(EIOPA_RFR!L38*(1%+VLOOKUP($B33,Int_Rate_Param,2,FALSE))&lt;1%+EIOPA_RFR!L38,1%+EIOPA_RFR!L38,EIOPA_RFR!L38*(1%+VLOOKUP($B33,Int_Rate_Param,2,FALSE))))</f>
        <v>2.6160000000000003E-2</v>
      </c>
      <c r="M33" s="94">
        <f>IF($B33&gt;20,IF(EIOPA_RFR!M38*(1%+VLOOKUP($B$27,Int_Rate_Param,2,FALSE))&lt;1%+EIOPA_RFR!M38,1%+EIOPA_RFR!M38,EIOPA_RFR!M38*(1%+VLOOKUP($B$27,Int_Rate_Param,2,FALSE))),IF(EIOPA_RFR!M38*(1%+VLOOKUP($B33,Int_Rate_Param,2,FALSE))&lt;1%+EIOPA_RFR!M38,1%+EIOPA_RFR!M38,EIOPA_RFR!M38*(1%+VLOOKUP($B33,Int_Rate_Param,2,FALSE))))</f>
        <v>2.6160000000000003E-2</v>
      </c>
      <c r="N33" s="94">
        <f>IF($B33&gt;20,IF(EIOPA_RFR!N38*(1%+VLOOKUP($B$27,Int_Rate_Param,2,FALSE))&lt;1%+EIOPA_RFR!N38,1%+EIOPA_RFR!N38,EIOPA_RFR!N38*(1%+VLOOKUP($B$27,Int_Rate_Param,2,FALSE))),IF(EIOPA_RFR!N38*(1%+VLOOKUP($B33,Int_Rate_Param,2,FALSE))&lt;1%+EIOPA_RFR!N38,1%+EIOPA_RFR!N38,EIOPA_RFR!N38*(1%+VLOOKUP($B33,Int_Rate_Param,2,FALSE))))</f>
        <v>2.6160000000000003E-2</v>
      </c>
      <c r="O33" s="94">
        <f>IF($B33&gt;20,IF(EIOPA_RFR!O38*(1%+VLOOKUP($B$27,Int_Rate_Param,2,FALSE))&lt;1%+EIOPA_RFR!O38,1%+EIOPA_RFR!O38,EIOPA_RFR!O38*(1%+VLOOKUP($B$27,Int_Rate_Param,2,FALSE))),IF(EIOPA_RFR!O38*(1%+VLOOKUP($B33,Int_Rate_Param,2,FALSE))&lt;1%+EIOPA_RFR!O38,1%+EIOPA_RFR!O38,EIOPA_RFR!O38*(1%+VLOOKUP($B33,Int_Rate_Param,2,FALSE))))</f>
        <v>2.6160000000000003E-2</v>
      </c>
      <c r="P33" s="94">
        <f>IF($B33&gt;20,IF(EIOPA_RFR!P38*(1%+VLOOKUP($B$27,Int_Rate_Param,2,FALSE))&lt;1%+EIOPA_RFR!P38,1%+EIOPA_RFR!P38,EIOPA_RFR!P38*(1%+VLOOKUP($B$27,Int_Rate_Param,2,FALSE))),IF(EIOPA_RFR!P38*(1%+VLOOKUP($B33,Int_Rate_Param,2,FALSE))&lt;1%+EIOPA_RFR!P38,1%+EIOPA_RFR!P38,EIOPA_RFR!P38*(1%+VLOOKUP($B33,Int_Rate_Param,2,FALSE))))</f>
        <v>5.3090000000000005E-2</v>
      </c>
      <c r="Q33" s="94">
        <f>IF($B33&gt;20,IF(EIOPA_RFR!Q38*(1%+VLOOKUP($B$27,Int_Rate_Param,2,FALSE))&lt;1%+EIOPA_RFR!Q38,1%+EIOPA_RFR!Q38,EIOPA_RFR!Q38*(1%+VLOOKUP($B$27,Int_Rate_Param,2,FALSE))),IF(EIOPA_RFR!Q38*(1%+VLOOKUP($B33,Int_Rate_Param,2,FALSE))&lt;1%+EIOPA_RFR!Q38,1%+EIOPA_RFR!Q38,EIOPA_RFR!Q38*(1%+VLOOKUP($B33,Int_Rate_Param,2,FALSE))))</f>
        <v>5.5800000000000002E-2</v>
      </c>
      <c r="R33" s="94">
        <f>IF($B33&gt;20,IF(EIOPA_RFR!R38*(1%+VLOOKUP($B$27,Int_Rate_Param,2,FALSE))&lt;1%+EIOPA_RFR!R38,1%+EIOPA_RFR!R38,EIOPA_RFR!R38*(1%+VLOOKUP($B$27,Int_Rate_Param,2,FALSE))),IF(EIOPA_RFR!R38*(1%+VLOOKUP($B33,Int_Rate_Param,2,FALSE))&lt;1%+EIOPA_RFR!R38,1%+EIOPA_RFR!R38,EIOPA_RFR!R38*(1%+VLOOKUP($B33,Int_Rate_Param,2,FALSE))))</f>
        <v>2.6160000000000003E-2</v>
      </c>
      <c r="S33" s="94">
        <f>IF($B33&gt;20,IF(EIOPA_RFR!S38*(1%+VLOOKUP($B$27,Int_Rate_Param,2,FALSE))&lt;1%+EIOPA_RFR!S38,1%+EIOPA_RFR!S38,EIOPA_RFR!S38*(1%+VLOOKUP($B$27,Int_Rate_Param,2,FALSE))),IF(EIOPA_RFR!S38*(1%+VLOOKUP($B33,Int_Rate_Param,2,FALSE))&lt;1%+EIOPA_RFR!S38,1%+EIOPA_RFR!S38,EIOPA_RFR!S38*(1%+VLOOKUP($B33,Int_Rate_Param,2,FALSE))))</f>
        <v>2.6160000000000003E-2</v>
      </c>
      <c r="T33" s="94">
        <f>IF($B33&gt;20,IF(EIOPA_RFR!T38*(1%+VLOOKUP($B$27,Int_Rate_Param,2,FALSE))&lt;1%+EIOPA_RFR!T38,1%+EIOPA_RFR!T38,EIOPA_RFR!T38*(1%+VLOOKUP($B$27,Int_Rate_Param,2,FALSE))),IF(EIOPA_RFR!T38*(1%+VLOOKUP($B33,Int_Rate_Param,2,FALSE))&lt;1%+EIOPA_RFR!T38,1%+EIOPA_RFR!T38,EIOPA_RFR!T38*(1%+VLOOKUP($B33,Int_Rate_Param,2,FALSE))))</f>
        <v>2.6160000000000003E-2</v>
      </c>
      <c r="U33" s="94">
        <f>IF($B33&gt;20,IF(EIOPA_RFR!U38*(1%+VLOOKUP($B$27,Int_Rate_Param,2,FALSE))&lt;1%+EIOPA_RFR!U38,1%+EIOPA_RFR!U38,EIOPA_RFR!U38*(1%+VLOOKUP($B$27,Int_Rate_Param,2,FALSE))),IF(EIOPA_RFR!U38*(1%+VLOOKUP($B33,Int_Rate_Param,2,FALSE))&lt;1%+EIOPA_RFR!U38,1%+EIOPA_RFR!U38,EIOPA_RFR!U38*(1%+VLOOKUP($B33,Int_Rate_Param,2,FALSE))))</f>
        <v>1.5210000000000001E-2</v>
      </c>
      <c r="V33" s="94">
        <f>IF($B33&gt;20,IF(EIOPA_RFR!V38*(1%+VLOOKUP($B$27,Int_Rate_Param,2,FALSE))&lt;1%+EIOPA_RFR!V38,1%+EIOPA_RFR!V38,EIOPA_RFR!V38*(1%+VLOOKUP($B$27,Int_Rate_Param,2,FALSE))),IF(EIOPA_RFR!V38*(1%+VLOOKUP($B33,Int_Rate_Param,2,FALSE))&lt;1%+EIOPA_RFR!V38,1%+EIOPA_RFR!V38,EIOPA_RFR!V38*(1%+VLOOKUP($B33,Int_Rate_Param,2,FALSE))))</f>
        <v>2.6160000000000003E-2</v>
      </c>
      <c r="W33" s="94">
        <f>IF($B33&gt;20,IF(EIOPA_RFR!W38*(1%+VLOOKUP($B$27,Int_Rate_Param,2,FALSE))&lt;1%+EIOPA_RFR!W38,1%+EIOPA_RFR!W38,EIOPA_RFR!W38*(1%+VLOOKUP($B$27,Int_Rate_Param,2,FALSE))),IF(EIOPA_RFR!W38*(1%+VLOOKUP($B33,Int_Rate_Param,2,FALSE))&lt;1%+EIOPA_RFR!W38,1%+EIOPA_RFR!W38,EIOPA_RFR!W38*(1%+VLOOKUP($B33,Int_Rate_Param,2,FALSE))))</f>
        <v>2.6160000000000003E-2</v>
      </c>
      <c r="X33" s="94">
        <f>IF($B33&gt;20,IF(EIOPA_RFR!X38*(1%+VLOOKUP($B$27,Int_Rate_Param,2,FALSE))&lt;1%+EIOPA_RFR!X38,1%+EIOPA_RFR!X38,EIOPA_RFR!X38*(1%+VLOOKUP($B$27,Int_Rate_Param,2,FALSE))),IF(EIOPA_RFR!X38*(1%+VLOOKUP($B33,Int_Rate_Param,2,FALSE))&lt;1%+EIOPA_RFR!X38,1%+EIOPA_RFR!X38,EIOPA_RFR!X38*(1%+VLOOKUP($B33,Int_Rate_Param,2,FALSE))))</f>
        <v>2.6160000000000003E-2</v>
      </c>
      <c r="Y33" s="94">
        <f>IF($B33&gt;20,IF(EIOPA_RFR!Y38*(1%+VLOOKUP($B$27,Int_Rate_Param,2,FALSE))&lt;1%+EIOPA_RFR!Y38,1%+EIOPA_RFR!Y38,EIOPA_RFR!Y38*(1%+VLOOKUP($B$27,Int_Rate_Param,2,FALSE))),IF(EIOPA_RFR!Y38*(1%+VLOOKUP($B33,Int_Rate_Param,2,FALSE))&lt;1%+EIOPA_RFR!Y38,1%+EIOPA_RFR!Y38,EIOPA_RFR!Y38*(1%+VLOOKUP($B33,Int_Rate_Param,2,FALSE))))</f>
        <v>2.6160000000000003E-2</v>
      </c>
      <c r="Z33" s="94">
        <f>IF($B33&gt;20,IF(EIOPA_RFR!Z38*(1%+VLOOKUP($B$27,Int_Rate_Param,2,FALSE))&lt;1%+EIOPA_RFR!Z38,1%+EIOPA_RFR!Z38,EIOPA_RFR!Z38*(1%+VLOOKUP($B$27,Int_Rate_Param,2,FALSE))),IF(EIOPA_RFR!Z38*(1%+VLOOKUP($B33,Int_Rate_Param,2,FALSE))&lt;1%+EIOPA_RFR!Z38,1%+EIOPA_RFR!Z38,EIOPA_RFR!Z38*(1%+VLOOKUP($B33,Int_Rate_Param,2,FALSE))))</f>
        <v>3.7940000000000002E-2</v>
      </c>
      <c r="AA33" s="94">
        <f>IF($B33&gt;20,IF(EIOPA_RFR!AA38*(1%+VLOOKUP($B$27,Int_Rate_Param,2,FALSE))&lt;1%+EIOPA_RFR!AA38,1%+EIOPA_RFR!AA38,EIOPA_RFR!AA38*(1%+VLOOKUP($B$27,Int_Rate_Param,2,FALSE))),IF(EIOPA_RFR!AA38*(1%+VLOOKUP($B33,Int_Rate_Param,2,FALSE))&lt;1%+EIOPA_RFR!AA38,1%+EIOPA_RFR!AA38,EIOPA_RFR!AA38*(1%+VLOOKUP($B33,Int_Rate_Param,2,FALSE))))</f>
        <v>4.9780000000000005E-2</v>
      </c>
      <c r="AB33" s="94">
        <f>IF($B33&gt;20,IF(EIOPA_RFR!AB38*(1%+VLOOKUP($B$27,Int_Rate_Param,2,FALSE))&lt;1%+EIOPA_RFR!AB38,1%+EIOPA_RFR!AB38,EIOPA_RFR!AB38*(1%+VLOOKUP($B$27,Int_Rate_Param,2,FALSE))),IF(EIOPA_RFR!AB38*(1%+VLOOKUP($B33,Int_Rate_Param,2,FALSE))&lt;1%+EIOPA_RFR!AB38,1%+EIOPA_RFR!AB38,EIOPA_RFR!AB38*(1%+VLOOKUP($B33,Int_Rate_Param,2,FALSE))))</f>
        <v>2.6160000000000003E-2</v>
      </c>
      <c r="AC33" s="94">
        <f>IF($B33&gt;20,IF(EIOPA_RFR!AC38*(1%+VLOOKUP($B$27,Int_Rate_Param,2,FALSE))&lt;1%+EIOPA_RFR!AC38,1%+EIOPA_RFR!AC38,EIOPA_RFR!AC38*(1%+VLOOKUP($B$27,Int_Rate_Param,2,FALSE))),IF(EIOPA_RFR!AC38*(1%+VLOOKUP($B33,Int_Rate_Param,2,FALSE))&lt;1%+EIOPA_RFR!AC38,1%+EIOPA_RFR!AC38,EIOPA_RFR!AC38*(1%+VLOOKUP($B33,Int_Rate_Param,2,FALSE))))</f>
        <v>5.3940000000000002E-2</v>
      </c>
      <c r="AD33" s="94">
        <f>IF($B33&gt;20,IF(EIOPA_RFR!AD38*(1%+VLOOKUP($B$27,Int_Rate_Param,2,FALSE))&lt;1%+EIOPA_RFR!AD38,1%+EIOPA_RFR!AD38,EIOPA_RFR!AD38*(1%+VLOOKUP($B$27,Int_Rate_Param,2,FALSE))),IF(EIOPA_RFR!AD38*(1%+VLOOKUP($B33,Int_Rate_Param,2,FALSE))&lt;1%+EIOPA_RFR!AD38,1%+EIOPA_RFR!AD38,EIOPA_RFR!AD38*(1%+VLOOKUP($B33,Int_Rate_Param,2,FALSE))))</f>
        <v>7.3219999999999993E-2</v>
      </c>
      <c r="AE33" s="94">
        <f>IF($B33&gt;20,IF(EIOPA_RFR!AE38*(1%+VLOOKUP($B$27,Int_Rate_Param,2,FALSE))&lt;1%+EIOPA_RFR!AE38,1%+EIOPA_RFR!AE38,EIOPA_RFR!AE38*(1%+VLOOKUP($B$27,Int_Rate_Param,2,FALSE))),IF(EIOPA_RFR!AE38*(1%+VLOOKUP($B33,Int_Rate_Param,2,FALSE))&lt;1%+EIOPA_RFR!AE38,1%+EIOPA_RFR!AE38,EIOPA_RFR!AE38*(1%+VLOOKUP($B33,Int_Rate_Param,2,FALSE))))</f>
        <v>2.6160000000000003E-2</v>
      </c>
      <c r="AF33" s="94">
        <f>IF($B33&gt;20,IF(EIOPA_RFR!AF38*(1%+VLOOKUP($B$27,Int_Rate_Param,2,FALSE))&lt;1%+EIOPA_RFR!AF38,1%+EIOPA_RFR!AF38,EIOPA_RFR!AF38*(1%+VLOOKUP($B$27,Int_Rate_Param,2,FALSE))),IF(EIOPA_RFR!AF38*(1%+VLOOKUP($B33,Int_Rate_Param,2,FALSE))&lt;1%+EIOPA_RFR!AF38,1%+EIOPA_RFR!AF38,EIOPA_RFR!AF38*(1%+VLOOKUP($B33,Int_Rate_Param,2,FALSE))))</f>
        <v>2.6160000000000003E-2</v>
      </c>
      <c r="AG33" s="94">
        <f>IF($B33&gt;20,IF(EIOPA_RFR!AG38*(1%+VLOOKUP($B$27,Int_Rate_Param,2,FALSE))&lt;1%+EIOPA_RFR!AG38,1%+EIOPA_RFR!AG38,EIOPA_RFR!AG38*(1%+VLOOKUP($B$27,Int_Rate_Param,2,FALSE))),IF(EIOPA_RFR!AG38*(1%+VLOOKUP($B33,Int_Rate_Param,2,FALSE))&lt;1%+EIOPA_RFR!AG38,1%+EIOPA_RFR!AG38,EIOPA_RFR!AG38*(1%+VLOOKUP($B33,Int_Rate_Param,2,FALSE))))</f>
        <v>2.6160000000000003E-2</v>
      </c>
      <c r="AH33" s="94">
        <f>IF($B33&gt;20,IF(EIOPA_RFR!AH38*(1%+VLOOKUP($B$27,Int_Rate_Param,2,FALSE))&lt;1%+EIOPA_RFR!AH38,1%+EIOPA_RFR!AH38,EIOPA_RFR!AH38*(1%+VLOOKUP($B$27,Int_Rate_Param,2,FALSE))),IF(EIOPA_RFR!AH38*(1%+VLOOKUP($B33,Int_Rate_Param,2,FALSE))&lt;1%+EIOPA_RFR!AH38,1%+EIOPA_RFR!AH38,EIOPA_RFR!AH38*(1%+VLOOKUP($B33,Int_Rate_Param,2,FALSE))))</f>
        <v>3.8370000000000001E-2</v>
      </c>
      <c r="AI33" s="94">
        <f>IF($B33&gt;20,IF(EIOPA_RFR!AI38*(1%+VLOOKUP($B$27,Int_Rate_Param,2,FALSE))&lt;1%+EIOPA_RFR!AI38,1%+EIOPA_RFR!AI38,EIOPA_RFR!AI38*(1%+VLOOKUP($B$27,Int_Rate_Param,2,FALSE))),IF(EIOPA_RFR!AI38*(1%+VLOOKUP($B33,Int_Rate_Param,2,FALSE))&lt;1%+EIOPA_RFR!AI38,1%+EIOPA_RFR!AI38,EIOPA_RFR!AI38*(1%+VLOOKUP($B33,Int_Rate_Param,2,FALSE))))</f>
        <v>1.5210000000000001E-2</v>
      </c>
      <c r="AJ33" s="94">
        <f>IF($B33&gt;20,IF(EIOPA_RFR!AJ38*(1%+VLOOKUP($B$27,Int_Rate_Param,2,FALSE))&lt;1%+EIOPA_RFR!AJ38,1%+EIOPA_RFR!AJ38,EIOPA_RFR!AJ38*(1%+VLOOKUP($B$27,Int_Rate_Param,2,FALSE))),IF(EIOPA_RFR!AJ38*(1%+VLOOKUP($B33,Int_Rate_Param,2,FALSE))&lt;1%+EIOPA_RFR!AJ38,1%+EIOPA_RFR!AJ38,EIOPA_RFR!AJ38*(1%+VLOOKUP($B33,Int_Rate_Param,2,FALSE))))</f>
        <v>2.281E-2</v>
      </c>
      <c r="AK33" s="94">
        <f>IF($B33&gt;20,IF(EIOPA_RFR!AK38*(1%+VLOOKUP($B$27,Int_Rate_Param,2,FALSE))&lt;1%+EIOPA_RFR!AK38,1%+EIOPA_RFR!AK38,EIOPA_RFR!AK38*(1%+VLOOKUP($B$27,Int_Rate_Param,2,FALSE))),IF(EIOPA_RFR!AK38*(1%+VLOOKUP($B33,Int_Rate_Param,2,FALSE))&lt;1%+EIOPA_RFR!AK38,1%+EIOPA_RFR!AK38,EIOPA_RFR!AK38*(1%+VLOOKUP($B33,Int_Rate_Param,2,FALSE))))</f>
        <v>4.3290000000000002E-2</v>
      </c>
      <c r="AL33" s="94">
        <f>IF($B33&gt;20,IF(EIOPA_RFR!AL38*(1%+VLOOKUP($B$27,Int_Rate_Param,2,FALSE))&lt;1%+EIOPA_RFR!AL38,1%+EIOPA_RFR!AL38,EIOPA_RFR!AL38*(1%+VLOOKUP($B$27,Int_Rate_Param,2,FALSE))),IF(EIOPA_RFR!AL38*(1%+VLOOKUP($B33,Int_Rate_Param,2,FALSE))&lt;1%+EIOPA_RFR!AL38,1%+EIOPA_RFR!AL38,EIOPA_RFR!AL38*(1%+VLOOKUP($B33,Int_Rate_Param,2,FALSE))))</f>
        <v>9.058999999999999E-2</v>
      </c>
      <c r="AM33" s="94">
        <f>IF($B33&gt;20,IF(EIOPA_RFR!AM38*(1%+VLOOKUP($B$27,Int_Rate_Param,2,FALSE))&lt;1%+EIOPA_RFR!AM38,1%+EIOPA_RFR!AM38,EIOPA_RFR!AM38*(1%+VLOOKUP($B$27,Int_Rate_Param,2,FALSE))),IF(EIOPA_RFR!AM38*(1%+VLOOKUP($B33,Int_Rate_Param,2,FALSE))&lt;1%+EIOPA_RFR!AM38,1%+EIOPA_RFR!AM38,EIOPA_RFR!AM38*(1%+VLOOKUP($B33,Int_Rate_Param,2,FALSE))))</f>
        <v>3.2190000000000003E-2</v>
      </c>
      <c r="AN33" s="94">
        <f>IF($B33&gt;20,IF(EIOPA_RFR!AN38*(1%+VLOOKUP($B$27,Int_Rate_Param,2,FALSE))&lt;1%+EIOPA_RFR!AN38,1%+EIOPA_RFR!AN38,EIOPA_RFR!AN38*(1%+VLOOKUP($B$27,Int_Rate_Param,2,FALSE))),IF(EIOPA_RFR!AN38*(1%+VLOOKUP($B33,Int_Rate_Param,2,FALSE))&lt;1%+EIOPA_RFR!AN38,1%+EIOPA_RFR!AN38,EIOPA_RFR!AN38*(1%+VLOOKUP($B33,Int_Rate_Param,2,FALSE))))</f>
        <v>5.246E-2</v>
      </c>
      <c r="AO33" s="94">
        <f>IF($B33&gt;20,IF(EIOPA_RFR!AO38*(1%+VLOOKUP($B$27,Int_Rate_Param,2,FALSE))&lt;1%+EIOPA_RFR!AO38,1%+EIOPA_RFR!AO38,EIOPA_RFR!AO38*(1%+VLOOKUP($B$27,Int_Rate_Param,2,FALSE))),IF(EIOPA_RFR!AO38*(1%+VLOOKUP($B33,Int_Rate_Param,2,FALSE))&lt;1%+EIOPA_RFR!AO38,1%+EIOPA_RFR!AO38,EIOPA_RFR!AO38*(1%+VLOOKUP($B33,Int_Rate_Param,2,FALSE))))</f>
        <v>5.4260000000000003E-2</v>
      </c>
      <c r="AP33" s="94">
        <f>IF($B33&gt;20,IF(EIOPA_RFR!AP38*(1%+VLOOKUP($B$27,Int_Rate_Param,2,FALSE))&lt;1%+EIOPA_RFR!AP38,1%+EIOPA_RFR!AP38,EIOPA_RFR!AP38*(1%+VLOOKUP($B$27,Int_Rate_Param,2,FALSE))),IF(EIOPA_RFR!AP38*(1%+VLOOKUP($B33,Int_Rate_Param,2,FALSE))&lt;1%+EIOPA_RFR!AP38,1%+EIOPA_RFR!AP38,EIOPA_RFR!AP38*(1%+VLOOKUP($B33,Int_Rate_Param,2,FALSE))))</f>
        <v>6.7970000000000003E-2</v>
      </c>
      <c r="AQ33" s="94">
        <f>IF($B33&gt;20,IF(EIOPA_RFR!AQ38*(1%+VLOOKUP($B$27,Int_Rate_Param,2,FALSE))&lt;1%+EIOPA_RFR!AQ38,1%+EIOPA_RFR!AQ38,EIOPA_RFR!AQ38*(1%+VLOOKUP($B$27,Int_Rate_Param,2,FALSE))),IF(EIOPA_RFR!AQ38*(1%+VLOOKUP($B33,Int_Rate_Param,2,FALSE))&lt;1%+EIOPA_RFR!AQ38,1%+EIOPA_RFR!AQ38,EIOPA_RFR!AQ38*(1%+VLOOKUP($B33,Int_Rate_Param,2,FALSE))))</f>
        <v>3.8710000000000001E-2</v>
      </c>
      <c r="AR33" s="94">
        <f>IF($B33&gt;20,IF(EIOPA_RFR!AR38*(1%+VLOOKUP($B$27,Int_Rate_Param,2,FALSE))&lt;1%+EIOPA_RFR!AR38,1%+EIOPA_RFR!AR38,EIOPA_RFR!AR38*(1%+VLOOKUP($B$27,Int_Rate_Param,2,FALSE))),IF(EIOPA_RFR!AR38*(1%+VLOOKUP($B33,Int_Rate_Param,2,FALSE))&lt;1%+EIOPA_RFR!AR38,1%+EIOPA_RFR!AR38,EIOPA_RFR!AR38*(1%+VLOOKUP($B33,Int_Rate_Param,2,FALSE))))</f>
        <v>7.5049999999999992E-2</v>
      </c>
      <c r="AS33" s="94">
        <f>IF($B33&gt;20,IF(EIOPA_RFR!AS38*(1%+VLOOKUP($B$27,Int_Rate_Param,2,FALSE))&lt;1%+EIOPA_RFR!AS38,1%+EIOPA_RFR!AS38,EIOPA_RFR!AS38*(1%+VLOOKUP($B$27,Int_Rate_Param,2,FALSE))),IF(EIOPA_RFR!AS38*(1%+VLOOKUP($B33,Int_Rate_Param,2,FALSE))&lt;1%+EIOPA_RFR!AS38,1%+EIOPA_RFR!AS38,EIOPA_RFR!AS38*(1%+VLOOKUP($B33,Int_Rate_Param,2,FALSE))))</f>
        <v>1.712E-2</v>
      </c>
      <c r="AT33" s="94">
        <f>IF($B33&gt;20,IF(EIOPA_RFR!AT38*(1%+VLOOKUP($B$27,Int_Rate_Param,2,FALSE))&lt;1%+EIOPA_RFR!AT38,1%+EIOPA_RFR!AT38,EIOPA_RFR!AT38*(1%+VLOOKUP($B$27,Int_Rate_Param,2,FALSE))),IF(EIOPA_RFR!AT38*(1%+VLOOKUP($B33,Int_Rate_Param,2,FALSE))&lt;1%+EIOPA_RFR!AT38,1%+EIOPA_RFR!AT38,EIOPA_RFR!AT38*(1%+VLOOKUP($B33,Int_Rate_Param,2,FALSE))))</f>
        <v>5.3620000000000001E-2</v>
      </c>
      <c r="AU33" s="94">
        <f>IF($B33&gt;20,IF(EIOPA_RFR!AU38*(1%+VLOOKUP($B$27,Int_Rate_Param,2,FALSE))&lt;1%+EIOPA_RFR!AU38,1%+EIOPA_RFR!AU38,EIOPA_RFR!AU38*(1%+VLOOKUP($B$27,Int_Rate_Param,2,FALSE))),IF(EIOPA_RFR!AU38*(1%+VLOOKUP($B33,Int_Rate_Param,2,FALSE))&lt;1%+EIOPA_RFR!AU38,1%+EIOPA_RFR!AU38,EIOPA_RFR!AU38*(1%+VLOOKUP($B33,Int_Rate_Param,2,FALSE))))</f>
        <v>8.7719999999999992E-2</v>
      </c>
      <c r="AV33" s="94">
        <f>IF($B33&gt;20,IF(EIOPA_RFR!AV38*(1%+VLOOKUP($B$27,Int_Rate_Param,2,FALSE))&lt;1%+EIOPA_RFR!AV38,1%+EIOPA_RFR!AV38,EIOPA_RFR!AV38*(1%+VLOOKUP($B$27,Int_Rate_Param,2,FALSE))),IF(EIOPA_RFR!AV38*(1%+VLOOKUP($B33,Int_Rate_Param,2,FALSE))&lt;1%+EIOPA_RFR!AV38,1%+EIOPA_RFR!AV38,EIOPA_RFR!AV38*(1%+VLOOKUP($B33,Int_Rate_Param,2,FALSE))))</f>
        <v>5.1040000000000002E-2</v>
      </c>
      <c r="AW33" s="94">
        <f>IF($B33&gt;20,IF(EIOPA_RFR!AW38*(1%+VLOOKUP($B$27,Int_Rate_Param,2,FALSE))&lt;1%+EIOPA_RFR!AW38,1%+EIOPA_RFR!AW38,EIOPA_RFR!AW38*(1%+VLOOKUP($B$27,Int_Rate_Param,2,FALSE))),IF(EIOPA_RFR!AW38*(1%+VLOOKUP($B33,Int_Rate_Param,2,FALSE))&lt;1%+EIOPA_RFR!AW38,1%+EIOPA_RFR!AW38,EIOPA_RFR!AW38*(1%+VLOOKUP($B33,Int_Rate_Param,2,FALSE))))</f>
        <v>3.8620000000000002E-2</v>
      </c>
      <c r="AX33" s="94">
        <f>IF($B33&gt;20,IF(EIOPA_RFR!AX38*(1%+VLOOKUP($B$27,Int_Rate_Param,2,FALSE))&lt;1%+EIOPA_RFR!AX38,1%+EIOPA_RFR!AX38,EIOPA_RFR!AX38*(1%+VLOOKUP($B$27,Int_Rate_Param,2,FALSE))),IF(EIOPA_RFR!AX38*(1%+VLOOKUP($B33,Int_Rate_Param,2,FALSE))&lt;1%+EIOPA_RFR!AX38,1%+EIOPA_RFR!AX38,EIOPA_RFR!AX38*(1%+VLOOKUP($B33,Int_Rate_Param,2,FALSE))))</f>
        <v>8.8189999999999991E-2</v>
      </c>
      <c r="AY33" s="94">
        <f>IF($B33&gt;20,IF(EIOPA_RFR!AY38*(1%+VLOOKUP($B$27,Int_Rate_Param,2,FALSE))&lt;1%+EIOPA_RFR!AY38,1%+EIOPA_RFR!AY38,EIOPA_RFR!AY38*(1%+VLOOKUP($B$27,Int_Rate_Param,2,FALSE))),IF(EIOPA_RFR!AY38*(1%+VLOOKUP($B33,Int_Rate_Param,2,FALSE))&lt;1%+EIOPA_RFR!AY38,1%+EIOPA_RFR!AY38,EIOPA_RFR!AY38*(1%+VLOOKUP($B33,Int_Rate_Param,2,FALSE))))</f>
        <v>3.082E-2</v>
      </c>
      <c r="AZ33" s="94">
        <f>IF($B33&gt;20,IF(EIOPA_RFR!AZ38*(1%+VLOOKUP($B$27,Int_Rate_Param,2,FALSE))&lt;1%+EIOPA_RFR!AZ38,1%+EIOPA_RFR!AZ38,EIOPA_RFR!AZ38*(1%+VLOOKUP($B$27,Int_Rate_Param,2,FALSE))),IF(EIOPA_RFR!AZ38*(1%+VLOOKUP($B33,Int_Rate_Param,2,FALSE))&lt;1%+EIOPA_RFR!AZ38,1%+EIOPA_RFR!AZ38,EIOPA_RFR!AZ38*(1%+VLOOKUP($B33,Int_Rate_Param,2,FALSE))))</f>
        <v>3.3270000000000001E-2</v>
      </c>
      <c r="BA33" s="94">
        <f>IF($B33&gt;20,IF(EIOPA_RFR!BA38*(1%+VLOOKUP($B$27,Int_Rate_Param,2,FALSE))&lt;1%+EIOPA_RFR!BA38,1%+EIOPA_RFR!BA38,EIOPA_RFR!BA38*(1%+VLOOKUP($B$27,Int_Rate_Param,2,FALSE))),IF(EIOPA_RFR!BA38*(1%+VLOOKUP($B33,Int_Rate_Param,2,FALSE))&lt;1%+EIOPA_RFR!BA38,1%+EIOPA_RFR!BA38,EIOPA_RFR!BA38*(1%+VLOOKUP($B33,Int_Rate_Param,2,FALSE))))</f>
        <v>4.1960000000000004E-2</v>
      </c>
      <c r="BB33" s="94">
        <f>IF($B33&gt;20,IF(EIOPA_RFR!BB38*(1%+VLOOKUP($B$27,Int_Rate_Param,2,FALSE))&lt;1%+EIOPA_RFR!BB38,1%+EIOPA_RFR!BB38,EIOPA_RFR!BB38*(1%+VLOOKUP($B$27,Int_Rate_Param,2,FALSE))),IF(EIOPA_RFR!BB38*(1%+VLOOKUP($B33,Int_Rate_Param,2,FALSE))&lt;1%+EIOPA_RFR!BB38,1%+EIOPA_RFR!BB38,EIOPA_RFR!BB38*(1%+VLOOKUP($B33,Int_Rate_Param,2,FALSE))))</f>
        <v>9.4029999999999989E-2</v>
      </c>
      <c r="BC33" s="94">
        <f>IF($B33&gt;20,IF(EIOPA_RFR!BC38*(1%+VLOOKUP($B$27,Int_Rate_Param,2,FALSE))&lt;1%+EIOPA_RFR!BC38,1%+EIOPA_RFR!BC38,EIOPA_RFR!BC38*(1%+VLOOKUP($B$27,Int_Rate_Param,2,FALSE))),IF(EIOPA_RFR!BC38*(1%+VLOOKUP($B33,Int_Rate_Param,2,FALSE))&lt;1%+EIOPA_RFR!BC38,1%+EIOPA_RFR!BC38,EIOPA_RFR!BC38*(1%+VLOOKUP($B33,Int_Rate_Param,2,FALSE))))</f>
        <v>3.5400000000000001E-2</v>
      </c>
    </row>
    <row r="34" spans="1:55" x14ac:dyDescent="0.25">
      <c r="A34">
        <f t="shared" si="0"/>
        <v>29</v>
      </c>
      <c r="B34" s="95">
        <v>27</v>
      </c>
      <c r="C34" s="94">
        <f>IF($B34&gt;20,IF(EIOPA_RFR!C39*(1%+VLOOKUP($B$27,Int_Rate_Param,2,FALSE))&lt;1%+EIOPA_RFR!C39,1%+EIOPA_RFR!C39,EIOPA_RFR!C39*(1%+VLOOKUP($B$27,Int_Rate_Param,2,FALSE))),IF(EIOPA_RFR!C39*(1%+VLOOKUP($B34,Int_Rate_Param,2,FALSE))&lt;1%+EIOPA_RFR!C39,1%+EIOPA_RFR!C39,EIOPA_RFR!C39*(1%+VLOOKUP($B34,Int_Rate_Param,2,FALSE))))</f>
        <v>2.681E-2</v>
      </c>
      <c r="D34" s="94">
        <f>IF($B34&gt;20,IF(EIOPA_RFR!D39*(1%+VLOOKUP($B$27,Int_Rate_Param,2,FALSE))&lt;1%+EIOPA_RFR!D39,1%+EIOPA_RFR!D39,EIOPA_RFR!D39*(1%+VLOOKUP($B$27,Int_Rate_Param,2,FALSE))),IF(EIOPA_RFR!D39*(1%+VLOOKUP($B34,Int_Rate_Param,2,FALSE))&lt;1%+EIOPA_RFR!D39,1%+EIOPA_RFR!D39,EIOPA_RFR!D39*(1%+VLOOKUP($B34,Int_Rate_Param,2,FALSE))))</f>
        <v>2.681E-2</v>
      </c>
      <c r="E34" s="94">
        <f>IF($B34&gt;20,IF(EIOPA_RFR!E39*(1%+VLOOKUP($B$27,Int_Rate_Param,2,FALSE))&lt;1%+EIOPA_RFR!E39,1%+EIOPA_RFR!E39,EIOPA_RFR!E39*(1%+VLOOKUP($B$27,Int_Rate_Param,2,FALSE))),IF(EIOPA_RFR!E39*(1%+VLOOKUP($B34,Int_Rate_Param,2,FALSE))&lt;1%+EIOPA_RFR!E39,1%+EIOPA_RFR!E39,EIOPA_RFR!E39*(1%+VLOOKUP($B34,Int_Rate_Param,2,FALSE))))</f>
        <v>2.681E-2</v>
      </c>
      <c r="F34" s="94">
        <f>IF($B34&gt;20,IF(EIOPA_RFR!F39*(1%+VLOOKUP($B$27,Int_Rate_Param,2,FALSE))&lt;1%+EIOPA_RFR!F39,1%+EIOPA_RFR!F39,EIOPA_RFR!F39*(1%+VLOOKUP($B$27,Int_Rate_Param,2,FALSE))),IF(EIOPA_RFR!F39*(1%+VLOOKUP($B34,Int_Rate_Param,2,FALSE))&lt;1%+EIOPA_RFR!F39,1%+EIOPA_RFR!F39,EIOPA_RFR!F39*(1%+VLOOKUP($B34,Int_Rate_Param,2,FALSE))))</f>
        <v>2.6369999999999998E-2</v>
      </c>
      <c r="G34" s="94">
        <f>IF($B34&gt;20,IF(EIOPA_RFR!G39*(1%+VLOOKUP($B$27,Int_Rate_Param,2,FALSE))&lt;1%+EIOPA_RFR!G39,1%+EIOPA_RFR!G39,EIOPA_RFR!G39*(1%+VLOOKUP($B$27,Int_Rate_Param,2,FALSE))),IF(EIOPA_RFR!G39*(1%+VLOOKUP($B34,Int_Rate_Param,2,FALSE))&lt;1%+EIOPA_RFR!G39,1%+EIOPA_RFR!G39,EIOPA_RFR!G39*(1%+VLOOKUP($B34,Int_Rate_Param,2,FALSE))))</f>
        <v>4.5290000000000004E-2</v>
      </c>
      <c r="H34" s="94">
        <f>IF($B34&gt;20,IF(EIOPA_RFR!H39*(1%+VLOOKUP($B$27,Int_Rate_Param,2,FALSE))&lt;1%+EIOPA_RFR!H39,1%+EIOPA_RFR!H39,EIOPA_RFR!H39*(1%+VLOOKUP($B$27,Int_Rate_Param,2,FALSE))),IF(EIOPA_RFR!H39*(1%+VLOOKUP($B34,Int_Rate_Param,2,FALSE))&lt;1%+EIOPA_RFR!H39,1%+EIOPA_RFR!H39,EIOPA_RFR!H39*(1%+VLOOKUP($B34,Int_Rate_Param,2,FALSE))))</f>
        <v>2.681E-2</v>
      </c>
      <c r="I34" s="94">
        <f>IF($B34&gt;20,IF(EIOPA_RFR!I39*(1%+VLOOKUP($B$27,Int_Rate_Param,2,FALSE))&lt;1%+EIOPA_RFR!I39,1%+EIOPA_RFR!I39,EIOPA_RFR!I39*(1%+VLOOKUP($B$27,Int_Rate_Param,2,FALSE))),IF(EIOPA_RFR!I39*(1%+VLOOKUP($B34,Int_Rate_Param,2,FALSE))&lt;1%+EIOPA_RFR!I39,1%+EIOPA_RFR!I39,EIOPA_RFR!I39*(1%+VLOOKUP($B34,Int_Rate_Param,2,FALSE))))</f>
        <v>3.1359999999999999E-2</v>
      </c>
      <c r="J34" s="94">
        <f>IF($B34&gt;20,IF(EIOPA_RFR!J39*(1%+VLOOKUP($B$27,Int_Rate_Param,2,FALSE))&lt;1%+EIOPA_RFR!J39,1%+EIOPA_RFR!J39,EIOPA_RFR!J39*(1%+VLOOKUP($B$27,Int_Rate_Param,2,FALSE))),IF(EIOPA_RFR!J39*(1%+VLOOKUP($B34,Int_Rate_Param,2,FALSE))&lt;1%+EIOPA_RFR!J39,1%+EIOPA_RFR!J39,EIOPA_RFR!J39*(1%+VLOOKUP($B34,Int_Rate_Param,2,FALSE))))</f>
        <v>2.6729999999999997E-2</v>
      </c>
      <c r="K34" s="94">
        <f>IF($B34&gt;20,IF(EIOPA_RFR!K39*(1%+VLOOKUP($B$27,Int_Rate_Param,2,FALSE))&lt;1%+EIOPA_RFR!K39,1%+EIOPA_RFR!K39,EIOPA_RFR!K39*(1%+VLOOKUP($B$27,Int_Rate_Param,2,FALSE))),IF(EIOPA_RFR!K39*(1%+VLOOKUP($B34,Int_Rate_Param,2,FALSE))&lt;1%+EIOPA_RFR!K39,1%+EIOPA_RFR!K39,EIOPA_RFR!K39*(1%+VLOOKUP($B34,Int_Rate_Param,2,FALSE))))</f>
        <v>2.681E-2</v>
      </c>
      <c r="L34" s="94">
        <f>IF($B34&gt;20,IF(EIOPA_RFR!L39*(1%+VLOOKUP($B$27,Int_Rate_Param,2,FALSE))&lt;1%+EIOPA_RFR!L39,1%+EIOPA_RFR!L39,EIOPA_RFR!L39*(1%+VLOOKUP($B$27,Int_Rate_Param,2,FALSE))),IF(EIOPA_RFR!L39*(1%+VLOOKUP($B34,Int_Rate_Param,2,FALSE))&lt;1%+EIOPA_RFR!L39,1%+EIOPA_RFR!L39,EIOPA_RFR!L39*(1%+VLOOKUP($B34,Int_Rate_Param,2,FALSE))))</f>
        <v>2.681E-2</v>
      </c>
      <c r="M34" s="94">
        <f>IF($B34&gt;20,IF(EIOPA_RFR!M39*(1%+VLOOKUP($B$27,Int_Rate_Param,2,FALSE))&lt;1%+EIOPA_RFR!M39,1%+EIOPA_RFR!M39,EIOPA_RFR!M39*(1%+VLOOKUP($B$27,Int_Rate_Param,2,FALSE))),IF(EIOPA_RFR!M39*(1%+VLOOKUP($B34,Int_Rate_Param,2,FALSE))&lt;1%+EIOPA_RFR!M39,1%+EIOPA_RFR!M39,EIOPA_RFR!M39*(1%+VLOOKUP($B34,Int_Rate_Param,2,FALSE))))</f>
        <v>2.681E-2</v>
      </c>
      <c r="N34" s="94">
        <f>IF($B34&gt;20,IF(EIOPA_RFR!N39*(1%+VLOOKUP($B$27,Int_Rate_Param,2,FALSE))&lt;1%+EIOPA_RFR!N39,1%+EIOPA_RFR!N39,EIOPA_RFR!N39*(1%+VLOOKUP($B$27,Int_Rate_Param,2,FALSE))),IF(EIOPA_RFR!N39*(1%+VLOOKUP($B34,Int_Rate_Param,2,FALSE))&lt;1%+EIOPA_RFR!N39,1%+EIOPA_RFR!N39,EIOPA_RFR!N39*(1%+VLOOKUP($B34,Int_Rate_Param,2,FALSE))))</f>
        <v>2.681E-2</v>
      </c>
      <c r="O34" s="94">
        <f>IF($B34&gt;20,IF(EIOPA_RFR!O39*(1%+VLOOKUP($B$27,Int_Rate_Param,2,FALSE))&lt;1%+EIOPA_RFR!O39,1%+EIOPA_RFR!O39,EIOPA_RFR!O39*(1%+VLOOKUP($B$27,Int_Rate_Param,2,FALSE))),IF(EIOPA_RFR!O39*(1%+VLOOKUP($B34,Int_Rate_Param,2,FALSE))&lt;1%+EIOPA_RFR!O39,1%+EIOPA_RFR!O39,EIOPA_RFR!O39*(1%+VLOOKUP($B34,Int_Rate_Param,2,FALSE))))</f>
        <v>2.681E-2</v>
      </c>
      <c r="P34" s="94">
        <f>IF($B34&gt;20,IF(EIOPA_RFR!P39*(1%+VLOOKUP($B$27,Int_Rate_Param,2,FALSE))&lt;1%+EIOPA_RFR!P39,1%+EIOPA_RFR!P39,EIOPA_RFR!P39*(1%+VLOOKUP($B$27,Int_Rate_Param,2,FALSE))),IF(EIOPA_RFR!P39*(1%+VLOOKUP($B34,Int_Rate_Param,2,FALSE))&lt;1%+EIOPA_RFR!P39,1%+EIOPA_RFR!P39,EIOPA_RFR!P39*(1%+VLOOKUP($B34,Int_Rate_Param,2,FALSE))))</f>
        <v>5.3190000000000001E-2</v>
      </c>
      <c r="Q34" s="94">
        <f>IF($B34&gt;20,IF(EIOPA_RFR!Q39*(1%+VLOOKUP($B$27,Int_Rate_Param,2,FALSE))&lt;1%+EIOPA_RFR!Q39,1%+EIOPA_RFR!Q39,EIOPA_RFR!Q39*(1%+VLOOKUP($B$27,Int_Rate_Param,2,FALSE))),IF(EIOPA_RFR!Q39*(1%+VLOOKUP($B34,Int_Rate_Param,2,FALSE))&lt;1%+EIOPA_RFR!Q39,1%+EIOPA_RFR!Q39,EIOPA_RFR!Q39*(1%+VLOOKUP($B34,Int_Rate_Param,2,FALSE))))</f>
        <v>5.5710000000000003E-2</v>
      </c>
      <c r="R34" s="94">
        <f>IF($B34&gt;20,IF(EIOPA_RFR!R39*(1%+VLOOKUP($B$27,Int_Rate_Param,2,FALSE))&lt;1%+EIOPA_RFR!R39,1%+EIOPA_RFR!R39,EIOPA_RFR!R39*(1%+VLOOKUP($B$27,Int_Rate_Param,2,FALSE))),IF(EIOPA_RFR!R39*(1%+VLOOKUP($B34,Int_Rate_Param,2,FALSE))&lt;1%+EIOPA_RFR!R39,1%+EIOPA_RFR!R39,EIOPA_RFR!R39*(1%+VLOOKUP($B34,Int_Rate_Param,2,FALSE))))</f>
        <v>2.681E-2</v>
      </c>
      <c r="S34" s="94">
        <f>IF($B34&gt;20,IF(EIOPA_RFR!S39*(1%+VLOOKUP($B$27,Int_Rate_Param,2,FALSE))&lt;1%+EIOPA_RFR!S39,1%+EIOPA_RFR!S39,EIOPA_RFR!S39*(1%+VLOOKUP($B$27,Int_Rate_Param,2,FALSE))),IF(EIOPA_RFR!S39*(1%+VLOOKUP($B34,Int_Rate_Param,2,FALSE))&lt;1%+EIOPA_RFR!S39,1%+EIOPA_RFR!S39,EIOPA_RFR!S39*(1%+VLOOKUP($B34,Int_Rate_Param,2,FALSE))))</f>
        <v>2.681E-2</v>
      </c>
      <c r="T34" s="94">
        <f>IF($B34&gt;20,IF(EIOPA_RFR!T39*(1%+VLOOKUP($B$27,Int_Rate_Param,2,FALSE))&lt;1%+EIOPA_RFR!T39,1%+EIOPA_RFR!T39,EIOPA_RFR!T39*(1%+VLOOKUP($B$27,Int_Rate_Param,2,FALSE))),IF(EIOPA_RFR!T39*(1%+VLOOKUP($B34,Int_Rate_Param,2,FALSE))&lt;1%+EIOPA_RFR!T39,1%+EIOPA_RFR!T39,EIOPA_RFR!T39*(1%+VLOOKUP($B34,Int_Rate_Param,2,FALSE))))</f>
        <v>2.681E-2</v>
      </c>
      <c r="U34" s="94">
        <f>IF($B34&gt;20,IF(EIOPA_RFR!U39*(1%+VLOOKUP($B$27,Int_Rate_Param,2,FALSE))&lt;1%+EIOPA_RFR!U39,1%+EIOPA_RFR!U39,EIOPA_RFR!U39*(1%+VLOOKUP($B$27,Int_Rate_Param,2,FALSE))),IF(EIOPA_RFR!U39*(1%+VLOOKUP($B34,Int_Rate_Param,2,FALSE))&lt;1%+EIOPA_RFR!U39,1%+EIOPA_RFR!U39,EIOPA_RFR!U39*(1%+VLOOKUP($B34,Int_Rate_Param,2,FALSE))))</f>
        <v>1.5599999999999999E-2</v>
      </c>
      <c r="V34" s="94">
        <f>IF($B34&gt;20,IF(EIOPA_RFR!V39*(1%+VLOOKUP($B$27,Int_Rate_Param,2,FALSE))&lt;1%+EIOPA_RFR!V39,1%+EIOPA_RFR!V39,EIOPA_RFR!V39*(1%+VLOOKUP($B$27,Int_Rate_Param,2,FALSE))),IF(EIOPA_RFR!V39*(1%+VLOOKUP($B34,Int_Rate_Param,2,FALSE))&lt;1%+EIOPA_RFR!V39,1%+EIOPA_RFR!V39,EIOPA_RFR!V39*(1%+VLOOKUP($B34,Int_Rate_Param,2,FALSE))))</f>
        <v>2.681E-2</v>
      </c>
      <c r="W34" s="94">
        <f>IF($B34&gt;20,IF(EIOPA_RFR!W39*(1%+VLOOKUP($B$27,Int_Rate_Param,2,FALSE))&lt;1%+EIOPA_RFR!W39,1%+EIOPA_RFR!W39,EIOPA_RFR!W39*(1%+VLOOKUP($B$27,Int_Rate_Param,2,FALSE))),IF(EIOPA_RFR!W39*(1%+VLOOKUP($B34,Int_Rate_Param,2,FALSE))&lt;1%+EIOPA_RFR!W39,1%+EIOPA_RFR!W39,EIOPA_RFR!W39*(1%+VLOOKUP($B34,Int_Rate_Param,2,FALSE))))</f>
        <v>2.681E-2</v>
      </c>
      <c r="X34" s="94">
        <f>IF($B34&gt;20,IF(EIOPA_RFR!X39*(1%+VLOOKUP($B$27,Int_Rate_Param,2,FALSE))&lt;1%+EIOPA_RFR!X39,1%+EIOPA_RFR!X39,EIOPA_RFR!X39*(1%+VLOOKUP($B$27,Int_Rate_Param,2,FALSE))),IF(EIOPA_RFR!X39*(1%+VLOOKUP($B34,Int_Rate_Param,2,FALSE))&lt;1%+EIOPA_RFR!X39,1%+EIOPA_RFR!X39,EIOPA_RFR!X39*(1%+VLOOKUP($B34,Int_Rate_Param,2,FALSE))))</f>
        <v>2.681E-2</v>
      </c>
      <c r="Y34" s="94">
        <f>IF($B34&gt;20,IF(EIOPA_RFR!Y39*(1%+VLOOKUP($B$27,Int_Rate_Param,2,FALSE))&lt;1%+EIOPA_RFR!Y39,1%+EIOPA_RFR!Y39,EIOPA_RFR!Y39*(1%+VLOOKUP($B$27,Int_Rate_Param,2,FALSE))),IF(EIOPA_RFR!Y39*(1%+VLOOKUP($B34,Int_Rate_Param,2,FALSE))&lt;1%+EIOPA_RFR!Y39,1%+EIOPA_RFR!Y39,EIOPA_RFR!Y39*(1%+VLOOKUP($B34,Int_Rate_Param,2,FALSE))))</f>
        <v>2.681E-2</v>
      </c>
      <c r="Z34" s="94">
        <f>IF($B34&gt;20,IF(EIOPA_RFR!Z39*(1%+VLOOKUP($B$27,Int_Rate_Param,2,FALSE))&lt;1%+EIOPA_RFR!Z39,1%+EIOPA_RFR!Z39,EIOPA_RFR!Z39*(1%+VLOOKUP($B$27,Int_Rate_Param,2,FALSE))),IF(EIOPA_RFR!Z39*(1%+VLOOKUP($B34,Int_Rate_Param,2,FALSE))&lt;1%+EIOPA_RFR!Z39,1%+EIOPA_RFR!Z39,EIOPA_RFR!Z39*(1%+VLOOKUP($B34,Int_Rate_Param,2,FALSE))))</f>
        <v>3.8350000000000002E-2</v>
      </c>
      <c r="AA34" s="94">
        <f>IF($B34&gt;20,IF(EIOPA_RFR!AA39*(1%+VLOOKUP($B$27,Int_Rate_Param,2,FALSE))&lt;1%+EIOPA_RFR!AA39,1%+EIOPA_RFR!AA39,EIOPA_RFR!AA39*(1%+VLOOKUP($B$27,Int_Rate_Param,2,FALSE))),IF(EIOPA_RFR!AA39*(1%+VLOOKUP($B34,Int_Rate_Param,2,FALSE))&lt;1%+EIOPA_RFR!AA39,1%+EIOPA_RFR!AA39,EIOPA_RFR!AA39*(1%+VLOOKUP($B34,Int_Rate_Param,2,FALSE))))</f>
        <v>4.99E-2</v>
      </c>
      <c r="AB34" s="94">
        <f>IF($B34&gt;20,IF(EIOPA_RFR!AB39*(1%+VLOOKUP($B$27,Int_Rate_Param,2,FALSE))&lt;1%+EIOPA_RFR!AB39,1%+EIOPA_RFR!AB39,EIOPA_RFR!AB39*(1%+VLOOKUP($B$27,Int_Rate_Param,2,FALSE))),IF(EIOPA_RFR!AB39*(1%+VLOOKUP($B34,Int_Rate_Param,2,FALSE))&lt;1%+EIOPA_RFR!AB39,1%+EIOPA_RFR!AB39,EIOPA_RFR!AB39*(1%+VLOOKUP($B34,Int_Rate_Param,2,FALSE))))</f>
        <v>2.681E-2</v>
      </c>
      <c r="AC34" s="94">
        <f>IF($B34&gt;20,IF(EIOPA_RFR!AC39*(1%+VLOOKUP($B$27,Int_Rate_Param,2,FALSE))&lt;1%+EIOPA_RFR!AC39,1%+EIOPA_RFR!AC39,EIOPA_RFR!AC39*(1%+VLOOKUP($B$27,Int_Rate_Param,2,FALSE))),IF(EIOPA_RFR!AC39*(1%+VLOOKUP($B34,Int_Rate_Param,2,FALSE))&lt;1%+EIOPA_RFR!AC39,1%+EIOPA_RFR!AC39,EIOPA_RFR!AC39*(1%+VLOOKUP($B34,Int_Rate_Param,2,FALSE))))</f>
        <v>5.3950000000000005E-2</v>
      </c>
      <c r="AD34" s="94">
        <f>IF($B34&gt;20,IF(EIOPA_RFR!AD39*(1%+VLOOKUP($B$27,Int_Rate_Param,2,FALSE))&lt;1%+EIOPA_RFR!AD39,1%+EIOPA_RFR!AD39,EIOPA_RFR!AD39*(1%+VLOOKUP($B$27,Int_Rate_Param,2,FALSE))),IF(EIOPA_RFR!AD39*(1%+VLOOKUP($B34,Int_Rate_Param,2,FALSE))&lt;1%+EIOPA_RFR!AD39,1%+EIOPA_RFR!AD39,EIOPA_RFR!AD39*(1%+VLOOKUP($B34,Int_Rate_Param,2,FALSE))))</f>
        <v>7.2599999999999998E-2</v>
      </c>
      <c r="AE34" s="94">
        <f>IF($B34&gt;20,IF(EIOPA_RFR!AE39*(1%+VLOOKUP($B$27,Int_Rate_Param,2,FALSE))&lt;1%+EIOPA_RFR!AE39,1%+EIOPA_RFR!AE39,EIOPA_RFR!AE39*(1%+VLOOKUP($B$27,Int_Rate_Param,2,FALSE))),IF(EIOPA_RFR!AE39*(1%+VLOOKUP($B34,Int_Rate_Param,2,FALSE))&lt;1%+EIOPA_RFR!AE39,1%+EIOPA_RFR!AE39,EIOPA_RFR!AE39*(1%+VLOOKUP($B34,Int_Rate_Param,2,FALSE))))</f>
        <v>2.681E-2</v>
      </c>
      <c r="AF34" s="94">
        <f>IF($B34&gt;20,IF(EIOPA_RFR!AF39*(1%+VLOOKUP($B$27,Int_Rate_Param,2,FALSE))&lt;1%+EIOPA_RFR!AF39,1%+EIOPA_RFR!AF39,EIOPA_RFR!AF39*(1%+VLOOKUP($B$27,Int_Rate_Param,2,FALSE))),IF(EIOPA_RFR!AF39*(1%+VLOOKUP($B34,Int_Rate_Param,2,FALSE))&lt;1%+EIOPA_RFR!AF39,1%+EIOPA_RFR!AF39,EIOPA_RFR!AF39*(1%+VLOOKUP($B34,Int_Rate_Param,2,FALSE))))</f>
        <v>2.681E-2</v>
      </c>
      <c r="AG34" s="94">
        <f>IF($B34&gt;20,IF(EIOPA_RFR!AG39*(1%+VLOOKUP($B$27,Int_Rate_Param,2,FALSE))&lt;1%+EIOPA_RFR!AG39,1%+EIOPA_RFR!AG39,EIOPA_RFR!AG39*(1%+VLOOKUP($B$27,Int_Rate_Param,2,FALSE))),IF(EIOPA_RFR!AG39*(1%+VLOOKUP($B34,Int_Rate_Param,2,FALSE))&lt;1%+EIOPA_RFR!AG39,1%+EIOPA_RFR!AG39,EIOPA_RFR!AG39*(1%+VLOOKUP($B34,Int_Rate_Param,2,FALSE))))</f>
        <v>2.681E-2</v>
      </c>
      <c r="AH34" s="94">
        <f>IF($B34&gt;20,IF(EIOPA_RFR!AH39*(1%+VLOOKUP($B$27,Int_Rate_Param,2,FALSE))&lt;1%+EIOPA_RFR!AH39,1%+EIOPA_RFR!AH39,EIOPA_RFR!AH39*(1%+VLOOKUP($B$27,Int_Rate_Param,2,FALSE))),IF(EIOPA_RFR!AH39*(1%+VLOOKUP($B34,Int_Rate_Param,2,FALSE))&lt;1%+EIOPA_RFR!AH39,1%+EIOPA_RFR!AH39,EIOPA_RFR!AH39*(1%+VLOOKUP($B34,Int_Rate_Param,2,FALSE))))</f>
        <v>3.8870000000000002E-2</v>
      </c>
      <c r="AI34" s="94">
        <f>IF($B34&gt;20,IF(EIOPA_RFR!AI39*(1%+VLOOKUP($B$27,Int_Rate_Param,2,FALSE))&lt;1%+EIOPA_RFR!AI39,1%+EIOPA_RFR!AI39,EIOPA_RFR!AI39*(1%+VLOOKUP($B$27,Int_Rate_Param,2,FALSE))),IF(EIOPA_RFR!AI39*(1%+VLOOKUP($B34,Int_Rate_Param,2,FALSE))&lt;1%+EIOPA_RFR!AI39,1%+EIOPA_RFR!AI39,EIOPA_RFR!AI39*(1%+VLOOKUP($B34,Int_Rate_Param,2,FALSE))))</f>
        <v>1.5599999999999999E-2</v>
      </c>
      <c r="AJ34" s="94">
        <f>IF($B34&gt;20,IF(EIOPA_RFR!AJ39*(1%+VLOOKUP($B$27,Int_Rate_Param,2,FALSE))&lt;1%+EIOPA_RFR!AJ39,1%+EIOPA_RFR!AJ39,EIOPA_RFR!AJ39*(1%+VLOOKUP($B$27,Int_Rate_Param,2,FALSE))),IF(EIOPA_RFR!AJ39*(1%+VLOOKUP($B34,Int_Rate_Param,2,FALSE))&lt;1%+EIOPA_RFR!AJ39,1%+EIOPA_RFR!AJ39,EIOPA_RFR!AJ39*(1%+VLOOKUP($B34,Int_Rate_Param,2,FALSE))))</f>
        <v>2.2749999999999999E-2</v>
      </c>
      <c r="AK34" s="94">
        <f>IF($B34&gt;20,IF(EIOPA_RFR!AK39*(1%+VLOOKUP($B$27,Int_Rate_Param,2,FALSE))&lt;1%+EIOPA_RFR!AK39,1%+EIOPA_RFR!AK39,EIOPA_RFR!AK39*(1%+VLOOKUP($B$27,Int_Rate_Param,2,FALSE))),IF(EIOPA_RFR!AK39*(1%+VLOOKUP($B34,Int_Rate_Param,2,FALSE))&lt;1%+EIOPA_RFR!AK39,1%+EIOPA_RFR!AK39,EIOPA_RFR!AK39*(1%+VLOOKUP($B34,Int_Rate_Param,2,FALSE))))</f>
        <v>4.3279999999999999E-2</v>
      </c>
      <c r="AL34" s="94">
        <f>IF($B34&gt;20,IF(EIOPA_RFR!AL39*(1%+VLOOKUP($B$27,Int_Rate_Param,2,FALSE))&lt;1%+EIOPA_RFR!AL39,1%+EIOPA_RFR!AL39,EIOPA_RFR!AL39*(1%+VLOOKUP($B$27,Int_Rate_Param,2,FALSE))),IF(EIOPA_RFR!AL39*(1%+VLOOKUP($B34,Int_Rate_Param,2,FALSE))&lt;1%+EIOPA_RFR!AL39,1%+EIOPA_RFR!AL39,EIOPA_RFR!AL39*(1%+VLOOKUP($B34,Int_Rate_Param,2,FALSE))))</f>
        <v>8.9779999999999999E-2</v>
      </c>
      <c r="AM34" s="94">
        <f>IF($B34&gt;20,IF(EIOPA_RFR!AM39*(1%+VLOOKUP($B$27,Int_Rate_Param,2,FALSE))&lt;1%+EIOPA_RFR!AM39,1%+EIOPA_RFR!AM39,EIOPA_RFR!AM39*(1%+VLOOKUP($B$27,Int_Rate_Param,2,FALSE))),IF(EIOPA_RFR!AM39*(1%+VLOOKUP($B34,Int_Rate_Param,2,FALSE))&lt;1%+EIOPA_RFR!AM39,1%+EIOPA_RFR!AM39,EIOPA_RFR!AM39*(1%+VLOOKUP($B34,Int_Rate_Param,2,FALSE))))</f>
        <v>3.2140000000000002E-2</v>
      </c>
      <c r="AN34" s="94">
        <f>IF($B34&gt;20,IF(EIOPA_RFR!AN39*(1%+VLOOKUP($B$27,Int_Rate_Param,2,FALSE))&lt;1%+EIOPA_RFR!AN39,1%+EIOPA_RFR!AN39,EIOPA_RFR!AN39*(1%+VLOOKUP($B$27,Int_Rate_Param,2,FALSE))),IF(EIOPA_RFR!AN39*(1%+VLOOKUP($B34,Int_Rate_Param,2,FALSE))&lt;1%+EIOPA_RFR!AN39,1%+EIOPA_RFR!AN39,EIOPA_RFR!AN39*(1%+VLOOKUP($B34,Int_Rate_Param,2,FALSE))))</f>
        <v>5.2479999999999999E-2</v>
      </c>
      <c r="AO34" s="94">
        <f>IF($B34&gt;20,IF(EIOPA_RFR!AO39*(1%+VLOOKUP($B$27,Int_Rate_Param,2,FALSE))&lt;1%+EIOPA_RFR!AO39,1%+EIOPA_RFR!AO39,EIOPA_RFR!AO39*(1%+VLOOKUP($B$27,Int_Rate_Param,2,FALSE))),IF(EIOPA_RFR!AO39*(1%+VLOOKUP($B34,Int_Rate_Param,2,FALSE))&lt;1%+EIOPA_RFR!AO39,1%+EIOPA_RFR!AO39,EIOPA_RFR!AO39*(1%+VLOOKUP($B34,Int_Rate_Param,2,FALSE))))</f>
        <v>5.4240000000000003E-2</v>
      </c>
      <c r="AP34" s="94">
        <f>IF($B34&gt;20,IF(EIOPA_RFR!AP39*(1%+VLOOKUP($B$27,Int_Rate_Param,2,FALSE))&lt;1%+EIOPA_RFR!AP39,1%+EIOPA_RFR!AP39,EIOPA_RFR!AP39*(1%+VLOOKUP($B$27,Int_Rate_Param,2,FALSE))),IF(EIOPA_RFR!AP39*(1%+VLOOKUP($B34,Int_Rate_Param,2,FALSE))&lt;1%+EIOPA_RFR!AP39,1%+EIOPA_RFR!AP39,EIOPA_RFR!AP39*(1%+VLOOKUP($B34,Int_Rate_Param,2,FALSE))))</f>
        <v>6.7549999999999999E-2</v>
      </c>
      <c r="AQ34" s="94">
        <f>IF($B34&gt;20,IF(EIOPA_RFR!AQ39*(1%+VLOOKUP($B$27,Int_Rate_Param,2,FALSE))&lt;1%+EIOPA_RFR!AQ39,1%+EIOPA_RFR!AQ39,EIOPA_RFR!AQ39*(1%+VLOOKUP($B$27,Int_Rate_Param,2,FALSE))),IF(EIOPA_RFR!AQ39*(1%+VLOOKUP($B34,Int_Rate_Param,2,FALSE))&lt;1%+EIOPA_RFR!AQ39,1%+EIOPA_RFR!AQ39,EIOPA_RFR!AQ39*(1%+VLOOKUP($B34,Int_Rate_Param,2,FALSE))))</f>
        <v>3.9070000000000001E-2</v>
      </c>
      <c r="AR34" s="94">
        <f>IF($B34&gt;20,IF(EIOPA_RFR!AR39*(1%+VLOOKUP($B$27,Int_Rate_Param,2,FALSE))&lt;1%+EIOPA_RFR!AR39,1%+EIOPA_RFR!AR39,EIOPA_RFR!AR39*(1%+VLOOKUP($B$27,Int_Rate_Param,2,FALSE))),IF(EIOPA_RFR!AR39*(1%+VLOOKUP($B34,Int_Rate_Param,2,FALSE))&lt;1%+EIOPA_RFR!AR39,1%+EIOPA_RFR!AR39,EIOPA_RFR!AR39*(1%+VLOOKUP($B34,Int_Rate_Param,2,FALSE))))</f>
        <v>7.4719999999999995E-2</v>
      </c>
      <c r="AS34" s="94">
        <f>IF($B34&gt;20,IF(EIOPA_RFR!AS39*(1%+VLOOKUP($B$27,Int_Rate_Param,2,FALSE))&lt;1%+EIOPA_RFR!AS39,1%+EIOPA_RFR!AS39,EIOPA_RFR!AS39*(1%+VLOOKUP($B$27,Int_Rate_Param,2,FALSE))),IF(EIOPA_RFR!AS39*(1%+VLOOKUP($B34,Int_Rate_Param,2,FALSE))&lt;1%+EIOPA_RFR!AS39,1%+EIOPA_RFR!AS39,EIOPA_RFR!AS39*(1%+VLOOKUP($B34,Int_Rate_Param,2,FALSE))))</f>
        <v>1.7180000000000001E-2</v>
      </c>
      <c r="AT34" s="94">
        <f>IF($B34&gt;20,IF(EIOPA_RFR!AT39*(1%+VLOOKUP($B$27,Int_Rate_Param,2,FALSE))&lt;1%+EIOPA_RFR!AT39,1%+EIOPA_RFR!AT39,EIOPA_RFR!AT39*(1%+VLOOKUP($B$27,Int_Rate_Param,2,FALSE))),IF(EIOPA_RFR!AT39*(1%+VLOOKUP($B34,Int_Rate_Param,2,FALSE))&lt;1%+EIOPA_RFR!AT39,1%+EIOPA_RFR!AT39,EIOPA_RFR!AT39*(1%+VLOOKUP($B34,Int_Rate_Param,2,FALSE))))</f>
        <v>5.3620000000000001E-2</v>
      </c>
      <c r="AU34" s="94">
        <f>IF($B34&gt;20,IF(EIOPA_RFR!AU39*(1%+VLOOKUP($B$27,Int_Rate_Param,2,FALSE))&lt;1%+EIOPA_RFR!AU39,1%+EIOPA_RFR!AU39,EIOPA_RFR!AU39*(1%+VLOOKUP($B$27,Int_Rate_Param,2,FALSE))),IF(EIOPA_RFR!AU39*(1%+VLOOKUP($B34,Int_Rate_Param,2,FALSE))&lt;1%+EIOPA_RFR!AU39,1%+EIOPA_RFR!AU39,EIOPA_RFR!AU39*(1%+VLOOKUP($B34,Int_Rate_Param,2,FALSE))))</f>
        <v>8.7229999999999988E-2</v>
      </c>
      <c r="AV34" s="94">
        <f>IF($B34&gt;20,IF(EIOPA_RFR!AV39*(1%+VLOOKUP($B$27,Int_Rate_Param,2,FALSE))&lt;1%+EIOPA_RFR!AV39,1%+EIOPA_RFR!AV39,EIOPA_RFR!AV39*(1%+VLOOKUP($B$27,Int_Rate_Param,2,FALSE))),IF(EIOPA_RFR!AV39*(1%+VLOOKUP($B34,Int_Rate_Param,2,FALSE))&lt;1%+EIOPA_RFR!AV39,1%+EIOPA_RFR!AV39,EIOPA_RFR!AV39*(1%+VLOOKUP($B34,Int_Rate_Param,2,FALSE))))</f>
        <v>5.117E-2</v>
      </c>
      <c r="AW34" s="94">
        <f>IF($B34&gt;20,IF(EIOPA_RFR!AW39*(1%+VLOOKUP($B$27,Int_Rate_Param,2,FALSE))&lt;1%+EIOPA_RFR!AW39,1%+EIOPA_RFR!AW39,EIOPA_RFR!AW39*(1%+VLOOKUP($B$27,Int_Rate_Param,2,FALSE))),IF(EIOPA_RFR!AW39*(1%+VLOOKUP($B34,Int_Rate_Param,2,FALSE))&lt;1%+EIOPA_RFR!AW39,1%+EIOPA_RFR!AW39,EIOPA_RFR!AW39*(1%+VLOOKUP($B34,Int_Rate_Param,2,FALSE))))</f>
        <v>3.8940000000000002E-2</v>
      </c>
      <c r="AX34" s="94">
        <f>IF($B34&gt;20,IF(EIOPA_RFR!AX39*(1%+VLOOKUP($B$27,Int_Rate_Param,2,FALSE))&lt;1%+EIOPA_RFR!AX39,1%+EIOPA_RFR!AX39,EIOPA_RFR!AX39*(1%+VLOOKUP($B$27,Int_Rate_Param,2,FALSE))),IF(EIOPA_RFR!AX39*(1%+VLOOKUP($B34,Int_Rate_Param,2,FALSE))&lt;1%+EIOPA_RFR!AX39,1%+EIOPA_RFR!AX39,EIOPA_RFR!AX39*(1%+VLOOKUP($B34,Int_Rate_Param,2,FALSE))))</f>
        <v>8.7509999999999991E-2</v>
      </c>
      <c r="AY34" s="94">
        <f>IF($B34&gt;20,IF(EIOPA_RFR!AY39*(1%+VLOOKUP($B$27,Int_Rate_Param,2,FALSE))&lt;1%+EIOPA_RFR!AY39,1%+EIOPA_RFR!AY39,EIOPA_RFR!AY39*(1%+VLOOKUP($B$27,Int_Rate_Param,2,FALSE))),IF(EIOPA_RFR!AY39*(1%+VLOOKUP($B34,Int_Rate_Param,2,FALSE))&lt;1%+EIOPA_RFR!AY39,1%+EIOPA_RFR!AY39,EIOPA_RFR!AY39*(1%+VLOOKUP($B34,Int_Rate_Param,2,FALSE))))</f>
        <v>3.1320000000000001E-2</v>
      </c>
      <c r="AZ34" s="94">
        <f>IF($B34&gt;20,IF(EIOPA_RFR!AZ39*(1%+VLOOKUP($B$27,Int_Rate_Param,2,FALSE))&lt;1%+EIOPA_RFR!AZ39,1%+EIOPA_RFR!AZ39,EIOPA_RFR!AZ39*(1%+VLOOKUP($B$27,Int_Rate_Param,2,FALSE))),IF(EIOPA_RFR!AZ39*(1%+VLOOKUP($B34,Int_Rate_Param,2,FALSE))&lt;1%+EIOPA_RFR!AZ39,1%+EIOPA_RFR!AZ39,EIOPA_RFR!AZ39*(1%+VLOOKUP($B34,Int_Rate_Param,2,FALSE))))</f>
        <v>3.3829999999999999E-2</v>
      </c>
      <c r="BA34" s="94">
        <f>IF($B34&gt;20,IF(EIOPA_RFR!BA39*(1%+VLOOKUP($B$27,Int_Rate_Param,2,FALSE))&lt;1%+EIOPA_RFR!BA39,1%+EIOPA_RFR!BA39,EIOPA_RFR!BA39*(1%+VLOOKUP($B$27,Int_Rate_Param,2,FALSE))),IF(EIOPA_RFR!BA39*(1%+VLOOKUP($B34,Int_Rate_Param,2,FALSE))&lt;1%+EIOPA_RFR!BA39,1%+EIOPA_RFR!BA39,EIOPA_RFR!BA39*(1%+VLOOKUP($B34,Int_Rate_Param,2,FALSE))))</f>
        <v>4.224E-2</v>
      </c>
      <c r="BB34" s="94">
        <f>IF($B34&gt;20,IF(EIOPA_RFR!BB39*(1%+VLOOKUP($B$27,Int_Rate_Param,2,FALSE))&lt;1%+EIOPA_RFR!BB39,1%+EIOPA_RFR!BB39,EIOPA_RFR!BB39*(1%+VLOOKUP($B$27,Int_Rate_Param,2,FALSE))),IF(EIOPA_RFR!BB39*(1%+VLOOKUP($B34,Int_Rate_Param,2,FALSE))&lt;1%+EIOPA_RFR!BB39,1%+EIOPA_RFR!BB39,EIOPA_RFR!BB39*(1%+VLOOKUP($B34,Int_Rate_Param,2,FALSE))))</f>
        <v>9.307E-2</v>
      </c>
      <c r="BC34" s="94">
        <f>IF($B34&gt;20,IF(EIOPA_RFR!BC39*(1%+VLOOKUP($B$27,Int_Rate_Param,2,FALSE))&lt;1%+EIOPA_RFR!BC39,1%+EIOPA_RFR!BC39,EIOPA_RFR!BC39*(1%+VLOOKUP($B$27,Int_Rate_Param,2,FALSE))),IF(EIOPA_RFR!BC39*(1%+VLOOKUP($B34,Int_Rate_Param,2,FALSE))&lt;1%+EIOPA_RFR!BC39,1%+EIOPA_RFR!BC39,EIOPA_RFR!BC39*(1%+VLOOKUP($B34,Int_Rate_Param,2,FALSE))))</f>
        <v>3.5409999999999997E-2</v>
      </c>
    </row>
    <row r="35" spans="1:55" x14ac:dyDescent="0.25">
      <c r="A35">
        <f t="shared" si="0"/>
        <v>30</v>
      </c>
      <c r="B35" s="95">
        <v>28</v>
      </c>
      <c r="C35" s="94">
        <f>IF($B35&gt;20,IF(EIOPA_RFR!C40*(1%+VLOOKUP($B$27,Int_Rate_Param,2,FALSE))&lt;1%+EIOPA_RFR!C40,1%+EIOPA_RFR!C40,EIOPA_RFR!C40*(1%+VLOOKUP($B$27,Int_Rate_Param,2,FALSE))),IF(EIOPA_RFR!C40*(1%+VLOOKUP($B35,Int_Rate_Param,2,FALSE))&lt;1%+EIOPA_RFR!C40,1%+EIOPA_RFR!C40,EIOPA_RFR!C40*(1%+VLOOKUP($B35,Int_Rate_Param,2,FALSE))))</f>
        <v>2.7450000000000002E-2</v>
      </c>
      <c r="D35" s="94">
        <f>IF($B35&gt;20,IF(EIOPA_RFR!D40*(1%+VLOOKUP($B$27,Int_Rate_Param,2,FALSE))&lt;1%+EIOPA_RFR!D40,1%+EIOPA_RFR!D40,EIOPA_RFR!D40*(1%+VLOOKUP($B$27,Int_Rate_Param,2,FALSE))),IF(EIOPA_RFR!D40*(1%+VLOOKUP($B35,Int_Rate_Param,2,FALSE))&lt;1%+EIOPA_RFR!D40,1%+EIOPA_RFR!D40,EIOPA_RFR!D40*(1%+VLOOKUP($B35,Int_Rate_Param,2,FALSE))))</f>
        <v>2.7450000000000002E-2</v>
      </c>
      <c r="E35" s="94">
        <f>IF($B35&gt;20,IF(EIOPA_RFR!E40*(1%+VLOOKUP($B$27,Int_Rate_Param,2,FALSE))&lt;1%+EIOPA_RFR!E40,1%+EIOPA_RFR!E40,EIOPA_RFR!E40*(1%+VLOOKUP($B$27,Int_Rate_Param,2,FALSE))),IF(EIOPA_RFR!E40*(1%+VLOOKUP($B35,Int_Rate_Param,2,FALSE))&lt;1%+EIOPA_RFR!E40,1%+EIOPA_RFR!E40,EIOPA_RFR!E40*(1%+VLOOKUP($B35,Int_Rate_Param,2,FALSE))))</f>
        <v>2.7450000000000002E-2</v>
      </c>
      <c r="F35" s="94">
        <f>IF($B35&gt;20,IF(EIOPA_RFR!F40*(1%+VLOOKUP($B$27,Int_Rate_Param,2,FALSE))&lt;1%+EIOPA_RFR!F40,1%+EIOPA_RFR!F40,EIOPA_RFR!F40*(1%+VLOOKUP($B$27,Int_Rate_Param,2,FALSE))),IF(EIOPA_RFR!F40*(1%+VLOOKUP($B35,Int_Rate_Param,2,FALSE))&lt;1%+EIOPA_RFR!F40,1%+EIOPA_RFR!F40,EIOPA_RFR!F40*(1%+VLOOKUP($B35,Int_Rate_Param,2,FALSE))))</f>
        <v>2.7020000000000002E-2</v>
      </c>
      <c r="G35" s="94">
        <f>IF($B35&gt;20,IF(EIOPA_RFR!G40*(1%+VLOOKUP($B$27,Int_Rate_Param,2,FALSE))&lt;1%+EIOPA_RFR!G40,1%+EIOPA_RFR!G40,EIOPA_RFR!G40*(1%+VLOOKUP($B$27,Int_Rate_Param,2,FALSE))),IF(EIOPA_RFR!G40*(1%+VLOOKUP($B35,Int_Rate_Param,2,FALSE))&lt;1%+EIOPA_RFR!G40,1%+EIOPA_RFR!G40,EIOPA_RFR!G40*(1%+VLOOKUP($B35,Int_Rate_Param,2,FALSE))))</f>
        <v>4.5490000000000003E-2</v>
      </c>
      <c r="H35" s="94">
        <f>IF($B35&gt;20,IF(EIOPA_RFR!H40*(1%+VLOOKUP($B$27,Int_Rate_Param,2,FALSE))&lt;1%+EIOPA_RFR!H40,1%+EIOPA_RFR!H40,EIOPA_RFR!H40*(1%+VLOOKUP($B$27,Int_Rate_Param,2,FALSE))),IF(EIOPA_RFR!H40*(1%+VLOOKUP($B35,Int_Rate_Param,2,FALSE))&lt;1%+EIOPA_RFR!H40,1%+EIOPA_RFR!H40,EIOPA_RFR!H40*(1%+VLOOKUP($B35,Int_Rate_Param,2,FALSE))))</f>
        <v>2.7450000000000002E-2</v>
      </c>
      <c r="I35" s="94">
        <f>IF($B35&gt;20,IF(EIOPA_RFR!I40*(1%+VLOOKUP($B$27,Int_Rate_Param,2,FALSE))&lt;1%+EIOPA_RFR!I40,1%+EIOPA_RFR!I40,EIOPA_RFR!I40*(1%+VLOOKUP($B$27,Int_Rate_Param,2,FALSE))),IF(EIOPA_RFR!I40*(1%+VLOOKUP($B35,Int_Rate_Param,2,FALSE))&lt;1%+EIOPA_RFR!I40,1%+EIOPA_RFR!I40,EIOPA_RFR!I40*(1%+VLOOKUP($B35,Int_Rate_Param,2,FALSE))))</f>
        <v>3.1940000000000003E-2</v>
      </c>
      <c r="J35" s="94">
        <f>IF($B35&gt;20,IF(EIOPA_RFR!J40*(1%+VLOOKUP($B$27,Int_Rate_Param,2,FALSE))&lt;1%+EIOPA_RFR!J40,1%+EIOPA_RFR!J40,EIOPA_RFR!J40*(1%+VLOOKUP($B$27,Int_Rate_Param,2,FALSE))),IF(EIOPA_RFR!J40*(1%+VLOOKUP($B35,Int_Rate_Param,2,FALSE))&lt;1%+EIOPA_RFR!J40,1%+EIOPA_RFR!J40,EIOPA_RFR!J40*(1%+VLOOKUP($B35,Int_Rate_Param,2,FALSE))))</f>
        <v>2.7369999999999998E-2</v>
      </c>
      <c r="K35" s="94">
        <f>IF($B35&gt;20,IF(EIOPA_RFR!K40*(1%+VLOOKUP($B$27,Int_Rate_Param,2,FALSE))&lt;1%+EIOPA_RFR!K40,1%+EIOPA_RFR!K40,EIOPA_RFR!K40*(1%+VLOOKUP($B$27,Int_Rate_Param,2,FALSE))),IF(EIOPA_RFR!K40*(1%+VLOOKUP($B35,Int_Rate_Param,2,FALSE))&lt;1%+EIOPA_RFR!K40,1%+EIOPA_RFR!K40,EIOPA_RFR!K40*(1%+VLOOKUP($B35,Int_Rate_Param,2,FALSE))))</f>
        <v>2.7450000000000002E-2</v>
      </c>
      <c r="L35" s="94">
        <f>IF($B35&gt;20,IF(EIOPA_RFR!L40*(1%+VLOOKUP($B$27,Int_Rate_Param,2,FALSE))&lt;1%+EIOPA_RFR!L40,1%+EIOPA_RFR!L40,EIOPA_RFR!L40*(1%+VLOOKUP($B$27,Int_Rate_Param,2,FALSE))),IF(EIOPA_RFR!L40*(1%+VLOOKUP($B35,Int_Rate_Param,2,FALSE))&lt;1%+EIOPA_RFR!L40,1%+EIOPA_RFR!L40,EIOPA_RFR!L40*(1%+VLOOKUP($B35,Int_Rate_Param,2,FALSE))))</f>
        <v>2.7450000000000002E-2</v>
      </c>
      <c r="M35" s="94">
        <f>IF($B35&gt;20,IF(EIOPA_RFR!M40*(1%+VLOOKUP($B$27,Int_Rate_Param,2,FALSE))&lt;1%+EIOPA_RFR!M40,1%+EIOPA_RFR!M40,EIOPA_RFR!M40*(1%+VLOOKUP($B$27,Int_Rate_Param,2,FALSE))),IF(EIOPA_RFR!M40*(1%+VLOOKUP($B35,Int_Rate_Param,2,FALSE))&lt;1%+EIOPA_RFR!M40,1%+EIOPA_RFR!M40,EIOPA_RFR!M40*(1%+VLOOKUP($B35,Int_Rate_Param,2,FALSE))))</f>
        <v>2.7450000000000002E-2</v>
      </c>
      <c r="N35" s="94">
        <f>IF($B35&gt;20,IF(EIOPA_RFR!N40*(1%+VLOOKUP($B$27,Int_Rate_Param,2,FALSE))&lt;1%+EIOPA_RFR!N40,1%+EIOPA_RFR!N40,EIOPA_RFR!N40*(1%+VLOOKUP($B$27,Int_Rate_Param,2,FALSE))),IF(EIOPA_RFR!N40*(1%+VLOOKUP($B35,Int_Rate_Param,2,FALSE))&lt;1%+EIOPA_RFR!N40,1%+EIOPA_RFR!N40,EIOPA_RFR!N40*(1%+VLOOKUP($B35,Int_Rate_Param,2,FALSE))))</f>
        <v>2.7450000000000002E-2</v>
      </c>
      <c r="O35" s="94">
        <f>IF($B35&gt;20,IF(EIOPA_RFR!O40*(1%+VLOOKUP($B$27,Int_Rate_Param,2,FALSE))&lt;1%+EIOPA_RFR!O40,1%+EIOPA_RFR!O40,EIOPA_RFR!O40*(1%+VLOOKUP($B$27,Int_Rate_Param,2,FALSE))),IF(EIOPA_RFR!O40*(1%+VLOOKUP($B35,Int_Rate_Param,2,FALSE))&lt;1%+EIOPA_RFR!O40,1%+EIOPA_RFR!O40,EIOPA_RFR!O40*(1%+VLOOKUP($B35,Int_Rate_Param,2,FALSE))))</f>
        <v>2.7450000000000002E-2</v>
      </c>
      <c r="P35" s="94">
        <f>IF($B35&gt;20,IF(EIOPA_RFR!P40*(1%+VLOOKUP($B$27,Int_Rate_Param,2,FALSE))&lt;1%+EIOPA_RFR!P40,1%+EIOPA_RFR!P40,EIOPA_RFR!P40*(1%+VLOOKUP($B$27,Int_Rate_Param,2,FALSE))),IF(EIOPA_RFR!P40*(1%+VLOOKUP($B35,Int_Rate_Param,2,FALSE))&lt;1%+EIOPA_RFR!P40,1%+EIOPA_RFR!P40,EIOPA_RFR!P40*(1%+VLOOKUP($B35,Int_Rate_Param,2,FALSE))))</f>
        <v>5.3260000000000002E-2</v>
      </c>
      <c r="Q35" s="94">
        <f>IF($B35&gt;20,IF(EIOPA_RFR!Q40*(1%+VLOOKUP($B$27,Int_Rate_Param,2,FALSE))&lt;1%+EIOPA_RFR!Q40,1%+EIOPA_RFR!Q40,EIOPA_RFR!Q40*(1%+VLOOKUP($B$27,Int_Rate_Param,2,FALSE))),IF(EIOPA_RFR!Q40*(1%+VLOOKUP($B35,Int_Rate_Param,2,FALSE))&lt;1%+EIOPA_RFR!Q40,1%+EIOPA_RFR!Q40,EIOPA_RFR!Q40*(1%+VLOOKUP($B35,Int_Rate_Param,2,FALSE))))</f>
        <v>5.5620000000000003E-2</v>
      </c>
      <c r="R35" s="94">
        <f>IF($B35&gt;20,IF(EIOPA_RFR!R40*(1%+VLOOKUP($B$27,Int_Rate_Param,2,FALSE))&lt;1%+EIOPA_RFR!R40,1%+EIOPA_RFR!R40,EIOPA_RFR!R40*(1%+VLOOKUP($B$27,Int_Rate_Param,2,FALSE))),IF(EIOPA_RFR!R40*(1%+VLOOKUP($B35,Int_Rate_Param,2,FALSE))&lt;1%+EIOPA_RFR!R40,1%+EIOPA_RFR!R40,EIOPA_RFR!R40*(1%+VLOOKUP($B35,Int_Rate_Param,2,FALSE))))</f>
        <v>2.7450000000000002E-2</v>
      </c>
      <c r="S35" s="94">
        <f>IF($B35&gt;20,IF(EIOPA_RFR!S40*(1%+VLOOKUP($B$27,Int_Rate_Param,2,FALSE))&lt;1%+EIOPA_RFR!S40,1%+EIOPA_RFR!S40,EIOPA_RFR!S40*(1%+VLOOKUP($B$27,Int_Rate_Param,2,FALSE))),IF(EIOPA_RFR!S40*(1%+VLOOKUP($B35,Int_Rate_Param,2,FALSE))&lt;1%+EIOPA_RFR!S40,1%+EIOPA_RFR!S40,EIOPA_RFR!S40*(1%+VLOOKUP($B35,Int_Rate_Param,2,FALSE))))</f>
        <v>2.7450000000000002E-2</v>
      </c>
      <c r="T35" s="94">
        <f>IF($B35&gt;20,IF(EIOPA_RFR!T40*(1%+VLOOKUP($B$27,Int_Rate_Param,2,FALSE))&lt;1%+EIOPA_RFR!T40,1%+EIOPA_RFR!T40,EIOPA_RFR!T40*(1%+VLOOKUP($B$27,Int_Rate_Param,2,FALSE))),IF(EIOPA_RFR!T40*(1%+VLOOKUP($B35,Int_Rate_Param,2,FALSE))&lt;1%+EIOPA_RFR!T40,1%+EIOPA_RFR!T40,EIOPA_RFR!T40*(1%+VLOOKUP($B35,Int_Rate_Param,2,FALSE))))</f>
        <v>2.7450000000000002E-2</v>
      </c>
      <c r="U35" s="94">
        <f>IF($B35&gt;20,IF(EIOPA_RFR!U40*(1%+VLOOKUP($B$27,Int_Rate_Param,2,FALSE))&lt;1%+EIOPA_RFR!U40,1%+EIOPA_RFR!U40,EIOPA_RFR!U40*(1%+VLOOKUP($B$27,Int_Rate_Param,2,FALSE))),IF(EIOPA_RFR!U40*(1%+VLOOKUP($B35,Int_Rate_Param,2,FALSE))&lt;1%+EIOPA_RFR!U40,1%+EIOPA_RFR!U40,EIOPA_RFR!U40*(1%+VLOOKUP($B35,Int_Rate_Param,2,FALSE))))</f>
        <v>1.6039999999999999E-2</v>
      </c>
      <c r="V35" s="94">
        <f>IF($B35&gt;20,IF(EIOPA_RFR!V40*(1%+VLOOKUP($B$27,Int_Rate_Param,2,FALSE))&lt;1%+EIOPA_RFR!V40,1%+EIOPA_RFR!V40,EIOPA_RFR!V40*(1%+VLOOKUP($B$27,Int_Rate_Param,2,FALSE))),IF(EIOPA_RFR!V40*(1%+VLOOKUP($B35,Int_Rate_Param,2,FALSE))&lt;1%+EIOPA_RFR!V40,1%+EIOPA_RFR!V40,EIOPA_RFR!V40*(1%+VLOOKUP($B35,Int_Rate_Param,2,FALSE))))</f>
        <v>2.7450000000000002E-2</v>
      </c>
      <c r="W35" s="94">
        <f>IF($B35&gt;20,IF(EIOPA_RFR!W40*(1%+VLOOKUP($B$27,Int_Rate_Param,2,FALSE))&lt;1%+EIOPA_RFR!W40,1%+EIOPA_RFR!W40,EIOPA_RFR!W40*(1%+VLOOKUP($B$27,Int_Rate_Param,2,FALSE))),IF(EIOPA_RFR!W40*(1%+VLOOKUP($B35,Int_Rate_Param,2,FALSE))&lt;1%+EIOPA_RFR!W40,1%+EIOPA_RFR!W40,EIOPA_RFR!W40*(1%+VLOOKUP($B35,Int_Rate_Param,2,FALSE))))</f>
        <v>2.7450000000000002E-2</v>
      </c>
      <c r="X35" s="94">
        <f>IF($B35&gt;20,IF(EIOPA_RFR!X40*(1%+VLOOKUP($B$27,Int_Rate_Param,2,FALSE))&lt;1%+EIOPA_RFR!X40,1%+EIOPA_RFR!X40,EIOPA_RFR!X40*(1%+VLOOKUP($B$27,Int_Rate_Param,2,FALSE))),IF(EIOPA_RFR!X40*(1%+VLOOKUP($B35,Int_Rate_Param,2,FALSE))&lt;1%+EIOPA_RFR!X40,1%+EIOPA_RFR!X40,EIOPA_RFR!X40*(1%+VLOOKUP($B35,Int_Rate_Param,2,FALSE))))</f>
        <v>2.7450000000000002E-2</v>
      </c>
      <c r="Y35" s="94">
        <f>IF($B35&gt;20,IF(EIOPA_RFR!Y40*(1%+VLOOKUP($B$27,Int_Rate_Param,2,FALSE))&lt;1%+EIOPA_RFR!Y40,1%+EIOPA_RFR!Y40,EIOPA_RFR!Y40*(1%+VLOOKUP($B$27,Int_Rate_Param,2,FALSE))),IF(EIOPA_RFR!Y40*(1%+VLOOKUP($B35,Int_Rate_Param,2,FALSE))&lt;1%+EIOPA_RFR!Y40,1%+EIOPA_RFR!Y40,EIOPA_RFR!Y40*(1%+VLOOKUP($B35,Int_Rate_Param,2,FALSE))))</f>
        <v>2.7450000000000002E-2</v>
      </c>
      <c r="Z35" s="94">
        <f>IF($B35&gt;20,IF(EIOPA_RFR!Z40*(1%+VLOOKUP($B$27,Int_Rate_Param,2,FALSE))&lt;1%+EIOPA_RFR!Z40,1%+EIOPA_RFR!Z40,EIOPA_RFR!Z40*(1%+VLOOKUP($B$27,Int_Rate_Param,2,FALSE))),IF(EIOPA_RFR!Z40*(1%+VLOOKUP($B35,Int_Rate_Param,2,FALSE))&lt;1%+EIOPA_RFR!Z40,1%+EIOPA_RFR!Z40,EIOPA_RFR!Z40*(1%+VLOOKUP($B35,Int_Rate_Param,2,FALSE))))</f>
        <v>3.8740000000000004E-2</v>
      </c>
      <c r="AA35" s="94">
        <f>IF($B35&gt;20,IF(EIOPA_RFR!AA40*(1%+VLOOKUP($B$27,Int_Rate_Param,2,FALSE))&lt;1%+EIOPA_RFR!AA40,1%+EIOPA_RFR!AA40,EIOPA_RFR!AA40*(1%+VLOOKUP($B$27,Int_Rate_Param,2,FALSE))),IF(EIOPA_RFR!AA40*(1%+VLOOKUP($B35,Int_Rate_Param,2,FALSE))&lt;1%+EIOPA_RFR!AA40,1%+EIOPA_RFR!AA40,EIOPA_RFR!AA40*(1%+VLOOKUP($B35,Int_Rate_Param,2,FALSE))))</f>
        <v>5.0009999999999999E-2</v>
      </c>
      <c r="AB35" s="94">
        <f>IF($B35&gt;20,IF(EIOPA_RFR!AB40*(1%+VLOOKUP($B$27,Int_Rate_Param,2,FALSE))&lt;1%+EIOPA_RFR!AB40,1%+EIOPA_RFR!AB40,EIOPA_RFR!AB40*(1%+VLOOKUP($B$27,Int_Rate_Param,2,FALSE))),IF(EIOPA_RFR!AB40*(1%+VLOOKUP($B35,Int_Rate_Param,2,FALSE))&lt;1%+EIOPA_RFR!AB40,1%+EIOPA_RFR!AB40,EIOPA_RFR!AB40*(1%+VLOOKUP($B35,Int_Rate_Param,2,FALSE))))</f>
        <v>2.7450000000000002E-2</v>
      </c>
      <c r="AC35" s="94">
        <f>IF($B35&gt;20,IF(EIOPA_RFR!AC40*(1%+VLOOKUP($B$27,Int_Rate_Param,2,FALSE))&lt;1%+EIOPA_RFR!AC40,1%+EIOPA_RFR!AC40,EIOPA_RFR!AC40*(1%+VLOOKUP($B$27,Int_Rate_Param,2,FALSE))),IF(EIOPA_RFR!AC40*(1%+VLOOKUP($B35,Int_Rate_Param,2,FALSE))&lt;1%+EIOPA_RFR!AC40,1%+EIOPA_RFR!AC40,EIOPA_RFR!AC40*(1%+VLOOKUP($B35,Int_Rate_Param,2,FALSE))))</f>
        <v>5.3950000000000005E-2</v>
      </c>
      <c r="AD35" s="94">
        <f>IF($B35&gt;20,IF(EIOPA_RFR!AD40*(1%+VLOOKUP($B$27,Int_Rate_Param,2,FALSE))&lt;1%+EIOPA_RFR!AD40,1%+EIOPA_RFR!AD40,EIOPA_RFR!AD40*(1%+VLOOKUP($B$27,Int_Rate_Param,2,FALSE))),IF(EIOPA_RFR!AD40*(1%+VLOOKUP($B35,Int_Rate_Param,2,FALSE))&lt;1%+EIOPA_RFR!AD40,1%+EIOPA_RFR!AD40,EIOPA_RFR!AD40*(1%+VLOOKUP($B35,Int_Rate_Param,2,FALSE))))</f>
        <v>7.2010000000000005E-2</v>
      </c>
      <c r="AE35" s="94">
        <f>IF($B35&gt;20,IF(EIOPA_RFR!AE40*(1%+VLOOKUP($B$27,Int_Rate_Param,2,FALSE))&lt;1%+EIOPA_RFR!AE40,1%+EIOPA_RFR!AE40,EIOPA_RFR!AE40*(1%+VLOOKUP($B$27,Int_Rate_Param,2,FALSE))),IF(EIOPA_RFR!AE40*(1%+VLOOKUP($B35,Int_Rate_Param,2,FALSE))&lt;1%+EIOPA_RFR!AE40,1%+EIOPA_RFR!AE40,EIOPA_RFR!AE40*(1%+VLOOKUP($B35,Int_Rate_Param,2,FALSE))))</f>
        <v>2.7450000000000002E-2</v>
      </c>
      <c r="AF35" s="94">
        <f>IF($B35&gt;20,IF(EIOPA_RFR!AF40*(1%+VLOOKUP($B$27,Int_Rate_Param,2,FALSE))&lt;1%+EIOPA_RFR!AF40,1%+EIOPA_RFR!AF40,EIOPA_RFR!AF40*(1%+VLOOKUP($B$27,Int_Rate_Param,2,FALSE))),IF(EIOPA_RFR!AF40*(1%+VLOOKUP($B35,Int_Rate_Param,2,FALSE))&lt;1%+EIOPA_RFR!AF40,1%+EIOPA_RFR!AF40,EIOPA_RFR!AF40*(1%+VLOOKUP($B35,Int_Rate_Param,2,FALSE))))</f>
        <v>2.7450000000000002E-2</v>
      </c>
      <c r="AG35" s="94">
        <f>IF($B35&gt;20,IF(EIOPA_RFR!AG40*(1%+VLOOKUP($B$27,Int_Rate_Param,2,FALSE))&lt;1%+EIOPA_RFR!AG40,1%+EIOPA_RFR!AG40,EIOPA_RFR!AG40*(1%+VLOOKUP($B$27,Int_Rate_Param,2,FALSE))),IF(EIOPA_RFR!AG40*(1%+VLOOKUP($B35,Int_Rate_Param,2,FALSE))&lt;1%+EIOPA_RFR!AG40,1%+EIOPA_RFR!AG40,EIOPA_RFR!AG40*(1%+VLOOKUP($B35,Int_Rate_Param,2,FALSE))))</f>
        <v>2.7450000000000002E-2</v>
      </c>
      <c r="AH35" s="94">
        <f>IF($B35&gt;20,IF(EIOPA_RFR!AH40*(1%+VLOOKUP($B$27,Int_Rate_Param,2,FALSE))&lt;1%+EIOPA_RFR!AH40,1%+EIOPA_RFR!AH40,EIOPA_RFR!AH40*(1%+VLOOKUP($B$27,Int_Rate_Param,2,FALSE))),IF(EIOPA_RFR!AH40*(1%+VLOOKUP($B35,Int_Rate_Param,2,FALSE))&lt;1%+EIOPA_RFR!AH40,1%+EIOPA_RFR!AH40,EIOPA_RFR!AH40*(1%+VLOOKUP($B35,Int_Rate_Param,2,FALSE))))</f>
        <v>3.934E-2</v>
      </c>
      <c r="AI35" s="94">
        <f>IF($B35&gt;20,IF(EIOPA_RFR!AI40*(1%+VLOOKUP($B$27,Int_Rate_Param,2,FALSE))&lt;1%+EIOPA_RFR!AI40,1%+EIOPA_RFR!AI40,EIOPA_RFR!AI40*(1%+VLOOKUP($B$27,Int_Rate_Param,2,FALSE))),IF(EIOPA_RFR!AI40*(1%+VLOOKUP($B35,Int_Rate_Param,2,FALSE))&lt;1%+EIOPA_RFR!AI40,1%+EIOPA_RFR!AI40,EIOPA_RFR!AI40*(1%+VLOOKUP($B35,Int_Rate_Param,2,FALSE))))</f>
        <v>1.6039999999999999E-2</v>
      </c>
      <c r="AJ35" s="94">
        <f>IF($B35&gt;20,IF(EIOPA_RFR!AJ40*(1%+VLOOKUP($B$27,Int_Rate_Param,2,FALSE))&lt;1%+EIOPA_RFR!AJ40,1%+EIOPA_RFR!AJ40,EIOPA_RFR!AJ40*(1%+VLOOKUP($B$27,Int_Rate_Param,2,FALSE))),IF(EIOPA_RFR!AJ40*(1%+VLOOKUP($B35,Int_Rate_Param,2,FALSE))&lt;1%+EIOPA_RFR!AJ40,1%+EIOPA_RFR!AJ40,EIOPA_RFR!AJ40*(1%+VLOOKUP($B35,Int_Rate_Param,2,FALSE))))</f>
        <v>2.2690000000000002E-2</v>
      </c>
      <c r="AK35" s="94">
        <f>IF($B35&gt;20,IF(EIOPA_RFR!AK40*(1%+VLOOKUP($B$27,Int_Rate_Param,2,FALSE))&lt;1%+EIOPA_RFR!AK40,1%+EIOPA_RFR!AK40,EIOPA_RFR!AK40*(1%+VLOOKUP($B$27,Int_Rate_Param,2,FALSE))),IF(EIOPA_RFR!AK40*(1%+VLOOKUP($B35,Int_Rate_Param,2,FALSE))&lt;1%+EIOPA_RFR!AK40,1%+EIOPA_RFR!AK40,EIOPA_RFR!AK40*(1%+VLOOKUP($B35,Int_Rate_Param,2,FALSE))))</f>
        <v>4.3250000000000004E-2</v>
      </c>
      <c r="AL35" s="94">
        <f>IF($B35&gt;20,IF(EIOPA_RFR!AL40*(1%+VLOOKUP($B$27,Int_Rate_Param,2,FALSE))&lt;1%+EIOPA_RFR!AL40,1%+EIOPA_RFR!AL40,EIOPA_RFR!AL40*(1%+VLOOKUP($B$27,Int_Rate_Param,2,FALSE))),IF(EIOPA_RFR!AL40*(1%+VLOOKUP($B35,Int_Rate_Param,2,FALSE))&lt;1%+EIOPA_RFR!AL40,1%+EIOPA_RFR!AL40,EIOPA_RFR!AL40*(1%+VLOOKUP($B35,Int_Rate_Param,2,FALSE))))</f>
        <v>8.8999999999999996E-2</v>
      </c>
      <c r="AM35" s="94">
        <f>IF($B35&gt;20,IF(EIOPA_RFR!AM40*(1%+VLOOKUP($B$27,Int_Rate_Param,2,FALSE))&lt;1%+EIOPA_RFR!AM40,1%+EIOPA_RFR!AM40,EIOPA_RFR!AM40*(1%+VLOOKUP($B$27,Int_Rate_Param,2,FALSE))),IF(EIOPA_RFR!AM40*(1%+VLOOKUP($B35,Int_Rate_Param,2,FALSE))&lt;1%+EIOPA_RFR!AM40,1%+EIOPA_RFR!AM40,EIOPA_RFR!AM40*(1%+VLOOKUP($B35,Int_Rate_Param,2,FALSE))))</f>
        <v>3.2140000000000002E-2</v>
      </c>
      <c r="AN35" s="94">
        <f>IF($B35&gt;20,IF(EIOPA_RFR!AN40*(1%+VLOOKUP($B$27,Int_Rate_Param,2,FALSE))&lt;1%+EIOPA_RFR!AN40,1%+EIOPA_RFR!AN40,EIOPA_RFR!AN40*(1%+VLOOKUP($B$27,Int_Rate_Param,2,FALSE))),IF(EIOPA_RFR!AN40*(1%+VLOOKUP($B35,Int_Rate_Param,2,FALSE))&lt;1%+EIOPA_RFR!AN40,1%+EIOPA_RFR!AN40,EIOPA_RFR!AN40*(1%+VLOOKUP($B35,Int_Rate_Param,2,FALSE))))</f>
        <v>5.2500000000000005E-2</v>
      </c>
      <c r="AO35" s="94">
        <f>IF($B35&gt;20,IF(EIOPA_RFR!AO40*(1%+VLOOKUP($B$27,Int_Rate_Param,2,FALSE))&lt;1%+EIOPA_RFR!AO40,1%+EIOPA_RFR!AO40,EIOPA_RFR!AO40*(1%+VLOOKUP($B$27,Int_Rate_Param,2,FALSE))),IF(EIOPA_RFR!AO40*(1%+VLOOKUP($B35,Int_Rate_Param,2,FALSE))&lt;1%+EIOPA_RFR!AO40,1%+EIOPA_RFR!AO40,EIOPA_RFR!AO40*(1%+VLOOKUP($B35,Int_Rate_Param,2,FALSE))))</f>
        <v>5.4210000000000001E-2</v>
      </c>
      <c r="AP35" s="94">
        <f>IF($B35&gt;20,IF(EIOPA_RFR!AP40*(1%+VLOOKUP($B$27,Int_Rate_Param,2,FALSE))&lt;1%+EIOPA_RFR!AP40,1%+EIOPA_RFR!AP40,EIOPA_RFR!AP40*(1%+VLOOKUP($B$27,Int_Rate_Param,2,FALSE))),IF(EIOPA_RFR!AP40*(1%+VLOOKUP($B35,Int_Rate_Param,2,FALSE))&lt;1%+EIOPA_RFR!AP40,1%+EIOPA_RFR!AP40,EIOPA_RFR!AP40*(1%+VLOOKUP($B35,Int_Rate_Param,2,FALSE))))</f>
        <v>6.7150000000000001E-2</v>
      </c>
      <c r="AQ35" s="94">
        <f>IF($B35&gt;20,IF(EIOPA_RFR!AQ40*(1%+VLOOKUP($B$27,Int_Rate_Param,2,FALSE))&lt;1%+EIOPA_RFR!AQ40,1%+EIOPA_RFR!AQ40,EIOPA_RFR!AQ40*(1%+VLOOKUP($B$27,Int_Rate_Param,2,FALSE))),IF(EIOPA_RFR!AQ40*(1%+VLOOKUP($B35,Int_Rate_Param,2,FALSE))&lt;1%+EIOPA_RFR!AQ40,1%+EIOPA_RFR!AQ40,EIOPA_RFR!AQ40*(1%+VLOOKUP($B35,Int_Rate_Param,2,FALSE))))</f>
        <v>3.9420000000000004E-2</v>
      </c>
      <c r="AR35" s="94">
        <f>IF($B35&gt;20,IF(EIOPA_RFR!AR40*(1%+VLOOKUP($B$27,Int_Rate_Param,2,FALSE))&lt;1%+EIOPA_RFR!AR40,1%+EIOPA_RFR!AR40,EIOPA_RFR!AR40*(1%+VLOOKUP($B$27,Int_Rate_Param,2,FALSE))),IF(EIOPA_RFR!AR40*(1%+VLOOKUP($B35,Int_Rate_Param,2,FALSE))&lt;1%+EIOPA_RFR!AR40,1%+EIOPA_RFR!AR40,EIOPA_RFR!AR40*(1%+VLOOKUP($B35,Int_Rate_Param,2,FALSE))))</f>
        <v>7.4399999999999994E-2</v>
      </c>
      <c r="AS35" s="94">
        <f>IF($B35&gt;20,IF(EIOPA_RFR!AS40*(1%+VLOOKUP($B$27,Int_Rate_Param,2,FALSE))&lt;1%+EIOPA_RFR!AS40,1%+EIOPA_RFR!AS40,EIOPA_RFR!AS40*(1%+VLOOKUP($B$27,Int_Rate_Param,2,FALSE))),IF(EIOPA_RFR!AS40*(1%+VLOOKUP($B35,Int_Rate_Param,2,FALSE))&lt;1%+EIOPA_RFR!AS40,1%+EIOPA_RFR!AS40,EIOPA_RFR!AS40*(1%+VLOOKUP($B35,Int_Rate_Param,2,FALSE))))</f>
        <v>1.7270000000000001E-2</v>
      </c>
      <c r="AT35" s="94">
        <f>IF($B35&gt;20,IF(EIOPA_RFR!AT40*(1%+VLOOKUP($B$27,Int_Rate_Param,2,FALSE))&lt;1%+EIOPA_RFR!AT40,1%+EIOPA_RFR!AT40,EIOPA_RFR!AT40*(1%+VLOOKUP($B$27,Int_Rate_Param,2,FALSE))),IF(EIOPA_RFR!AT40*(1%+VLOOKUP($B35,Int_Rate_Param,2,FALSE))&lt;1%+EIOPA_RFR!AT40,1%+EIOPA_RFR!AT40,EIOPA_RFR!AT40*(1%+VLOOKUP($B35,Int_Rate_Param,2,FALSE))))</f>
        <v>5.3610000000000005E-2</v>
      </c>
      <c r="AU35" s="94">
        <f>IF($B35&gt;20,IF(EIOPA_RFR!AU40*(1%+VLOOKUP($B$27,Int_Rate_Param,2,FALSE))&lt;1%+EIOPA_RFR!AU40,1%+EIOPA_RFR!AU40,EIOPA_RFR!AU40*(1%+VLOOKUP($B$27,Int_Rate_Param,2,FALSE))),IF(EIOPA_RFR!AU40*(1%+VLOOKUP($B35,Int_Rate_Param,2,FALSE))&lt;1%+EIOPA_RFR!AU40,1%+EIOPA_RFR!AU40,EIOPA_RFR!AU40*(1%+VLOOKUP($B35,Int_Rate_Param,2,FALSE))))</f>
        <v>8.6719999999999992E-2</v>
      </c>
      <c r="AV35" s="94">
        <f>IF($B35&gt;20,IF(EIOPA_RFR!AV40*(1%+VLOOKUP($B$27,Int_Rate_Param,2,FALSE))&lt;1%+EIOPA_RFR!AV40,1%+EIOPA_RFR!AV40,EIOPA_RFR!AV40*(1%+VLOOKUP($B$27,Int_Rate_Param,2,FALSE))),IF(EIOPA_RFR!AV40*(1%+VLOOKUP($B35,Int_Rate_Param,2,FALSE))&lt;1%+EIOPA_RFR!AV40,1%+EIOPA_RFR!AV40,EIOPA_RFR!AV40*(1%+VLOOKUP($B35,Int_Rate_Param,2,FALSE))))</f>
        <v>5.1290000000000002E-2</v>
      </c>
      <c r="AW35" s="94">
        <f>IF($B35&gt;20,IF(EIOPA_RFR!AW40*(1%+VLOOKUP($B$27,Int_Rate_Param,2,FALSE))&lt;1%+EIOPA_RFR!AW40,1%+EIOPA_RFR!AW40,EIOPA_RFR!AW40*(1%+VLOOKUP($B$27,Int_Rate_Param,2,FALSE))),IF(EIOPA_RFR!AW40*(1%+VLOOKUP($B35,Int_Rate_Param,2,FALSE))&lt;1%+EIOPA_RFR!AW40,1%+EIOPA_RFR!AW40,EIOPA_RFR!AW40*(1%+VLOOKUP($B35,Int_Rate_Param,2,FALSE))))</f>
        <v>3.925E-2</v>
      </c>
      <c r="AX35" s="94">
        <f>IF($B35&gt;20,IF(EIOPA_RFR!AX40*(1%+VLOOKUP($B$27,Int_Rate_Param,2,FALSE))&lt;1%+EIOPA_RFR!AX40,1%+EIOPA_RFR!AX40,EIOPA_RFR!AX40*(1%+VLOOKUP($B$27,Int_Rate_Param,2,FALSE))),IF(EIOPA_RFR!AX40*(1%+VLOOKUP($B35,Int_Rate_Param,2,FALSE))&lt;1%+EIOPA_RFR!AX40,1%+EIOPA_RFR!AX40,EIOPA_RFR!AX40*(1%+VLOOKUP($B35,Int_Rate_Param,2,FALSE))))</f>
        <v>8.6859999999999993E-2</v>
      </c>
      <c r="AY35" s="94">
        <f>IF($B35&gt;20,IF(EIOPA_RFR!AY40*(1%+VLOOKUP($B$27,Int_Rate_Param,2,FALSE))&lt;1%+EIOPA_RFR!AY40,1%+EIOPA_RFR!AY40,EIOPA_RFR!AY40*(1%+VLOOKUP($B$27,Int_Rate_Param,2,FALSE))),IF(EIOPA_RFR!AY40*(1%+VLOOKUP($B35,Int_Rate_Param,2,FALSE))&lt;1%+EIOPA_RFR!AY40,1%+EIOPA_RFR!AY40,EIOPA_RFR!AY40*(1%+VLOOKUP($B35,Int_Rate_Param,2,FALSE))))</f>
        <v>3.1809999999999998E-2</v>
      </c>
      <c r="AZ35" s="94">
        <f>IF($B35&gt;20,IF(EIOPA_RFR!AZ40*(1%+VLOOKUP($B$27,Int_Rate_Param,2,FALSE))&lt;1%+EIOPA_RFR!AZ40,1%+EIOPA_RFR!AZ40,EIOPA_RFR!AZ40*(1%+VLOOKUP($B$27,Int_Rate_Param,2,FALSE))),IF(EIOPA_RFR!AZ40*(1%+VLOOKUP($B35,Int_Rate_Param,2,FALSE))&lt;1%+EIOPA_RFR!AZ40,1%+EIOPA_RFR!AZ40,EIOPA_RFR!AZ40*(1%+VLOOKUP($B35,Int_Rate_Param,2,FALSE))))</f>
        <v>3.4349999999999999E-2</v>
      </c>
      <c r="BA35" s="94">
        <f>IF($B35&gt;20,IF(EIOPA_RFR!BA40*(1%+VLOOKUP($B$27,Int_Rate_Param,2,FALSE))&lt;1%+EIOPA_RFR!BA40,1%+EIOPA_RFR!BA40,EIOPA_RFR!BA40*(1%+VLOOKUP($B$27,Int_Rate_Param,2,FALSE))),IF(EIOPA_RFR!BA40*(1%+VLOOKUP($B35,Int_Rate_Param,2,FALSE))&lt;1%+EIOPA_RFR!BA40,1%+EIOPA_RFR!BA40,EIOPA_RFR!BA40*(1%+VLOOKUP($B35,Int_Rate_Param,2,FALSE))))</f>
        <v>4.2509999999999999E-2</v>
      </c>
      <c r="BB35" s="94">
        <f>IF($B35&gt;20,IF(EIOPA_RFR!BB40*(1%+VLOOKUP($B$27,Int_Rate_Param,2,FALSE))&lt;1%+EIOPA_RFR!BB40,1%+EIOPA_RFR!BB40,EIOPA_RFR!BB40*(1%+VLOOKUP($B$27,Int_Rate_Param,2,FALSE))),IF(EIOPA_RFR!BB40*(1%+VLOOKUP($B35,Int_Rate_Param,2,FALSE))&lt;1%+EIOPA_RFR!BB40,1%+EIOPA_RFR!BB40,EIOPA_RFR!BB40*(1%+VLOOKUP($B35,Int_Rate_Param,2,FALSE))))</f>
        <v>9.2149999999999996E-2</v>
      </c>
      <c r="BC35" s="94">
        <f>IF($B35&gt;20,IF(EIOPA_RFR!BC40*(1%+VLOOKUP($B$27,Int_Rate_Param,2,FALSE))&lt;1%+EIOPA_RFR!BC40,1%+EIOPA_RFR!BC40,EIOPA_RFR!BC40*(1%+VLOOKUP($B$27,Int_Rate_Param,2,FALSE))),IF(EIOPA_RFR!BC40*(1%+VLOOKUP($B35,Int_Rate_Param,2,FALSE))&lt;1%+EIOPA_RFR!BC40,1%+EIOPA_RFR!BC40,EIOPA_RFR!BC40*(1%+VLOOKUP($B35,Int_Rate_Param,2,FALSE))))</f>
        <v>3.5409999999999997E-2</v>
      </c>
    </row>
    <row r="36" spans="1:55" x14ac:dyDescent="0.25">
      <c r="A36">
        <f t="shared" si="0"/>
        <v>31</v>
      </c>
      <c r="B36" s="95">
        <v>29</v>
      </c>
      <c r="C36" s="94">
        <f>IF($B36&gt;20,IF(EIOPA_RFR!C41*(1%+VLOOKUP($B$27,Int_Rate_Param,2,FALSE))&lt;1%+EIOPA_RFR!C41,1%+EIOPA_RFR!C41,EIOPA_RFR!C41*(1%+VLOOKUP($B$27,Int_Rate_Param,2,FALSE))),IF(EIOPA_RFR!C41*(1%+VLOOKUP($B36,Int_Rate_Param,2,FALSE))&lt;1%+EIOPA_RFR!C41,1%+EIOPA_RFR!C41,EIOPA_RFR!C41*(1%+VLOOKUP($B36,Int_Rate_Param,2,FALSE))))</f>
        <v>2.8080000000000001E-2</v>
      </c>
      <c r="D36" s="94">
        <f>IF($B36&gt;20,IF(EIOPA_RFR!D41*(1%+VLOOKUP($B$27,Int_Rate_Param,2,FALSE))&lt;1%+EIOPA_RFR!D41,1%+EIOPA_RFR!D41,EIOPA_RFR!D41*(1%+VLOOKUP($B$27,Int_Rate_Param,2,FALSE))),IF(EIOPA_RFR!D41*(1%+VLOOKUP($B36,Int_Rate_Param,2,FALSE))&lt;1%+EIOPA_RFR!D41,1%+EIOPA_RFR!D41,EIOPA_RFR!D41*(1%+VLOOKUP($B36,Int_Rate_Param,2,FALSE))))</f>
        <v>2.8080000000000001E-2</v>
      </c>
      <c r="E36" s="94">
        <f>IF($B36&gt;20,IF(EIOPA_RFR!E41*(1%+VLOOKUP($B$27,Int_Rate_Param,2,FALSE))&lt;1%+EIOPA_RFR!E41,1%+EIOPA_RFR!E41,EIOPA_RFR!E41*(1%+VLOOKUP($B$27,Int_Rate_Param,2,FALSE))),IF(EIOPA_RFR!E41*(1%+VLOOKUP($B36,Int_Rate_Param,2,FALSE))&lt;1%+EIOPA_RFR!E41,1%+EIOPA_RFR!E41,EIOPA_RFR!E41*(1%+VLOOKUP($B36,Int_Rate_Param,2,FALSE))))</f>
        <v>2.8080000000000001E-2</v>
      </c>
      <c r="F36" s="94">
        <f>IF($B36&gt;20,IF(EIOPA_RFR!F41*(1%+VLOOKUP($B$27,Int_Rate_Param,2,FALSE))&lt;1%+EIOPA_RFR!F41,1%+EIOPA_RFR!F41,EIOPA_RFR!F41*(1%+VLOOKUP($B$27,Int_Rate_Param,2,FALSE))),IF(EIOPA_RFR!F41*(1%+VLOOKUP($B36,Int_Rate_Param,2,FALSE))&lt;1%+EIOPA_RFR!F41,1%+EIOPA_RFR!F41,EIOPA_RFR!F41*(1%+VLOOKUP($B36,Int_Rate_Param,2,FALSE))))</f>
        <v>2.7659999999999997E-2</v>
      </c>
      <c r="G36" s="94">
        <f>IF($B36&gt;20,IF(EIOPA_RFR!G41*(1%+VLOOKUP($B$27,Int_Rate_Param,2,FALSE))&lt;1%+EIOPA_RFR!G41,1%+EIOPA_RFR!G41,EIOPA_RFR!G41*(1%+VLOOKUP($B$27,Int_Rate_Param,2,FALSE))),IF(EIOPA_RFR!G41*(1%+VLOOKUP($B36,Int_Rate_Param,2,FALSE))&lt;1%+EIOPA_RFR!G41,1%+EIOPA_RFR!G41,EIOPA_RFR!G41*(1%+VLOOKUP($B36,Int_Rate_Param,2,FALSE))))</f>
        <v>4.5670000000000002E-2</v>
      </c>
      <c r="H36" s="94">
        <f>IF($B36&gt;20,IF(EIOPA_RFR!H41*(1%+VLOOKUP($B$27,Int_Rate_Param,2,FALSE))&lt;1%+EIOPA_RFR!H41,1%+EIOPA_RFR!H41,EIOPA_RFR!H41*(1%+VLOOKUP($B$27,Int_Rate_Param,2,FALSE))),IF(EIOPA_RFR!H41*(1%+VLOOKUP($B36,Int_Rate_Param,2,FALSE))&lt;1%+EIOPA_RFR!H41,1%+EIOPA_RFR!H41,EIOPA_RFR!H41*(1%+VLOOKUP($B36,Int_Rate_Param,2,FALSE))))</f>
        <v>2.8080000000000001E-2</v>
      </c>
      <c r="I36" s="94">
        <f>IF($B36&gt;20,IF(EIOPA_RFR!I41*(1%+VLOOKUP($B$27,Int_Rate_Param,2,FALSE))&lt;1%+EIOPA_RFR!I41,1%+EIOPA_RFR!I41,EIOPA_RFR!I41*(1%+VLOOKUP($B$27,Int_Rate_Param,2,FALSE))),IF(EIOPA_RFR!I41*(1%+VLOOKUP($B36,Int_Rate_Param,2,FALSE))&lt;1%+EIOPA_RFR!I41,1%+EIOPA_RFR!I41,EIOPA_RFR!I41*(1%+VLOOKUP($B36,Int_Rate_Param,2,FALSE))))</f>
        <v>3.2500000000000001E-2</v>
      </c>
      <c r="J36" s="94">
        <f>IF($B36&gt;20,IF(EIOPA_RFR!J41*(1%+VLOOKUP($B$27,Int_Rate_Param,2,FALSE))&lt;1%+EIOPA_RFR!J41,1%+EIOPA_RFR!J41,EIOPA_RFR!J41*(1%+VLOOKUP($B$27,Int_Rate_Param,2,FALSE))),IF(EIOPA_RFR!J41*(1%+VLOOKUP($B36,Int_Rate_Param,2,FALSE))&lt;1%+EIOPA_RFR!J41,1%+EIOPA_RFR!J41,EIOPA_RFR!J41*(1%+VLOOKUP($B36,Int_Rate_Param,2,FALSE))))</f>
        <v>2.7999999999999997E-2</v>
      </c>
      <c r="K36" s="94">
        <f>IF($B36&gt;20,IF(EIOPA_RFR!K41*(1%+VLOOKUP($B$27,Int_Rate_Param,2,FALSE))&lt;1%+EIOPA_RFR!K41,1%+EIOPA_RFR!K41,EIOPA_RFR!K41*(1%+VLOOKUP($B$27,Int_Rate_Param,2,FALSE))),IF(EIOPA_RFR!K41*(1%+VLOOKUP($B36,Int_Rate_Param,2,FALSE))&lt;1%+EIOPA_RFR!K41,1%+EIOPA_RFR!K41,EIOPA_RFR!K41*(1%+VLOOKUP($B36,Int_Rate_Param,2,FALSE))))</f>
        <v>2.8080000000000001E-2</v>
      </c>
      <c r="L36" s="94">
        <f>IF($B36&gt;20,IF(EIOPA_RFR!L41*(1%+VLOOKUP($B$27,Int_Rate_Param,2,FALSE))&lt;1%+EIOPA_RFR!L41,1%+EIOPA_RFR!L41,EIOPA_RFR!L41*(1%+VLOOKUP($B$27,Int_Rate_Param,2,FALSE))),IF(EIOPA_RFR!L41*(1%+VLOOKUP($B36,Int_Rate_Param,2,FALSE))&lt;1%+EIOPA_RFR!L41,1%+EIOPA_RFR!L41,EIOPA_RFR!L41*(1%+VLOOKUP($B36,Int_Rate_Param,2,FALSE))))</f>
        <v>2.8080000000000001E-2</v>
      </c>
      <c r="M36" s="94">
        <f>IF($B36&gt;20,IF(EIOPA_RFR!M41*(1%+VLOOKUP($B$27,Int_Rate_Param,2,FALSE))&lt;1%+EIOPA_RFR!M41,1%+EIOPA_RFR!M41,EIOPA_RFR!M41*(1%+VLOOKUP($B$27,Int_Rate_Param,2,FALSE))),IF(EIOPA_RFR!M41*(1%+VLOOKUP($B36,Int_Rate_Param,2,FALSE))&lt;1%+EIOPA_RFR!M41,1%+EIOPA_RFR!M41,EIOPA_RFR!M41*(1%+VLOOKUP($B36,Int_Rate_Param,2,FALSE))))</f>
        <v>2.8080000000000001E-2</v>
      </c>
      <c r="N36" s="94">
        <f>IF($B36&gt;20,IF(EIOPA_RFR!N41*(1%+VLOOKUP($B$27,Int_Rate_Param,2,FALSE))&lt;1%+EIOPA_RFR!N41,1%+EIOPA_RFR!N41,EIOPA_RFR!N41*(1%+VLOOKUP($B$27,Int_Rate_Param,2,FALSE))),IF(EIOPA_RFR!N41*(1%+VLOOKUP($B36,Int_Rate_Param,2,FALSE))&lt;1%+EIOPA_RFR!N41,1%+EIOPA_RFR!N41,EIOPA_RFR!N41*(1%+VLOOKUP($B36,Int_Rate_Param,2,FALSE))))</f>
        <v>2.8080000000000001E-2</v>
      </c>
      <c r="O36" s="94">
        <f>IF($B36&gt;20,IF(EIOPA_RFR!O41*(1%+VLOOKUP($B$27,Int_Rate_Param,2,FALSE))&lt;1%+EIOPA_RFR!O41,1%+EIOPA_RFR!O41,EIOPA_RFR!O41*(1%+VLOOKUP($B$27,Int_Rate_Param,2,FALSE))),IF(EIOPA_RFR!O41*(1%+VLOOKUP($B36,Int_Rate_Param,2,FALSE))&lt;1%+EIOPA_RFR!O41,1%+EIOPA_RFR!O41,EIOPA_RFR!O41*(1%+VLOOKUP($B36,Int_Rate_Param,2,FALSE))))</f>
        <v>2.8080000000000001E-2</v>
      </c>
      <c r="P36" s="94">
        <f>IF($B36&gt;20,IF(EIOPA_RFR!P41*(1%+VLOOKUP($B$27,Int_Rate_Param,2,FALSE))&lt;1%+EIOPA_RFR!P41,1%+EIOPA_RFR!P41,EIOPA_RFR!P41*(1%+VLOOKUP($B$27,Int_Rate_Param,2,FALSE))),IF(EIOPA_RFR!P41*(1%+VLOOKUP($B36,Int_Rate_Param,2,FALSE))&lt;1%+EIOPA_RFR!P41,1%+EIOPA_RFR!P41,EIOPA_RFR!P41*(1%+VLOOKUP($B36,Int_Rate_Param,2,FALSE))))</f>
        <v>5.3319999999999999E-2</v>
      </c>
      <c r="Q36" s="94">
        <f>IF($B36&gt;20,IF(EIOPA_RFR!Q41*(1%+VLOOKUP($B$27,Int_Rate_Param,2,FALSE))&lt;1%+EIOPA_RFR!Q41,1%+EIOPA_RFR!Q41,EIOPA_RFR!Q41*(1%+VLOOKUP($B$27,Int_Rate_Param,2,FALSE))),IF(EIOPA_RFR!Q41*(1%+VLOOKUP($B36,Int_Rate_Param,2,FALSE))&lt;1%+EIOPA_RFR!Q41,1%+EIOPA_RFR!Q41,EIOPA_RFR!Q41*(1%+VLOOKUP($B36,Int_Rate_Param,2,FALSE))))</f>
        <v>5.5539999999999999E-2</v>
      </c>
      <c r="R36" s="94">
        <f>IF($B36&gt;20,IF(EIOPA_RFR!R41*(1%+VLOOKUP($B$27,Int_Rate_Param,2,FALSE))&lt;1%+EIOPA_RFR!R41,1%+EIOPA_RFR!R41,EIOPA_RFR!R41*(1%+VLOOKUP($B$27,Int_Rate_Param,2,FALSE))),IF(EIOPA_RFR!R41*(1%+VLOOKUP($B36,Int_Rate_Param,2,FALSE))&lt;1%+EIOPA_RFR!R41,1%+EIOPA_RFR!R41,EIOPA_RFR!R41*(1%+VLOOKUP($B36,Int_Rate_Param,2,FALSE))))</f>
        <v>2.8080000000000001E-2</v>
      </c>
      <c r="S36" s="94">
        <f>IF($B36&gt;20,IF(EIOPA_RFR!S41*(1%+VLOOKUP($B$27,Int_Rate_Param,2,FALSE))&lt;1%+EIOPA_RFR!S41,1%+EIOPA_RFR!S41,EIOPA_RFR!S41*(1%+VLOOKUP($B$27,Int_Rate_Param,2,FALSE))),IF(EIOPA_RFR!S41*(1%+VLOOKUP($B36,Int_Rate_Param,2,FALSE))&lt;1%+EIOPA_RFR!S41,1%+EIOPA_RFR!S41,EIOPA_RFR!S41*(1%+VLOOKUP($B36,Int_Rate_Param,2,FALSE))))</f>
        <v>2.8080000000000001E-2</v>
      </c>
      <c r="T36" s="94">
        <f>IF($B36&gt;20,IF(EIOPA_RFR!T41*(1%+VLOOKUP($B$27,Int_Rate_Param,2,FALSE))&lt;1%+EIOPA_RFR!T41,1%+EIOPA_RFR!T41,EIOPA_RFR!T41*(1%+VLOOKUP($B$27,Int_Rate_Param,2,FALSE))),IF(EIOPA_RFR!T41*(1%+VLOOKUP($B36,Int_Rate_Param,2,FALSE))&lt;1%+EIOPA_RFR!T41,1%+EIOPA_RFR!T41,EIOPA_RFR!T41*(1%+VLOOKUP($B36,Int_Rate_Param,2,FALSE))))</f>
        <v>2.8080000000000001E-2</v>
      </c>
      <c r="U36" s="94">
        <f>IF($B36&gt;20,IF(EIOPA_RFR!U41*(1%+VLOOKUP($B$27,Int_Rate_Param,2,FALSE))&lt;1%+EIOPA_RFR!U41,1%+EIOPA_RFR!U41,EIOPA_RFR!U41*(1%+VLOOKUP($B$27,Int_Rate_Param,2,FALSE))),IF(EIOPA_RFR!U41*(1%+VLOOKUP($B36,Int_Rate_Param,2,FALSE))&lt;1%+EIOPA_RFR!U41,1%+EIOPA_RFR!U41,EIOPA_RFR!U41*(1%+VLOOKUP($B36,Int_Rate_Param,2,FALSE))))</f>
        <v>1.652E-2</v>
      </c>
      <c r="V36" s="94">
        <f>IF($B36&gt;20,IF(EIOPA_RFR!V41*(1%+VLOOKUP($B$27,Int_Rate_Param,2,FALSE))&lt;1%+EIOPA_RFR!V41,1%+EIOPA_RFR!V41,EIOPA_RFR!V41*(1%+VLOOKUP($B$27,Int_Rate_Param,2,FALSE))),IF(EIOPA_RFR!V41*(1%+VLOOKUP($B36,Int_Rate_Param,2,FALSE))&lt;1%+EIOPA_RFR!V41,1%+EIOPA_RFR!V41,EIOPA_RFR!V41*(1%+VLOOKUP($B36,Int_Rate_Param,2,FALSE))))</f>
        <v>2.8080000000000001E-2</v>
      </c>
      <c r="W36" s="94">
        <f>IF($B36&gt;20,IF(EIOPA_RFR!W41*(1%+VLOOKUP($B$27,Int_Rate_Param,2,FALSE))&lt;1%+EIOPA_RFR!W41,1%+EIOPA_RFR!W41,EIOPA_RFR!W41*(1%+VLOOKUP($B$27,Int_Rate_Param,2,FALSE))),IF(EIOPA_RFR!W41*(1%+VLOOKUP($B36,Int_Rate_Param,2,FALSE))&lt;1%+EIOPA_RFR!W41,1%+EIOPA_RFR!W41,EIOPA_RFR!W41*(1%+VLOOKUP($B36,Int_Rate_Param,2,FALSE))))</f>
        <v>2.8080000000000001E-2</v>
      </c>
      <c r="X36" s="94">
        <f>IF($B36&gt;20,IF(EIOPA_RFR!X41*(1%+VLOOKUP($B$27,Int_Rate_Param,2,FALSE))&lt;1%+EIOPA_RFR!X41,1%+EIOPA_RFR!X41,EIOPA_RFR!X41*(1%+VLOOKUP($B$27,Int_Rate_Param,2,FALSE))),IF(EIOPA_RFR!X41*(1%+VLOOKUP($B36,Int_Rate_Param,2,FALSE))&lt;1%+EIOPA_RFR!X41,1%+EIOPA_RFR!X41,EIOPA_RFR!X41*(1%+VLOOKUP($B36,Int_Rate_Param,2,FALSE))))</f>
        <v>2.8080000000000001E-2</v>
      </c>
      <c r="Y36" s="94">
        <f>IF($B36&gt;20,IF(EIOPA_RFR!Y41*(1%+VLOOKUP($B$27,Int_Rate_Param,2,FALSE))&lt;1%+EIOPA_RFR!Y41,1%+EIOPA_RFR!Y41,EIOPA_RFR!Y41*(1%+VLOOKUP($B$27,Int_Rate_Param,2,FALSE))),IF(EIOPA_RFR!Y41*(1%+VLOOKUP($B36,Int_Rate_Param,2,FALSE))&lt;1%+EIOPA_RFR!Y41,1%+EIOPA_RFR!Y41,EIOPA_RFR!Y41*(1%+VLOOKUP($B36,Int_Rate_Param,2,FALSE))))</f>
        <v>2.8080000000000001E-2</v>
      </c>
      <c r="Z36" s="94">
        <f>IF($B36&gt;20,IF(EIOPA_RFR!Z41*(1%+VLOOKUP($B$27,Int_Rate_Param,2,FALSE))&lt;1%+EIOPA_RFR!Z41,1%+EIOPA_RFR!Z41,EIOPA_RFR!Z41*(1%+VLOOKUP($B$27,Int_Rate_Param,2,FALSE))),IF(EIOPA_RFR!Z41*(1%+VLOOKUP($B36,Int_Rate_Param,2,FALSE))&lt;1%+EIOPA_RFR!Z41,1%+EIOPA_RFR!Z41,EIOPA_RFR!Z41*(1%+VLOOKUP($B36,Int_Rate_Param,2,FALSE))))</f>
        <v>3.9109999999999999E-2</v>
      </c>
      <c r="AA36" s="94">
        <f>IF($B36&gt;20,IF(EIOPA_RFR!AA41*(1%+VLOOKUP($B$27,Int_Rate_Param,2,FALSE))&lt;1%+EIOPA_RFR!AA41,1%+EIOPA_RFR!AA41,EIOPA_RFR!AA41*(1%+VLOOKUP($B$27,Int_Rate_Param,2,FALSE))),IF(EIOPA_RFR!AA41*(1%+VLOOKUP($B36,Int_Rate_Param,2,FALSE))&lt;1%+EIOPA_RFR!AA41,1%+EIOPA_RFR!AA41,EIOPA_RFR!AA41*(1%+VLOOKUP($B36,Int_Rate_Param,2,FALSE))))</f>
        <v>5.0099999999999999E-2</v>
      </c>
      <c r="AB36" s="94">
        <f>IF($B36&gt;20,IF(EIOPA_RFR!AB41*(1%+VLOOKUP($B$27,Int_Rate_Param,2,FALSE))&lt;1%+EIOPA_RFR!AB41,1%+EIOPA_RFR!AB41,EIOPA_RFR!AB41*(1%+VLOOKUP($B$27,Int_Rate_Param,2,FALSE))),IF(EIOPA_RFR!AB41*(1%+VLOOKUP($B36,Int_Rate_Param,2,FALSE))&lt;1%+EIOPA_RFR!AB41,1%+EIOPA_RFR!AB41,EIOPA_RFR!AB41*(1%+VLOOKUP($B36,Int_Rate_Param,2,FALSE))))</f>
        <v>2.8080000000000001E-2</v>
      </c>
      <c r="AC36" s="94">
        <f>IF($B36&gt;20,IF(EIOPA_RFR!AC41*(1%+VLOOKUP($B$27,Int_Rate_Param,2,FALSE))&lt;1%+EIOPA_RFR!AC41,1%+EIOPA_RFR!AC41,EIOPA_RFR!AC41*(1%+VLOOKUP($B$27,Int_Rate_Param,2,FALSE))),IF(EIOPA_RFR!AC41*(1%+VLOOKUP($B36,Int_Rate_Param,2,FALSE))&lt;1%+EIOPA_RFR!AC41,1%+EIOPA_RFR!AC41,EIOPA_RFR!AC41*(1%+VLOOKUP($B36,Int_Rate_Param,2,FALSE))))</f>
        <v>5.3950000000000005E-2</v>
      </c>
      <c r="AD36" s="94">
        <f>IF($B36&gt;20,IF(EIOPA_RFR!AD41*(1%+VLOOKUP($B$27,Int_Rate_Param,2,FALSE))&lt;1%+EIOPA_RFR!AD41,1%+EIOPA_RFR!AD41,EIOPA_RFR!AD41*(1%+VLOOKUP($B$27,Int_Rate_Param,2,FALSE))),IF(EIOPA_RFR!AD41*(1%+VLOOKUP($B36,Int_Rate_Param,2,FALSE))&lt;1%+EIOPA_RFR!AD41,1%+EIOPA_RFR!AD41,EIOPA_RFR!AD41*(1%+VLOOKUP($B36,Int_Rate_Param,2,FALSE))))</f>
        <v>7.145E-2</v>
      </c>
      <c r="AE36" s="94">
        <f>IF($B36&gt;20,IF(EIOPA_RFR!AE41*(1%+VLOOKUP($B$27,Int_Rate_Param,2,FALSE))&lt;1%+EIOPA_RFR!AE41,1%+EIOPA_RFR!AE41,EIOPA_RFR!AE41*(1%+VLOOKUP($B$27,Int_Rate_Param,2,FALSE))),IF(EIOPA_RFR!AE41*(1%+VLOOKUP($B36,Int_Rate_Param,2,FALSE))&lt;1%+EIOPA_RFR!AE41,1%+EIOPA_RFR!AE41,EIOPA_RFR!AE41*(1%+VLOOKUP($B36,Int_Rate_Param,2,FALSE))))</f>
        <v>2.8080000000000001E-2</v>
      </c>
      <c r="AF36" s="94">
        <f>IF($B36&gt;20,IF(EIOPA_RFR!AF41*(1%+VLOOKUP($B$27,Int_Rate_Param,2,FALSE))&lt;1%+EIOPA_RFR!AF41,1%+EIOPA_RFR!AF41,EIOPA_RFR!AF41*(1%+VLOOKUP($B$27,Int_Rate_Param,2,FALSE))),IF(EIOPA_RFR!AF41*(1%+VLOOKUP($B36,Int_Rate_Param,2,FALSE))&lt;1%+EIOPA_RFR!AF41,1%+EIOPA_RFR!AF41,EIOPA_RFR!AF41*(1%+VLOOKUP($B36,Int_Rate_Param,2,FALSE))))</f>
        <v>2.8080000000000001E-2</v>
      </c>
      <c r="AG36" s="94">
        <f>IF($B36&gt;20,IF(EIOPA_RFR!AG41*(1%+VLOOKUP($B$27,Int_Rate_Param,2,FALSE))&lt;1%+EIOPA_RFR!AG41,1%+EIOPA_RFR!AG41,EIOPA_RFR!AG41*(1%+VLOOKUP($B$27,Int_Rate_Param,2,FALSE))),IF(EIOPA_RFR!AG41*(1%+VLOOKUP($B36,Int_Rate_Param,2,FALSE))&lt;1%+EIOPA_RFR!AG41,1%+EIOPA_RFR!AG41,EIOPA_RFR!AG41*(1%+VLOOKUP($B36,Int_Rate_Param,2,FALSE))))</f>
        <v>2.8080000000000001E-2</v>
      </c>
      <c r="AH36" s="94">
        <f>IF($B36&gt;20,IF(EIOPA_RFR!AH41*(1%+VLOOKUP($B$27,Int_Rate_Param,2,FALSE))&lt;1%+EIOPA_RFR!AH41,1%+EIOPA_RFR!AH41,EIOPA_RFR!AH41*(1%+VLOOKUP($B$27,Int_Rate_Param,2,FALSE))),IF(EIOPA_RFR!AH41*(1%+VLOOKUP($B36,Int_Rate_Param,2,FALSE))&lt;1%+EIOPA_RFR!AH41,1%+EIOPA_RFR!AH41,EIOPA_RFR!AH41*(1%+VLOOKUP($B36,Int_Rate_Param,2,FALSE))))</f>
        <v>3.977E-2</v>
      </c>
      <c r="AI36" s="94">
        <f>IF($B36&gt;20,IF(EIOPA_RFR!AI41*(1%+VLOOKUP($B$27,Int_Rate_Param,2,FALSE))&lt;1%+EIOPA_RFR!AI41,1%+EIOPA_RFR!AI41,EIOPA_RFR!AI41*(1%+VLOOKUP($B$27,Int_Rate_Param,2,FALSE))),IF(EIOPA_RFR!AI41*(1%+VLOOKUP($B36,Int_Rate_Param,2,FALSE))&lt;1%+EIOPA_RFR!AI41,1%+EIOPA_RFR!AI41,EIOPA_RFR!AI41*(1%+VLOOKUP($B36,Int_Rate_Param,2,FALSE))))</f>
        <v>1.652E-2</v>
      </c>
      <c r="AJ36" s="94">
        <f>IF($B36&gt;20,IF(EIOPA_RFR!AJ41*(1%+VLOOKUP($B$27,Int_Rate_Param,2,FALSE))&lt;1%+EIOPA_RFR!AJ41,1%+EIOPA_RFR!AJ41,EIOPA_RFR!AJ41*(1%+VLOOKUP($B$27,Int_Rate_Param,2,FALSE))),IF(EIOPA_RFR!AJ41*(1%+VLOOKUP($B36,Int_Rate_Param,2,FALSE))&lt;1%+EIOPA_RFR!AJ41,1%+EIOPA_RFR!AJ41,EIOPA_RFR!AJ41*(1%+VLOOKUP($B36,Int_Rate_Param,2,FALSE))))</f>
        <v>2.2630000000000001E-2</v>
      </c>
      <c r="AK36" s="94">
        <f>IF($B36&gt;20,IF(EIOPA_RFR!AK41*(1%+VLOOKUP($B$27,Int_Rate_Param,2,FALSE))&lt;1%+EIOPA_RFR!AK41,1%+EIOPA_RFR!AK41,EIOPA_RFR!AK41*(1%+VLOOKUP($B$27,Int_Rate_Param,2,FALSE))),IF(EIOPA_RFR!AK41*(1%+VLOOKUP($B36,Int_Rate_Param,2,FALSE))&lt;1%+EIOPA_RFR!AK41,1%+EIOPA_RFR!AK41,EIOPA_RFR!AK41*(1%+VLOOKUP($B36,Int_Rate_Param,2,FALSE))))</f>
        <v>4.3220000000000001E-2</v>
      </c>
      <c r="AL36" s="94">
        <f>IF($B36&gt;20,IF(EIOPA_RFR!AL41*(1%+VLOOKUP($B$27,Int_Rate_Param,2,FALSE))&lt;1%+EIOPA_RFR!AL41,1%+EIOPA_RFR!AL41,EIOPA_RFR!AL41*(1%+VLOOKUP($B$27,Int_Rate_Param,2,FALSE))),IF(EIOPA_RFR!AL41*(1%+VLOOKUP($B36,Int_Rate_Param,2,FALSE))&lt;1%+EIOPA_RFR!AL41,1%+EIOPA_RFR!AL41,EIOPA_RFR!AL41*(1%+VLOOKUP($B36,Int_Rate_Param,2,FALSE))))</f>
        <v>8.8249999999999995E-2</v>
      </c>
      <c r="AM36" s="94">
        <f>IF($B36&gt;20,IF(EIOPA_RFR!AM41*(1%+VLOOKUP($B$27,Int_Rate_Param,2,FALSE))&lt;1%+EIOPA_RFR!AM41,1%+EIOPA_RFR!AM41,EIOPA_RFR!AM41*(1%+VLOOKUP($B$27,Int_Rate_Param,2,FALSE))),IF(EIOPA_RFR!AM41*(1%+VLOOKUP($B36,Int_Rate_Param,2,FALSE))&lt;1%+EIOPA_RFR!AM41,1%+EIOPA_RFR!AM41,EIOPA_RFR!AM41*(1%+VLOOKUP($B36,Int_Rate_Param,2,FALSE))))</f>
        <v>3.2190000000000003E-2</v>
      </c>
      <c r="AN36" s="94">
        <f>IF($B36&gt;20,IF(EIOPA_RFR!AN41*(1%+VLOOKUP($B$27,Int_Rate_Param,2,FALSE))&lt;1%+EIOPA_RFR!AN41,1%+EIOPA_RFR!AN41,EIOPA_RFR!AN41*(1%+VLOOKUP($B$27,Int_Rate_Param,2,FALSE))),IF(EIOPA_RFR!AN41*(1%+VLOOKUP($B36,Int_Rate_Param,2,FALSE))&lt;1%+EIOPA_RFR!AN41,1%+EIOPA_RFR!AN41,EIOPA_RFR!AN41*(1%+VLOOKUP($B36,Int_Rate_Param,2,FALSE))))</f>
        <v>5.2520000000000004E-2</v>
      </c>
      <c r="AO36" s="94">
        <f>IF($B36&gt;20,IF(EIOPA_RFR!AO41*(1%+VLOOKUP($B$27,Int_Rate_Param,2,FALSE))&lt;1%+EIOPA_RFR!AO41,1%+EIOPA_RFR!AO41,EIOPA_RFR!AO41*(1%+VLOOKUP($B$27,Int_Rate_Param,2,FALSE))),IF(EIOPA_RFR!AO41*(1%+VLOOKUP($B36,Int_Rate_Param,2,FALSE))&lt;1%+EIOPA_RFR!AO41,1%+EIOPA_RFR!AO41,EIOPA_RFR!AO41*(1%+VLOOKUP($B36,Int_Rate_Param,2,FALSE))))</f>
        <v>5.4179999999999999E-2</v>
      </c>
      <c r="AP36" s="94">
        <f>IF($B36&gt;20,IF(EIOPA_RFR!AP41*(1%+VLOOKUP($B$27,Int_Rate_Param,2,FALSE))&lt;1%+EIOPA_RFR!AP41,1%+EIOPA_RFR!AP41,EIOPA_RFR!AP41*(1%+VLOOKUP($B$27,Int_Rate_Param,2,FALSE))),IF(EIOPA_RFR!AP41*(1%+VLOOKUP($B36,Int_Rate_Param,2,FALSE))&lt;1%+EIOPA_RFR!AP41,1%+EIOPA_RFR!AP41,EIOPA_RFR!AP41*(1%+VLOOKUP($B36,Int_Rate_Param,2,FALSE))))</f>
        <v>6.676E-2</v>
      </c>
      <c r="AQ36" s="94">
        <f>IF($B36&gt;20,IF(EIOPA_RFR!AQ41*(1%+VLOOKUP($B$27,Int_Rate_Param,2,FALSE))&lt;1%+EIOPA_RFR!AQ41,1%+EIOPA_RFR!AQ41,EIOPA_RFR!AQ41*(1%+VLOOKUP($B$27,Int_Rate_Param,2,FALSE))),IF(EIOPA_RFR!AQ41*(1%+VLOOKUP($B36,Int_Rate_Param,2,FALSE))&lt;1%+EIOPA_RFR!AQ41,1%+EIOPA_RFR!AQ41,EIOPA_RFR!AQ41*(1%+VLOOKUP($B36,Int_Rate_Param,2,FALSE))))</f>
        <v>3.9750000000000001E-2</v>
      </c>
      <c r="AR36" s="94">
        <f>IF($B36&gt;20,IF(EIOPA_RFR!AR41*(1%+VLOOKUP($B$27,Int_Rate_Param,2,FALSE))&lt;1%+EIOPA_RFR!AR41,1%+EIOPA_RFR!AR41,EIOPA_RFR!AR41*(1%+VLOOKUP($B$27,Int_Rate_Param,2,FALSE))),IF(EIOPA_RFR!AR41*(1%+VLOOKUP($B36,Int_Rate_Param,2,FALSE))&lt;1%+EIOPA_RFR!AR41,1%+EIOPA_RFR!AR41,EIOPA_RFR!AR41*(1%+VLOOKUP($B36,Int_Rate_Param,2,FALSE))))</f>
        <v>7.4089999999999989E-2</v>
      </c>
      <c r="AS36" s="94">
        <f>IF($B36&gt;20,IF(EIOPA_RFR!AS41*(1%+VLOOKUP($B$27,Int_Rate_Param,2,FALSE))&lt;1%+EIOPA_RFR!AS41,1%+EIOPA_RFR!AS41,EIOPA_RFR!AS41*(1%+VLOOKUP($B$27,Int_Rate_Param,2,FALSE))),IF(EIOPA_RFR!AS41*(1%+VLOOKUP($B36,Int_Rate_Param,2,FALSE))&lt;1%+EIOPA_RFR!AS41,1%+EIOPA_RFR!AS41,EIOPA_RFR!AS41*(1%+VLOOKUP($B36,Int_Rate_Param,2,FALSE))))</f>
        <v>1.7389999999999999E-2</v>
      </c>
      <c r="AT36" s="94">
        <f>IF($B36&gt;20,IF(EIOPA_RFR!AT41*(1%+VLOOKUP($B$27,Int_Rate_Param,2,FALSE))&lt;1%+EIOPA_RFR!AT41,1%+EIOPA_RFR!AT41,EIOPA_RFR!AT41*(1%+VLOOKUP($B$27,Int_Rate_Param,2,FALSE))),IF(EIOPA_RFR!AT41*(1%+VLOOKUP($B36,Int_Rate_Param,2,FALSE))&lt;1%+EIOPA_RFR!AT41,1%+EIOPA_RFR!AT41,EIOPA_RFR!AT41*(1%+VLOOKUP($B36,Int_Rate_Param,2,FALSE))))</f>
        <v>5.3600000000000002E-2</v>
      </c>
      <c r="AU36" s="94">
        <f>IF($B36&gt;20,IF(EIOPA_RFR!AU41*(1%+VLOOKUP($B$27,Int_Rate_Param,2,FALSE))&lt;1%+EIOPA_RFR!AU41,1%+EIOPA_RFR!AU41,EIOPA_RFR!AU41*(1%+VLOOKUP($B$27,Int_Rate_Param,2,FALSE))),IF(EIOPA_RFR!AU41*(1%+VLOOKUP($B36,Int_Rate_Param,2,FALSE))&lt;1%+EIOPA_RFR!AU41,1%+EIOPA_RFR!AU41,EIOPA_RFR!AU41*(1%+VLOOKUP($B36,Int_Rate_Param,2,FALSE))))</f>
        <v>8.6189999999999989E-2</v>
      </c>
      <c r="AV36" s="94">
        <f>IF($B36&gt;20,IF(EIOPA_RFR!AV41*(1%+VLOOKUP($B$27,Int_Rate_Param,2,FALSE))&lt;1%+EIOPA_RFR!AV41,1%+EIOPA_RFR!AV41,EIOPA_RFR!AV41*(1%+VLOOKUP($B$27,Int_Rate_Param,2,FALSE))),IF(EIOPA_RFR!AV41*(1%+VLOOKUP($B36,Int_Rate_Param,2,FALSE))&lt;1%+EIOPA_RFR!AV41,1%+EIOPA_RFR!AV41,EIOPA_RFR!AV41*(1%+VLOOKUP($B36,Int_Rate_Param,2,FALSE))))</f>
        <v>5.1400000000000001E-2</v>
      </c>
      <c r="AW36" s="94">
        <f>IF($B36&gt;20,IF(EIOPA_RFR!AW41*(1%+VLOOKUP($B$27,Int_Rate_Param,2,FALSE))&lt;1%+EIOPA_RFR!AW41,1%+EIOPA_RFR!AW41,EIOPA_RFR!AW41*(1%+VLOOKUP($B$27,Int_Rate_Param,2,FALSE))),IF(EIOPA_RFR!AW41*(1%+VLOOKUP($B36,Int_Rate_Param,2,FALSE))&lt;1%+EIOPA_RFR!AW41,1%+EIOPA_RFR!AW41,EIOPA_RFR!AW41*(1%+VLOOKUP($B36,Int_Rate_Param,2,FALSE))))</f>
        <v>3.9559999999999998E-2</v>
      </c>
      <c r="AX36" s="94">
        <f>IF($B36&gt;20,IF(EIOPA_RFR!AX41*(1%+VLOOKUP($B$27,Int_Rate_Param,2,FALSE))&lt;1%+EIOPA_RFR!AX41,1%+EIOPA_RFR!AX41,EIOPA_RFR!AX41*(1%+VLOOKUP($B$27,Int_Rate_Param,2,FALSE))),IF(EIOPA_RFR!AX41*(1%+VLOOKUP($B36,Int_Rate_Param,2,FALSE))&lt;1%+EIOPA_RFR!AX41,1%+EIOPA_RFR!AX41,EIOPA_RFR!AX41*(1%+VLOOKUP($B36,Int_Rate_Param,2,FALSE))))</f>
        <v>8.6209999999999995E-2</v>
      </c>
      <c r="AY36" s="94">
        <f>IF($B36&gt;20,IF(EIOPA_RFR!AY41*(1%+VLOOKUP($B$27,Int_Rate_Param,2,FALSE))&lt;1%+EIOPA_RFR!AY41,1%+EIOPA_RFR!AY41,EIOPA_RFR!AY41*(1%+VLOOKUP($B$27,Int_Rate_Param,2,FALSE))),IF(EIOPA_RFR!AY41*(1%+VLOOKUP($B36,Int_Rate_Param,2,FALSE))&lt;1%+EIOPA_RFR!AY41,1%+EIOPA_RFR!AY41,EIOPA_RFR!AY41*(1%+VLOOKUP($B36,Int_Rate_Param,2,FALSE))))</f>
        <v>3.2289999999999999E-2</v>
      </c>
      <c r="AZ36" s="94">
        <f>IF($B36&gt;20,IF(EIOPA_RFR!AZ41*(1%+VLOOKUP($B$27,Int_Rate_Param,2,FALSE))&lt;1%+EIOPA_RFR!AZ41,1%+EIOPA_RFR!AZ41,EIOPA_RFR!AZ41*(1%+VLOOKUP($B$27,Int_Rate_Param,2,FALSE))),IF(EIOPA_RFR!AZ41*(1%+VLOOKUP($B36,Int_Rate_Param,2,FALSE))&lt;1%+EIOPA_RFR!AZ41,1%+EIOPA_RFR!AZ41,EIOPA_RFR!AZ41*(1%+VLOOKUP($B36,Int_Rate_Param,2,FALSE))))</f>
        <v>3.4860000000000002E-2</v>
      </c>
      <c r="BA36" s="94">
        <f>IF($B36&gt;20,IF(EIOPA_RFR!BA41*(1%+VLOOKUP($B$27,Int_Rate_Param,2,FALSE))&lt;1%+EIOPA_RFR!BA41,1%+EIOPA_RFR!BA41,EIOPA_RFR!BA41*(1%+VLOOKUP($B$27,Int_Rate_Param,2,FALSE))),IF(EIOPA_RFR!BA41*(1%+VLOOKUP($B36,Int_Rate_Param,2,FALSE))&lt;1%+EIOPA_RFR!BA41,1%+EIOPA_RFR!BA41,EIOPA_RFR!BA41*(1%+VLOOKUP($B36,Int_Rate_Param,2,FALSE))))</f>
        <v>4.2770000000000002E-2</v>
      </c>
      <c r="BB36" s="94">
        <f>IF($B36&gt;20,IF(EIOPA_RFR!BB41*(1%+VLOOKUP($B$27,Int_Rate_Param,2,FALSE))&lt;1%+EIOPA_RFR!BB41,1%+EIOPA_RFR!BB41,EIOPA_RFR!BB41*(1%+VLOOKUP($B$27,Int_Rate_Param,2,FALSE))),IF(EIOPA_RFR!BB41*(1%+VLOOKUP($B36,Int_Rate_Param,2,FALSE))&lt;1%+EIOPA_RFR!BB41,1%+EIOPA_RFR!BB41,EIOPA_RFR!BB41*(1%+VLOOKUP($B36,Int_Rate_Param,2,FALSE))))</f>
        <v>9.128E-2</v>
      </c>
      <c r="BC36" s="94">
        <f>IF($B36&gt;20,IF(EIOPA_RFR!BC41*(1%+VLOOKUP($B$27,Int_Rate_Param,2,FALSE))&lt;1%+EIOPA_RFR!BC41,1%+EIOPA_RFR!BC41,EIOPA_RFR!BC41*(1%+VLOOKUP($B$27,Int_Rate_Param,2,FALSE))),IF(EIOPA_RFR!BC41*(1%+VLOOKUP($B36,Int_Rate_Param,2,FALSE))&lt;1%+EIOPA_RFR!BC41,1%+EIOPA_RFR!BC41,EIOPA_RFR!BC41*(1%+VLOOKUP($B36,Int_Rate_Param,2,FALSE))))</f>
        <v>3.5409999999999997E-2</v>
      </c>
    </row>
    <row r="37" spans="1:55" x14ac:dyDescent="0.25">
      <c r="A37">
        <f t="shared" si="0"/>
        <v>32</v>
      </c>
      <c r="B37" s="95">
        <v>30</v>
      </c>
      <c r="C37" s="94">
        <f>IF($B37&gt;20,IF(EIOPA_RFR!C42*(1%+VLOOKUP($B$27,Int_Rate_Param,2,FALSE))&lt;1%+EIOPA_RFR!C42,1%+EIOPA_RFR!C42,EIOPA_RFR!C42*(1%+VLOOKUP($B$27,Int_Rate_Param,2,FALSE))),IF(EIOPA_RFR!C42*(1%+VLOOKUP($B37,Int_Rate_Param,2,FALSE))&lt;1%+EIOPA_RFR!C42,1%+EIOPA_RFR!C42,EIOPA_RFR!C42*(1%+VLOOKUP($B37,Int_Rate_Param,2,FALSE))))</f>
        <v>2.869E-2</v>
      </c>
      <c r="D37" s="94">
        <f>IF($B37&gt;20,IF(EIOPA_RFR!D42*(1%+VLOOKUP($B$27,Int_Rate_Param,2,FALSE))&lt;1%+EIOPA_RFR!D42,1%+EIOPA_RFR!D42,EIOPA_RFR!D42*(1%+VLOOKUP($B$27,Int_Rate_Param,2,FALSE))),IF(EIOPA_RFR!D42*(1%+VLOOKUP($B37,Int_Rate_Param,2,FALSE))&lt;1%+EIOPA_RFR!D42,1%+EIOPA_RFR!D42,EIOPA_RFR!D42*(1%+VLOOKUP($B37,Int_Rate_Param,2,FALSE))))</f>
        <v>2.869E-2</v>
      </c>
      <c r="E37" s="94">
        <f>IF($B37&gt;20,IF(EIOPA_RFR!E42*(1%+VLOOKUP($B$27,Int_Rate_Param,2,FALSE))&lt;1%+EIOPA_RFR!E42,1%+EIOPA_RFR!E42,EIOPA_RFR!E42*(1%+VLOOKUP($B$27,Int_Rate_Param,2,FALSE))),IF(EIOPA_RFR!E42*(1%+VLOOKUP($B37,Int_Rate_Param,2,FALSE))&lt;1%+EIOPA_RFR!E42,1%+EIOPA_RFR!E42,EIOPA_RFR!E42*(1%+VLOOKUP($B37,Int_Rate_Param,2,FALSE))))</f>
        <v>2.869E-2</v>
      </c>
      <c r="F37" s="94">
        <f>IF($B37&gt;20,IF(EIOPA_RFR!F42*(1%+VLOOKUP($B$27,Int_Rate_Param,2,FALSE))&lt;1%+EIOPA_RFR!F42,1%+EIOPA_RFR!F42,EIOPA_RFR!F42*(1%+VLOOKUP($B$27,Int_Rate_Param,2,FALSE))),IF(EIOPA_RFR!F42*(1%+VLOOKUP($B37,Int_Rate_Param,2,FALSE))&lt;1%+EIOPA_RFR!F42,1%+EIOPA_RFR!F42,EIOPA_RFR!F42*(1%+VLOOKUP($B37,Int_Rate_Param,2,FALSE))))</f>
        <v>2.828E-2</v>
      </c>
      <c r="G37" s="94">
        <f>IF($B37&gt;20,IF(EIOPA_RFR!G42*(1%+VLOOKUP($B$27,Int_Rate_Param,2,FALSE))&lt;1%+EIOPA_RFR!G42,1%+EIOPA_RFR!G42,EIOPA_RFR!G42*(1%+VLOOKUP($B$27,Int_Rate_Param,2,FALSE))),IF(EIOPA_RFR!G42*(1%+VLOOKUP($B37,Int_Rate_Param,2,FALSE))&lt;1%+EIOPA_RFR!G42,1%+EIOPA_RFR!G42,EIOPA_RFR!G42*(1%+VLOOKUP($B37,Int_Rate_Param,2,FALSE))))</f>
        <v>4.5839999999999999E-2</v>
      </c>
      <c r="H37" s="94">
        <f>IF($B37&gt;20,IF(EIOPA_RFR!H42*(1%+VLOOKUP($B$27,Int_Rate_Param,2,FALSE))&lt;1%+EIOPA_RFR!H42,1%+EIOPA_RFR!H42,EIOPA_RFR!H42*(1%+VLOOKUP($B$27,Int_Rate_Param,2,FALSE))),IF(EIOPA_RFR!H42*(1%+VLOOKUP($B37,Int_Rate_Param,2,FALSE))&lt;1%+EIOPA_RFR!H42,1%+EIOPA_RFR!H42,EIOPA_RFR!H42*(1%+VLOOKUP($B37,Int_Rate_Param,2,FALSE))))</f>
        <v>2.869E-2</v>
      </c>
      <c r="I37" s="94">
        <f>IF($B37&gt;20,IF(EIOPA_RFR!I42*(1%+VLOOKUP($B$27,Int_Rate_Param,2,FALSE))&lt;1%+EIOPA_RFR!I42,1%+EIOPA_RFR!I42,EIOPA_RFR!I42*(1%+VLOOKUP($B$27,Int_Rate_Param,2,FALSE))),IF(EIOPA_RFR!I42*(1%+VLOOKUP($B37,Int_Rate_Param,2,FALSE))&lt;1%+EIOPA_RFR!I42,1%+EIOPA_RFR!I42,EIOPA_RFR!I42*(1%+VLOOKUP($B37,Int_Rate_Param,2,FALSE))))</f>
        <v>3.3029999999999997E-2</v>
      </c>
      <c r="J37" s="94">
        <f>IF($B37&gt;20,IF(EIOPA_RFR!J42*(1%+VLOOKUP($B$27,Int_Rate_Param,2,FALSE))&lt;1%+EIOPA_RFR!J42,1%+EIOPA_RFR!J42,EIOPA_RFR!J42*(1%+VLOOKUP($B$27,Int_Rate_Param,2,FALSE))),IF(EIOPA_RFR!J42*(1%+VLOOKUP($B37,Int_Rate_Param,2,FALSE))&lt;1%+EIOPA_RFR!J42,1%+EIOPA_RFR!J42,EIOPA_RFR!J42*(1%+VLOOKUP($B37,Int_Rate_Param,2,FALSE))))</f>
        <v>2.8610000000000003E-2</v>
      </c>
      <c r="K37" s="94">
        <f>IF($B37&gt;20,IF(EIOPA_RFR!K42*(1%+VLOOKUP($B$27,Int_Rate_Param,2,FALSE))&lt;1%+EIOPA_RFR!K42,1%+EIOPA_RFR!K42,EIOPA_RFR!K42*(1%+VLOOKUP($B$27,Int_Rate_Param,2,FALSE))),IF(EIOPA_RFR!K42*(1%+VLOOKUP($B37,Int_Rate_Param,2,FALSE))&lt;1%+EIOPA_RFR!K42,1%+EIOPA_RFR!K42,EIOPA_RFR!K42*(1%+VLOOKUP($B37,Int_Rate_Param,2,FALSE))))</f>
        <v>2.869E-2</v>
      </c>
      <c r="L37" s="94">
        <f>IF($B37&gt;20,IF(EIOPA_RFR!L42*(1%+VLOOKUP($B$27,Int_Rate_Param,2,FALSE))&lt;1%+EIOPA_RFR!L42,1%+EIOPA_RFR!L42,EIOPA_RFR!L42*(1%+VLOOKUP($B$27,Int_Rate_Param,2,FALSE))),IF(EIOPA_RFR!L42*(1%+VLOOKUP($B37,Int_Rate_Param,2,FALSE))&lt;1%+EIOPA_RFR!L42,1%+EIOPA_RFR!L42,EIOPA_RFR!L42*(1%+VLOOKUP($B37,Int_Rate_Param,2,FALSE))))</f>
        <v>2.869E-2</v>
      </c>
      <c r="M37" s="94">
        <f>IF($B37&gt;20,IF(EIOPA_RFR!M42*(1%+VLOOKUP($B$27,Int_Rate_Param,2,FALSE))&lt;1%+EIOPA_RFR!M42,1%+EIOPA_RFR!M42,EIOPA_RFR!M42*(1%+VLOOKUP($B$27,Int_Rate_Param,2,FALSE))),IF(EIOPA_RFR!M42*(1%+VLOOKUP($B37,Int_Rate_Param,2,FALSE))&lt;1%+EIOPA_RFR!M42,1%+EIOPA_RFR!M42,EIOPA_RFR!M42*(1%+VLOOKUP($B37,Int_Rate_Param,2,FALSE))))</f>
        <v>2.869E-2</v>
      </c>
      <c r="N37" s="94">
        <f>IF($B37&gt;20,IF(EIOPA_RFR!N42*(1%+VLOOKUP($B$27,Int_Rate_Param,2,FALSE))&lt;1%+EIOPA_RFR!N42,1%+EIOPA_RFR!N42,EIOPA_RFR!N42*(1%+VLOOKUP($B$27,Int_Rate_Param,2,FALSE))),IF(EIOPA_RFR!N42*(1%+VLOOKUP($B37,Int_Rate_Param,2,FALSE))&lt;1%+EIOPA_RFR!N42,1%+EIOPA_RFR!N42,EIOPA_RFR!N42*(1%+VLOOKUP($B37,Int_Rate_Param,2,FALSE))))</f>
        <v>2.869E-2</v>
      </c>
      <c r="O37" s="94">
        <f>IF($B37&gt;20,IF(EIOPA_RFR!O42*(1%+VLOOKUP($B$27,Int_Rate_Param,2,FALSE))&lt;1%+EIOPA_RFR!O42,1%+EIOPA_RFR!O42,EIOPA_RFR!O42*(1%+VLOOKUP($B$27,Int_Rate_Param,2,FALSE))),IF(EIOPA_RFR!O42*(1%+VLOOKUP($B37,Int_Rate_Param,2,FALSE))&lt;1%+EIOPA_RFR!O42,1%+EIOPA_RFR!O42,EIOPA_RFR!O42*(1%+VLOOKUP($B37,Int_Rate_Param,2,FALSE))))</f>
        <v>2.869E-2</v>
      </c>
      <c r="P37" s="94">
        <f>IF($B37&gt;20,IF(EIOPA_RFR!P42*(1%+VLOOKUP($B$27,Int_Rate_Param,2,FALSE))&lt;1%+EIOPA_RFR!P42,1%+EIOPA_RFR!P42,EIOPA_RFR!P42*(1%+VLOOKUP($B$27,Int_Rate_Param,2,FALSE))),IF(EIOPA_RFR!P42*(1%+VLOOKUP($B37,Int_Rate_Param,2,FALSE))&lt;1%+EIOPA_RFR!P42,1%+EIOPA_RFR!P42,EIOPA_RFR!P42*(1%+VLOOKUP($B37,Int_Rate_Param,2,FALSE))))</f>
        <v>5.3370000000000001E-2</v>
      </c>
      <c r="Q37" s="94">
        <f>IF($B37&gt;20,IF(EIOPA_RFR!Q42*(1%+VLOOKUP($B$27,Int_Rate_Param,2,FALSE))&lt;1%+EIOPA_RFR!Q42,1%+EIOPA_RFR!Q42,EIOPA_RFR!Q42*(1%+VLOOKUP($B$27,Int_Rate_Param,2,FALSE))),IF(EIOPA_RFR!Q42*(1%+VLOOKUP($B37,Int_Rate_Param,2,FALSE))&lt;1%+EIOPA_RFR!Q42,1%+EIOPA_RFR!Q42,EIOPA_RFR!Q42*(1%+VLOOKUP($B37,Int_Rate_Param,2,FALSE))))</f>
        <v>5.5449999999999999E-2</v>
      </c>
      <c r="R37" s="94">
        <f>IF($B37&gt;20,IF(EIOPA_RFR!R42*(1%+VLOOKUP($B$27,Int_Rate_Param,2,FALSE))&lt;1%+EIOPA_RFR!R42,1%+EIOPA_RFR!R42,EIOPA_RFR!R42*(1%+VLOOKUP($B$27,Int_Rate_Param,2,FALSE))),IF(EIOPA_RFR!R42*(1%+VLOOKUP($B37,Int_Rate_Param,2,FALSE))&lt;1%+EIOPA_RFR!R42,1%+EIOPA_RFR!R42,EIOPA_RFR!R42*(1%+VLOOKUP($B37,Int_Rate_Param,2,FALSE))))</f>
        <v>2.869E-2</v>
      </c>
      <c r="S37" s="94">
        <f>IF($B37&gt;20,IF(EIOPA_RFR!S42*(1%+VLOOKUP($B$27,Int_Rate_Param,2,FALSE))&lt;1%+EIOPA_RFR!S42,1%+EIOPA_RFR!S42,EIOPA_RFR!S42*(1%+VLOOKUP($B$27,Int_Rate_Param,2,FALSE))),IF(EIOPA_RFR!S42*(1%+VLOOKUP($B37,Int_Rate_Param,2,FALSE))&lt;1%+EIOPA_RFR!S42,1%+EIOPA_RFR!S42,EIOPA_RFR!S42*(1%+VLOOKUP($B37,Int_Rate_Param,2,FALSE))))</f>
        <v>2.869E-2</v>
      </c>
      <c r="T37" s="94">
        <f>IF($B37&gt;20,IF(EIOPA_RFR!T42*(1%+VLOOKUP($B$27,Int_Rate_Param,2,FALSE))&lt;1%+EIOPA_RFR!T42,1%+EIOPA_RFR!T42,EIOPA_RFR!T42*(1%+VLOOKUP($B$27,Int_Rate_Param,2,FALSE))),IF(EIOPA_RFR!T42*(1%+VLOOKUP($B37,Int_Rate_Param,2,FALSE))&lt;1%+EIOPA_RFR!T42,1%+EIOPA_RFR!T42,EIOPA_RFR!T42*(1%+VLOOKUP($B37,Int_Rate_Param,2,FALSE))))</f>
        <v>2.869E-2</v>
      </c>
      <c r="U37" s="94">
        <f>IF($B37&gt;20,IF(EIOPA_RFR!U42*(1%+VLOOKUP($B$27,Int_Rate_Param,2,FALSE))&lt;1%+EIOPA_RFR!U42,1%+EIOPA_RFR!U42,EIOPA_RFR!U42*(1%+VLOOKUP($B$27,Int_Rate_Param,2,FALSE))),IF(EIOPA_RFR!U42*(1%+VLOOKUP($B37,Int_Rate_Param,2,FALSE))&lt;1%+EIOPA_RFR!U42,1%+EIOPA_RFR!U42,EIOPA_RFR!U42*(1%+VLOOKUP($B37,Int_Rate_Param,2,FALSE))))</f>
        <v>1.7010000000000001E-2</v>
      </c>
      <c r="V37" s="94">
        <f>IF($B37&gt;20,IF(EIOPA_RFR!V42*(1%+VLOOKUP($B$27,Int_Rate_Param,2,FALSE))&lt;1%+EIOPA_RFR!V42,1%+EIOPA_RFR!V42,EIOPA_RFR!V42*(1%+VLOOKUP($B$27,Int_Rate_Param,2,FALSE))),IF(EIOPA_RFR!V42*(1%+VLOOKUP($B37,Int_Rate_Param,2,FALSE))&lt;1%+EIOPA_RFR!V42,1%+EIOPA_RFR!V42,EIOPA_RFR!V42*(1%+VLOOKUP($B37,Int_Rate_Param,2,FALSE))))</f>
        <v>2.869E-2</v>
      </c>
      <c r="W37" s="94">
        <f>IF($B37&gt;20,IF(EIOPA_RFR!W42*(1%+VLOOKUP($B$27,Int_Rate_Param,2,FALSE))&lt;1%+EIOPA_RFR!W42,1%+EIOPA_RFR!W42,EIOPA_RFR!W42*(1%+VLOOKUP($B$27,Int_Rate_Param,2,FALSE))),IF(EIOPA_RFR!W42*(1%+VLOOKUP($B37,Int_Rate_Param,2,FALSE))&lt;1%+EIOPA_RFR!W42,1%+EIOPA_RFR!W42,EIOPA_RFR!W42*(1%+VLOOKUP($B37,Int_Rate_Param,2,FALSE))))</f>
        <v>2.869E-2</v>
      </c>
      <c r="X37" s="94">
        <f>IF($B37&gt;20,IF(EIOPA_RFR!X42*(1%+VLOOKUP($B$27,Int_Rate_Param,2,FALSE))&lt;1%+EIOPA_RFR!X42,1%+EIOPA_RFR!X42,EIOPA_RFR!X42*(1%+VLOOKUP($B$27,Int_Rate_Param,2,FALSE))),IF(EIOPA_RFR!X42*(1%+VLOOKUP($B37,Int_Rate_Param,2,FALSE))&lt;1%+EIOPA_RFR!X42,1%+EIOPA_RFR!X42,EIOPA_RFR!X42*(1%+VLOOKUP($B37,Int_Rate_Param,2,FALSE))))</f>
        <v>2.869E-2</v>
      </c>
      <c r="Y37" s="94">
        <f>IF($B37&gt;20,IF(EIOPA_RFR!Y42*(1%+VLOOKUP($B$27,Int_Rate_Param,2,FALSE))&lt;1%+EIOPA_RFR!Y42,1%+EIOPA_RFR!Y42,EIOPA_RFR!Y42*(1%+VLOOKUP($B$27,Int_Rate_Param,2,FALSE))),IF(EIOPA_RFR!Y42*(1%+VLOOKUP($B37,Int_Rate_Param,2,FALSE))&lt;1%+EIOPA_RFR!Y42,1%+EIOPA_RFR!Y42,EIOPA_RFR!Y42*(1%+VLOOKUP($B37,Int_Rate_Param,2,FALSE))))</f>
        <v>2.869E-2</v>
      </c>
      <c r="Z37" s="94">
        <f>IF($B37&gt;20,IF(EIOPA_RFR!Z42*(1%+VLOOKUP($B$27,Int_Rate_Param,2,FALSE))&lt;1%+EIOPA_RFR!Z42,1%+EIOPA_RFR!Z42,EIOPA_RFR!Z42*(1%+VLOOKUP($B$27,Int_Rate_Param,2,FALSE))),IF(EIOPA_RFR!Z42*(1%+VLOOKUP($B37,Int_Rate_Param,2,FALSE))&lt;1%+EIOPA_RFR!Z42,1%+EIOPA_RFR!Z42,EIOPA_RFR!Z42*(1%+VLOOKUP($B37,Int_Rate_Param,2,FALSE))))</f>
        <v>3.9469999999999998E-2</v>
      </c>
      <c r="AA37" s="94">
        <f>IF($B37&gt;20,IF(EIOPA_RFR!AA42*(1%+VLOOKUP($B$27,Int_Rate_Param,2,FALSE))&lt;1%+EIOPA_RFR!AA42,1%+EIOPA_RFR!AA42,EIOPA_RFR!AA42*(1%+VLOOKUP($B$27,Int_Rate_Param,2,FALSE))),IF(EIOPA_RFR!AA42*(1%+VLOOKUP($B37,Int_Rate_Param,2,FALSE))&lt;1%+EIOPA_RFR!AA42,1%+EIOPA_RFR!AA42,EIOPA_RFR!AA42*(1%+VLOOKUP($B37,Int_Rate_Param,2,FALSE))))</f>
        <v>5.0189999999999999E-2</v>
      </c>
      <c r="AB37" s="94">
        <f>IF($B37&gt;20,IF(EIOPA_RFR!AB42*(1%+VLOOKUP($B$27,Int_Rate_Param,2,FALSE))&lt;1%+EIOPA_RFR!AB42,1%+EIOPA_RFR!AB42,EIOPA_RFR!AB42*(1%+VLOOKUP($B$27,Int_Rate_Param,2,FALSE))),IF(EIOPA_RFR!AB42*(1%+VLOOKUP($B37,Int_Rate_Param,2,FALSE))&lt;1%+EIOPA_RFR!AB42,1%+EIOPA_RFR!AB42,EIOPA_RFR!AB42*(1%+VLOOKUP($B37,Int_Rate_Param,2,FALSE))))</f>
        <v>2.869E-2</v>
      </c>
      <c r="AC37" s="94">
        <f>IF($B37&gt;20,IF(EIOPA_RFR!AC42*(1%+VLOOKUP($B$27,Int_Rate_Param,2,FALSE))&lt;1%+EIOPA_RFR!AC42,1%+EIOPA_RFR!AC42,EIOPA_RFR!AC42*(1%+VLOOKUP($B$27,Int_Rate_Param,2,FALSE))),IF(EIOPA_RFR!AC42*(1%+VLOOKUP($B37,Int_Rate_Param,2,FALSE))&lt;1%+EIOPA_RFR!AC42,1%+EIOPA_RFR!AC42,EIOPA_RFR!AC42*(1%+VLOOKUP($B37,Int_Rate_Param,2,FALSE))))</f>
        <v>5.3940000000000002E-2</v>
      </c>
      <c r="AD37" s="94">
        <f>IF($B37&gt;20,IF(EIOPA_RFR!AD42*(1%+VLOOKUP($B$27,Int_Rate_Param,2,FALSE))&lt;1%+EIOPA_RFR!AD42,1%+EIOPA_RFR!AD42,EIOPA_RFR!AD42*(1%+VLOOKUP($B$27,Int_Rate_Param,2,FALSE))),IF(EIOPA_RFR!AD42*(1%+VLOOKUP($B37,Int_Rate_Param,2,FALSE))&lt;1%+EIOPA_RFR!AD42,1%+EIOPA_RFR!AD42,EIOPA_RFR!AD42*(1%+VLOOKUP($B37,Int_Rate_Param,2,FALSE))))</f>
        <v>7.0910000000000001E-2</v>
      </c>
      <c r="AE37" s="94">
        <f>IF($B37&gt;20,IF(EIOPA_RFR!AE42*(1%+VLOOKUP($B$27,Int_Rate_Param,2,FALSE))&lt;1%+EIOPA_RFR!AE42,1%+EIOPA_RFR!AE42,EIOPA_RFR!AE42*(1%+VLOOKUP($B$27,Int_Rate_Param,2,FALSE))),IF(EIOPA_RFR!AE42*(1%+VLOOKUP($B37,Int_Rate_Param,2,FALSE))&lt;1%+EIOPA_RFR!AE42,1%+EIOPA_RFR!AE42,EIOPA_RFR!AE42*(1%+VLOOKUP($B37,Int_Rate_Param,2,FALSE))))</f>
        <v>2.869E-2</v>
      </c>
      <c r="AF37" s="94">
        <f>IF($B37&gt;20,IF(EIOPA_RFR!AF42*(1%+VLOOKUP($B$27,Int_Rate_Param,2,FALSE))&lt;1%+EIOPA_RFR!AF42,1%+EIOPA_RFR!AF42,EIOPA_RFR!AF42*(1%+VLOOKUP($B$27,Int_Rate_Param,2,FALSE))),IF(EIOPA_RFR!AF42*(1%+VLOOKUP($B37,Int_Rate_Param,2,FALSE))&lt;1%+EIOPA_RFR!AF42,1%+EIOPA_RFR!AF42,EIOPA_RFR!AF42*(1%+VLOOKUP($B37,Int_Rate_Param,2,FALSE))))</f>
        <v>2.869E-2</v>
      </c>
      <c r="AG37" s="94">
        <f>IF($B37&gt;20,IF(EIOPA_RFR!AG42*(1%+VLOOKUP($B$27,Int_Rate_Param,2,FALSE))&lt;1%+EIOPA_RFR!AG42,1%+EIOPA_RFR!AG42,EIOPA_RFR!AG42*(1%+VLOOKUP($B$27,Int_Rate_Param,2,FALSE))),IF(EIOPA_RFR!AG42*(1%+VLOOKUP($B37,Int_Rate_Param,2,FALSE))&lt;1%+EIOPA_RFR!AG42,1%+EIOPA_RFR!AG42,EIOPA_RFR!AG42*(1%+VLOOKUP($B37,Int_Rate_Param,2,FALSE))))</f>
        <v>2.869E-2</v>
      </c>
      <c r="AH37" s="94">
        <f>IF($B37&gt;20,IF(EIOPA_RFR!AH42*(1%+VLOOKUP($B$27,Int_Rate_Param,2,FALSE))&lt;1%+EIOPA_RFR!AH42,1%+EIOPA_RFR!AH42,EIOPA_RFR!AH42*(1%+VLOOKUP($B$27,Int_Rate_Param,2,FALSE))),IF(EIOPA_RFR!AH42*(1%+VLOOKUP($B37,Int_Rate_Param,2,FALSE))&lt;1%+EIOPA_RFR!AH42,1%+EIOPA_RFR!AH42,EIOPA_RFR!AH42*(1%+VLOOKUP($B37,Int_Rate_Param,2,FALSE))))</f>
        <v>4.018E-2</v>
      </c>
      <c r="AI37" s="94">
        <f>IF($B37&gt;20,IF(EIOPA_RFR!AI42*(1%+VLOOKUP($B$27,Int_Rate_Param,2,FALSE))&lt;1%+EIOPA_RFR!AI42,1%+EIOPA_RFR!AI42,EIOPA_RFR!AI42*(1%+VLOOKUP($B$27,Int_Rate_Param,2,FALSE))),IF(EIOPA_RFR!AI42*(1%+VLOOKUP($B37,Int_Rate_Param,2,FALSE))&lt;1%+EIOPA_RFR!AI42,1%+EIOPA_RFR!AI42,EIOPA_RFR!AI42*(1%+VLOOKUP($B37,Int_Rate_Param,2,FALSE))))</f>
        <v>1.7010000000000001E-2</v>
      </c>
      <c r="AJ37" s="94">
        <f>IF($B37&gt;20,IF(EIOPA_RFR!AJ42*(1%+VLOOKUP($B$27,Int_Rate_Param,2,FALSE))&lt;1%+EIOPA_RFR!AJ42,1%+EIOPA_RFR!AJ42,EIOPA_RFR!AJ42*(1%+VLOOKUP($B$27,Int_Rate_Param,2,FALSE))),IF(EIOPA_RFR!AJ42*(1%+VLOOKUP($B37,Int_Rate_Param,2,FALSE))&lt;1%+EIOPA_RFR!AJ42,1%+EIOPA_RFR!AJ42,EIOPA_RFR!AJ42*(1%+VLOOKUP($B37,Int_Rate_Param,2,FALSE))))</f>
        <v>2.2579999999999999E-2</v>
      </c>
      <c r="AK37" s="94">
        <f>IF($B37&gt;20,IF(EIOPA_RFR!AK42*(1%+VLOOKUP($B$27,Int_Rate_Param,2,FALSE))&lt;1%+EIOPA_RFR!AK42,1%+EIOPA_RFR!AK42,EIOPA_RFR!AK42*(1%+VLOOKUP($B$27,Int_Rate_Param,2,FALSE))),IF(EIOPA_RFR!AK42*(1%+VLOOKUP($B37,Int_Rate_Param,2,FALSE))&lt;1%+EIOPA_RFR!AK42,1%+EIOPA_RFR!AK42,EIOPA_RFR!AK42*(1%+VLOOKUP($B37,Int_Rate_Param,2,FALSE))))</f>
        <v>4.3220000000000001E-2</v>
      </c>
      <c r="AL37" s="94">
        <f>IF($B37&gt;20,IF(EIOPA_RFR!AL42*(1%+VLOOKUP($B$27,Int_Rate_Param,2,FALSE))&lt;1%+EIOPA_RFR!AL42,1%+EIOPA_RFR!AL42,EIOPA_RFR!AL42*(1%+VLOOKUP($B$27,Int_Rate_Param,2,FALSE))),IF(EIOPA_RFR!AL42*(1%+VLOOKUP($B37,Int_Rate_Param,2,FALSE))&lt;1%+EIOPA_RFR!AL42,1%+EIOPA_RFR!AL42,EIOPA_RFR!AL42*(1%+VLOOKUP($B37,Int_Rate_Param,2,FALSE))))</f>
        <v>8.7529999999999997E-2</v>
      </c>
      <c r="AM37" s="94">
        <f>IF($B37&gt;20,IF(EIOPA_RFR!AM42*(1%+VLOOKUP($B$27,Int_Rate_Param,2,FALSE))&lt;1%+EIOPA_RFR!AM42,1%+EIOPA_RFR!AM42,EIOPA_RFR!AM42*(1%+VLOOKUP($B$27,Int_Rate_Param,2,FALSE))),IF(EIOPA_RFR!AM42*(1%+VLOOKUP($B37,Int_Rate_Param,2,FALSE))&lt;1%+EIOPA_RFR!AM42,1%+EIOPA_RFR!AM42,EIOPA_RFR!AM42*(1%+VLOOKUP($B37,Int_Rate_Param,2,FALSE))))</f>
        <v>3.2300000000000002E-2</v>
      </c>
      <c r="AN37" s="94">
        <f>IF($B37&gt;20,IF(EIOPA_RFR!AN42*(1%+VLOOKUP($B$27,Int_Rate_Param,2,FALSE))&lt;1%+EIOPA_RFR!AN42,1%+EIOPA_RFR!AN42,EIOPA_RFR!AN42*(1%+VLOOKUP($B$27,Int_Rate_Param,2,FALSE))),IF(EIOPA_RFR!AN42*(1%+VLOOKUP($B37,Int_Rate_Param,2,FALSE))&lt;1%+EIOPA_RFR!AN42,1%+EIOPA_RFR!AN42,EIOPA_RFR!AN42*(1%+VLOOKUP($B37,Int_Rate_Param,2,FALSE))))</f>
        <v>5.2540000000000003E-2</v>
      </c>
      <c r="AO37" s="94">
        <f>IF($B37&gt;20,IF(EIOPA_RFR!AO42*(1%+VLOOKUP($B$27,Int_Rate_Param,2,FALSE))&lt;1%+EIOPA_RFR!AO42,1%+EIOPA_RFR!AO42,EIOPA_RFR!AO42*(1%+VLOOKUP($B$27,Int_Rate_Param,2,FALSE))),IF(EIOPA_RFR!AO42*(1%+VLOOKUP($B37,Int_Rate_Param,2,FALSE))&lt;1%+EIOPA_RFR!AO42,1%+EIOPA_RFR!AO42,EIOPA_RFR!AO42*(1%+VLOOKUP($B37,Int_Rate_Param,2,FALSE))))</f>
        <v>5.416E-2</v>
      </c>
      <c r="AP37" s="94">
        <f>IF($B37&gt;20,IF(EIOPA_RFR!AP42*(1%+VLOOKUP($B$27,Int_Rate_Param,2,FALSE))&lt;1%+EIOPA_RFR!AP42,1%+EIOPA_RFR!AP42,EIOPA_RFR!AP42*(1%+VLOOKUP($B$27,Int_Rate_Param,2,FALSE))),IF(EIOPA_RFR!AP42*(1%+VLOOKUP($B37,Int_Rate_Param,2,FALSE))&lt;1%+EIOPA_RFR!AP42,1%+EIOPA_RFR!AP42,EIOPA_RFR!AP42*(1%+VLOOKUP($B37,Int_Rate_Param,2,FALSE))))</f>
        <v>6.6369999999999998E-2</v>
      </c>
      <c r="AQ37" s="94">
        <f>IF($B37&gt;20,IF(EIOPA_RFR!AQ42*(1%+VLOOKUP($B$27,Int_Rate_Param,2,FALSE))&lt;1%+EIOPA_RFR!AQ42,1%+EIOPA_RFR!AQ42,EIOPA_RFR!AQ42*(1%+VLOOKUP($B$27,Int_Rate_Param,2,FALSE))),IF(EIOPA_RFR!AQ42*(1%+VLOOKUP($B37,Int_Rate_Param,2,FALSE))&lt;1%+EIOPA_RFR!AQ42,1%+EIOPA_RFR!AQ42,EIOPA_RFR!AQ42*(1%+VLOOKUP($B37,Int_Rate_Param,2,FALSE))))</f>
        <v>4.0079999999999998E-2</v>
      </c>
      <c r="AR37" s="94">
        <f>IF($B37&gt;20,IF(EIOPA_RFR!AR42*(1%+VLOOKUP($B$27,Int_Rate_Param,2,FALSE))&lt;1%+EIOPA_RFR!AR42,1%+EIOPA_RFR!AR42,EIOPA_RFR!AR42*(1%+VLOOKUP($B$27,Int_Rate_Param,2,FALSE))),IF(EIOPA_RFR!AR42*(1%+VLOOKUP($B37,Int_Rate_Param,2,FALSE))&lt;1%+EIOPA_RFR!AR42,1%+EIOPA_RFR!AR42,EIOPA_RFR!AR42*(1%+VLOOKUP($B37,Int_Rate_Param,2,FALSE))))</f>
        <v>7.3779999999999998E-2</v>
      </c>
      <c r="AS37" s="94">
        <f>IF($B37&gt;20,IF(EIOPA_RFR!AS42*(1%+VLOOKUP($B$27,Int_Rate_Param,2,FALSE))&lt;1%+EIOPA_RFR!AS42,1%+EIOPA_RFR!AS42,EIOPA_RFR!AS42*(1%+VLOOKUP($B$27,Int_Rate_Param,2,FALSE))),IF(EIOPA_RFR!AS42*(1%+VLOOKUP($B37,Int_Rate_Param,2,FALSE))&lt;1%+EIOPA_RFR!AS42,1%+EIOPA_RFR!AS42,EIOPA_RFR!AS42*(1%+VLOOKUP($B37,Int_Rate_Param,2,FALSE))))</f>
        <v>1.7570000000000002E-2</v>
      </c>
      <c r="AT37" s="94">
        <f>IF($B37&gt;20,IF(EIOPA_RFR!AT42*(1%+VLOOKUP($B$27,Int_Rate_Param,2,FALSE))&lt;1%+EIOPA_RFR!AT42,1%+EIOPA_RFR!AT42,EIOPA_RFR!AT42*(1%+VLOOKUP($B$27,Int_Rate_Param,2,FALSE))),IF(EIOPA_RFR!AT42*(1%+VLOOKUP($B37,Int_Rate_Param,2,FALSE))&lt;1%+EIOPA_RFR!AT42,1%+EIOPA_RFR!AT42,EIOPA_RFR!AT42*(1%+VLOOKUP($B37,Int_Rate_Param,2,FALSE))))</f>
        <v>5.3589999999999999E-2</v>
      </c>
      <c r="AU37" s="94">
        <f>IF($B37&gt;20,IF(EIOPA_RFR!AU42*(1%+VLOOKUP($B$27,Int_Rate_Param,2,FALSE))&lt;1%+EIOPA_RFR!AU42,1%+EIOPA_RFR!AU42,EIOPA_RFR!AU42*(1%+VLOOKUP($B$27,Int_Rate_Param,2,FALSE))),IF(EIOPA_RFR!AU42*(1%+VLOOKUP($B37,Int_Rate_Param,2,FALSE))&lt;1%+EIOPA_RFR!AU42,1%+EIOPA_RFR!AU42,EIOPA_RFR!AU42*(1%+VLOOKUP($B37,Int_Rate_Param,2,FALSE))))</f>
        <v>8.566E-2</v>
      </c>
      <c r="AV37" s="94">
        <f>IF($B37&gt;20,IF(EIOPA_RFR!AV42*(1%+VLOOKUP($B$27,Int_Rate_Param,2,FALSE))&lt;1%+EIOPA_RFR!AV42,1%+EIOPA_RFR!AV42,EIOPA_RFR!AV42*(1%+VLOOKUP($B$27,Int_Rate_Param,2,FALSE))),IF(EIOPA_RFR!AV42*(1%+VLOOKUP($B37,Int_Rate_Param,2,FALSE))&lt;1%+EIOPA_RFR!AV42,1%+EIOPA_RFR!AV42,EIOPA_RFR!AV42*(1%+VLOOKUP($B37,Int_Rate_Param,2,FALSE))))</f>
        <v>5.1480000000000005E-2</v>
      </c>
      <c r="AW37" s="94">
        <f>IF($B37&gt;20,IF(EIOPA_RFR!AW42*(1%+VLOOKUP($B$27,Int_Rate_Param,2,FALSE))&lt;1%+EIOPA_RFR!AW42,1%+EIOPA_RFR!AW42,EIOPA_RFR!AW42*(1%+VLOOKUP($B$27,Int_Rate_Param,2,FALSE))),IF(EIOPA_RFR!AW42*(1%+VLOOKUP($B37,Int_Rate_Param,2,FALSE))&lt;1%+EIOPA_RFR!AW42,1%+EIOPA_RFR!AW42,EIOPA_RFR!AW42*(1%+VLOOKUP($B37,Int_Rate_Param,2,FALSE))))</f>
        <v>3.986E-2</v>
      </c>
      <c r="AX37" s="94">
        <f>IF($B37&gt;20,IF(EIOPA_RFR!AX42*(1%+VLOOKUP($B$27,Int_Rate_Param,2,FALSE))&lt;1%+EIOPA_RFR!AX42,1%+EIOPA_RFR!AX42,EIOPA_RFR!AX42*(1%+VLOOKUP($B$27,Int_Rate_Param,2,FALSE))),IF(EIOPA_RFR!AX42*(1%+VLOOKUP($B37,Int_Rate_Param,2,FALSE))&lt;1%+EIOPA_RFR!AX42,1%+EIOPA_RFR!AX42,EIOPA_RFR!AX42*(1%+VLOOKUP($B37,Int_Rate_Param,2,FALSE))))</f>
        <v>8.5589999999999999E-2</v>
      </c>
      <c r="AY37" s="94">
        <f>IF($B37&gt;20,IF(EIOPA_RFR!AY42*(1%+VLOOKUP($B$27,Int_Rate_Param,2,FALSE))&lt;1%+EIOPA_RFR!AY42,1%+EIOPA_RFR!AY42,EIOPA_RFR!AY42*(1%+VLOOKUP($B$27,Int_Rate_Param,2,FALSE))),IF(EIOPA_RFR!AY42*(1%+VLOOKUP($B37,Int_Rate_Param,2,FALSE))&lt;1%+EIOPA_RFR!AY42,1%+EIOPA_RFR!AY42,EIOPA_RFR!AY42*(1%+VLOOKUP($B37,Int_Rate_Param,2,FALSE))))</f>
        <v>3.2770000000000001E-2</v>
      </c>
      <c r="AZ37" s="94">
        <f>IF($B37&gt;20,IF(EIOPA_RFR!AZ42*(1%+VLOOKUP($B$27,Int_Rate_Param,2,FALSE))&lt;1%+EIOPA_RFR!AZ42,1%+EIOPA_RFR!AZ42,EIOPA_RFR!AZ42*(1%+VLOOKUP($B$27,Int_Rate_Param,2,FALSE))),IF(EIOPA_RFR!AZ42*(1%+VLOOKUP($B37,Int_Rate_Param,2,FALSE))&lt;1%+EIOPA_RFR!AZ42,1%+EIOPA_RFR!AZ42,EIOPA_RFR!AZ42*(1%+VLOOKUP($B37,Int_Rate_Param,2,FALSE))))</f>
        <v>3.5340000000000003E-2</v>
      </c>
      <c r="BA37" s="94">
        <f>IF($B37&gt;20,IF(EIOPA_RFR!BA42*(1%+VLOOKUP($B$27,Int_Rate_Param,2,FALSE))&lt;1%+EIOPA_RFR!BA42,1%+EIOPA_RFR!BA42,EIOPA_RFR!BA42*(1%+VLOOKUP($B$27,Int_Rate_Param,2,FALSE))),IF(EIOPA_RFR!BA42*(1%+VLOOKUP($B37,Int_Rate_Param,2,FALSE))&lt;1%+EIOPA_RFR!BA42,1%+EIOPA_RFR!BA42,EIOPA_RFR!BA42*(1%+VLOOKUP($B37,Int_Rate_Param,2,FALSE))))</f>
        <v>4.3020000000000003E-2</v>
      </c>
      <c r="BB37" s="94">
        <f>IF($B37&gt;20,IF(EIOPA_RFR!BB42*(1%+VLOOKUP($B$27,Int_Rate_Param,2,FALSE))&lt;1%+EIOPA_RFR!BB42,1%+EIOPA_RFR!BB42,EIOPA_RFR!BB42*(1%+VLOOKUP($B$27,Int_Rate_Param,2,FALSE))),IF(EIOPA_RFR!BB42*(1%+VLOOKUP($B37,Int_Rate_Param,2,FALSE))&lt;1%+EIOPA_RFR!BB42,1%+EIOPA_RFR!BB42,EIOPA_RFR!BB42*(1%+VLOOKUP($B37,Int_Rate_Param,2,FALSE))))</f>
        <v>9.0439999999999993E-2</v>
      </c>
      <c r="BC37" s="94">
        <f>IF($B37&gt;20,IF(EIOPA_RFR!BC42*(1%+VLOOKUP($B$27,Int_Rate_Param,2,FALSE))&lt;1%+EIOPA_RFR!BC42,1%+EIOPA_RFR!BC42,EIOPA_RFR!BC42*(1%+VLOOKUP($B$27,Int_Rate_Param,2,FALSE))),IF(EIOPA_RFR!BC42*(1%+VLOOKUP($B37,Int_Rate_Param,2,FALSE))&lt;1%+EIOPA_RFR!BC42,1%+EIOPA_RFR!BC42,EIOPA_RFR!BC42*(1%+VLOOKUP($B37,Int_Rate_Param,2,FALSE))))</f>
        <v>3.5409999999999997E-2</v>
      </c>
    </row>
    <row r="38" spans="1:55" x14ac:dyDescent="0.25">
      <c r="A38">
        <f t="shared" si="0"/>
        <v>33</v>
      </c>
      <c r="B38" s="95">
        <v>31</v>
      </c>
      <c r="C38" s="94">
        <f>IF($B38&gt;20,IF(EIOPA_RFR!C43*(1%+VLOOKUP($B$27,Int_Rate_Param,2,FALSE))&lt;1%+EIOPA_RFR!C43,1%+EIOPA_RFR!C43,EIOPA_RFR!C43*(1%+VLOOKUP($B$27,Int_Rate_Param,2,FALSE))),IF(EIOPA_RFR!C43*(1%+VLOOKUP($B38,Int_Rate_Param,2,FALSE))&lt;1%+EIOPA_RFR!C43,1%+EIOPA_RFR!C43,EIOPA_RFR!C43*(1%+VLOOKUP($B38,Int_Rate_Param,2,FALSE))))</f>
        <v>2.9290000000000004E-2</v>
      </c>
      <c r="D38" s="94">
        <f>IF($B38&gt;20,IF(EIOPA_RFR!D43*(1%+VLOOKUP($B$27,Int_Rate_Param,2,FALSE))&lt;1%+EIOPA_RFR!D43,1%+EIOPA_RFR!D43,EIOPA_RFR!D43*(1%+VLOOKUP($B$27,Int_Rate_Param,2,FALSE))),IF(EIOPA_RFR!D43*(1%+VLOOKUP($B38,Int_Rate_Param,2,FALSE))&lt;1%+EIOPA_RFR!D43,1%+EIOPA_RFR!D43,EIOPA_RFR!D43*(1%+VLOOKUP($B38,Int_Rate_Param,2,FALSE))))</f>
        <v>2.9290000000000004E-2</v>
      </c>
      <c r="E38" s="94">
        <f>IF($B38&gt;20,IF(EIOPA_RFR!E43*(1%+VLOOKUP($B$27,Int_Rate_Param,2,FALSE))&lt;1%+EIOPA_RFR!E43,1%+EIOPA_RFR!E43,EIOPA_RFR!E43*(1%+VLOOKUP($B$27,Int_Rate_Param,2,FALSE))),IF(EIOPA_RFR!E43*(1%+VLOOKUP($B38,Int_Rate_Param,2,FALSE))&lt;1%+EIOPA_RFR!E43,1%+EIOPA_RFR!E43,EIOPA_RFR!E43*(1%+VLOOKUP($B38,Int_Rate_Param,2,FALSE))))</f>
        <v>2.9290000000000004E-2</v>
      </c>
      <c r="F38" s="94">
        <f>IF($B38&gt;20,IF(EIOPA_RFR!F43*(1%+VLOOKUP($B$27,Int_Rate_Param,2,FALSE))&lt;1%+EIOPA_RFR!F43,1%+EIOPA_RFR!F43,EIOPA_RFR!F43*(1%+VLOOKUP($B$27,Int_Rate_Param,2,FALSE))),IF(EIOPA_RFR!F43*(1%+VLOOKUP($B38,Int_Rate_Param,2,FALSE))&lt;1%+EIOPA_RFR!F43,1%+EIOPA_RFR!F43,EIOPA_RFR!F43*(1%+VLOOKUP($B38,Int_Rate_Param,2,FALSE))))</f>
        <v>2.8880000000000003E-2</v>
      </c>
      <c r="G38" s="94">
        <f>IF($B38&gt;20,IF(EIOPA_RFR!G43*(1%+VLOOKUP($B$27,Int_Rate_Param,2,FALSE))&lt;1%+EIOPA_RFR!G43,1%+EIOPA_RFR!G43,EIOPA_RFR!G43*(1%+VLOOKUP($B$27,Int_Rate_Param,2,FALSE))),IF(EIOPA_RFR!G43*(1%+VLOOKUP($B38,Int_Rate_Param,2,FALSE))&lt;1%+EIOPA_RFR!G43,1%+EIOPA_RFR!G43,EIOPA_RFR!G43*(1%+VLOOKUP($B38,Int_Rate_Param,2,FALSE))))</f>
        <v>4.5999999999999999E-2</v>
      </c>
      <c r="H38" s="94">
        <f>IF($B38&gt;20,IF(EIOPA_RFR!H43*(1%+VLOOKUP($B$27,Int_Rate_Param,2,FALSE))&lt;1%+EIOPA_RFR!H43,1%+EIOPA_RFR!H43,EIOPA_RFR!H43*(1%+VLOOKUP($B$27,Int_Rate_Param,2,FALSE))),IF(EIOPA_RFR!H43*(1%+VLOOKUP($B38,Int_Rate_Param,2,FALSE))&lt;1%+EIOPA_RFR!H43,1%+EIOPA_RFR!H43,EIOPA_RFR!H43*(1%+VLOOKUP($B38,Int_Rate_Param,2,FALSE))))</f>
        <v>2.9290000000000004E-2</v>
      </c>
      <c r="I38" s="94">
        <f>IF($B38&gt;20,IF(EIOPA_RFR!I43*(1%+VLOOKUP($B$27,Int_Rate_Param,2,FALSE))&lt;1%+EIOPA_RFR!I43,1%+EIOPA_RFR!I43,EIOPA_RFR!I43*(1%+VLOOKUP($B$27,Int_Rate_Param,2,FALSE))),IF(EIOPA_RFR!I43*(1%+VLOOKUP($B38,Int_Rate_Param,2,FALSE))&lt;1%+EIOPA_RFR!I43,1%+EIOPA_RFR!I43,EIOPA_RFR!I43*(1%+VLOOKUP($B38,Int_Rate_Param,2,FALSE))))</f>
        <v>3.354E-2</v>
      </c>
      <c r="J38" s="94">
        <f>IF($B38&gt;20,IF(EIOPA_RFR!J43*(1%+VLOOKUP($B$27,Int_Rate_Param,2,FALSE))&lt;1%+EIOPA_RFR!J43,1%+EIOPA_RFR!J43,EIOPA_RFR!J43*(1%+VLOOKUP($B$27,Int_Rate_Param,2,FALSE))),IF(EIOPA_RFR!J43*(1%+VLOOKUP($B38,Int_Rate_Param,2,FALSE))&lt;1%+EIOPA_RFR!J43,1%+EIOPA_RFR!J43,EIOPA_RFR!J43*(1%+VLOOKUP($B38,Int_Rate_Param,2,FALSE))))</f>
        <v>2.921E-2</v>
      </c>
      <c r="K38" s="94">
        <f>IF($B38&gt;20,IF(EIOPA_RFR!K43*(1%+VLOOKUP($B$27,Int_Rate_Param,2,FALSE))&lt;1%+EIOPA_RFR!K43,1%+EIOPA_RFR!K43,EIOPA_RFR!K43*(1%+VLOOKUP($B$27,Int_Rate_Param,2,FALSE))),IF(EIOPA_RFR!K43*(1%+VLOOKUP($B38,Int_Rate_Param,2,FALSE))&lt;1%+EIOPA_RFR!K43,1%+EIOPA_RFR!K43,EIOPA_RFR!K43*(1%+VLOOKUP($B38,Int_Rate_Param,2,FALSE))))</f>
        <v>2.9290000000000004E-2</v>
      </c>
      <c r="L38" s="94">
        <f>IF($B38&gt;20,IF(EIOPA_RFR!L43*(1%+VLOOKUP($B$27,Int_Rate_Param,2,FALSE))&lt;1%+EIOPA_RFR!L43,1%+EIOPA_RFR!L43,EIOPA_RFR!L43*(1%+VLOOKUP($B$27,Int_Rate_Param,2,FALSE))),IF(EIOPA_RFR!L43*(1%+VLOOKUP($B38,Int_Rate_Param,2,FALSE))&lt;1%+EIOPA_RFR!L43,1%+EIOPA_RFR!L43,EIOPA_RFR!L43*(1%+VLOOKUP($B38,Int_Rate_Param,2,FALSE))))</f>
        <v>2.9290000000000004E-2</v>
      </c>
      <c r="M38" s="94">
        <f>IF($B38&gt;20,IF(EIOPA_RFR!M43*(1%+VLOOKUP($B$27,Int_Rate_Param,2,FALSE))&lt;1%+EIOPA_RFR!M43,1%+EIOPA_RFR!M43,EIOPA_RFR!M43*(1%+VLOOKUP($B$27,Int_Rate_Param,2,FALSE))),IF(EIOPA_RFR!M43*(1%+VLOOKUP($B38,Int_Rate_Param,2,FALSE))&lt;1%+EIOPA_RFR!M43,1%+EIOPA_RFR!M43,EIOPA_RFR!M43*(1%+VLOOKUP($B38,Int_Rate_Param,2,FALSE))))</f>
        <v>2.9290000000000004E-2</v>
      </c>
      <c r="N38" s="94">
        <f>IF($B38&gt;20,IF(EIOPA_RFR!N43*(1%+VLOOKUP($B$27,Int_Rate_Param,2,FALSE))&lt;1%+EIOPA_RFR!N43,1%+EIOPA_RFR!N43,EIOPA_RFR!N43*(1%+VLOOKUP($B$27,Int_Rate_Param,2,FALSE))),IF(EIOPA_RFR!N43*(1%+VLOOKUP($B38,Int_Rate_Param,2,FALSE))&lt;1%+EIOPA_RFR!N43,1%+EIOPA_RFR!N43,EIOPA_RFR!N43*(1%+VLOOKUP($B38,Int_Rate_Param,2,FALSE))))</f>
        <v>2.9290000000000004E-2</v>
      </c>
      <c r="O38" s="94">
        <f>IF($B38&gt;20,IF(EIOPA_RFR!O43*(1%+VLOOKUP($B$27,Int_Rate_Param,2,FALSE))&lt;1%+EIOPA_RFR!O43,1%+EIOPA_RFR!O43,EIOPA_RFR!O43*(1%+VLOOKUP($B$27,Int_Rate_Param,2,FALSE))),IF(EIOPA_RFR!O43*(1%+VLOOKUP($B38,Int_Rate_Param,2,FALSE))&lt;1%+EIOPA_RFR!O43,1%+EIOPA_RFR!O43,EIOPA_RFR!O43*(1%+VLOOKUP($B38,Int_Rate_Param,2,FALSE))))</f>
        <v>2.9290000000000004E-2</v>
      </c>
      <c r="P38" s="94">
        <f>IF($B38&gt;20,IF(EIOPA_RFR!P43*(1%+VLOOKUP($B$27,Int_Rate_Param,2,FALSE))&lt;1%+EIOPA_RFR!P43,1%+EIOPA_RFR!P43,EIOPA_RFR!P43*(1%+VLOOKUP($B$27,Int_Rate_Param,2,FALSE))),IF(EIOPA_RFR!P43*(1%+VLOOKUP($B38,Int_Rate_Param,2,FALSE))&lt;1%+EIOPA_RFR!P43,1%+EIOPA_RFR!P43,EIOPA_RFR!P43*(1%+VLOOKUP($B38,Int_Rate_Param,2,FALSE))))</f>
        <v>5.3400000000000003E-2</v>
      </c>
      <c r="Q38" s="94">
        <f>IF($B38&gt;20,IF(EIOPA_RFR!Q43*(1%+VLOOKUP($B$27,Int_Rate_Param,2,FALSE))&lt;1%+EIOPA_RFR!Q43,1%+EIOPA_RFR!Q43,EIOPA_RFR!Q43*(1%+VLOOKUP($B$27,Int_Rate_Param,2,FALSE))),IF(EIOPA_RFR!Q43*(1%+VLOOKUP($B38,Int_Rate_Param,2,FALSE))&lt;1%+EIOPA_RFR!Q43,1%+EIOPA_RFR!Q43,EIOPA_RFR!Q43*(1%+VLOOKUP($B38,Int_Rate_Param,2,FALSE))))</f>
        <v>5.5370000000000003E-2</v>
      </c>
      <c r="R38" s="94">
        <f>IF($B38&gt;20,IF(EIOPA_RFR!R43*(1%+VLOOKUP($B$27,Int_Rate_Param,2,FALSE))&lt;1%+EIOPA_RFR!R43,1%+EIOPA_RFR!R43,EIOPA_RFR!R43*(1%+VLOOKUP($B$27,Int_Rate_Param,2,FALSE))),IF(EIOPA_RFR!R43*(1%+VLOOKUP($B38,Int_Rate_Param,2,FALSE))&lt;1%+EIOPA_RFR!R43,1%+EIOPA_RFR!R43,EIOPA_RFR!R43*(1%+VLOOKUP($B38,Int_Rate_Param,2,FALSE))))</f>
        <v>2.9290000000000004E-2</v>
      </c>
      <c r="S38" s="94">
        <f>IF($B38&gt;20,IF(EIOPA_RFR!S43*(1%+VLOOKUP($B$27,Int_Rate_Param,2,FALSE))&lt;1%+EIOPA_RFR!S43,1%+EIOPA_RFR!S43,EIOPA_RFR!S43*(1%+VLOOKUP($B$27,Int_Rate_Param,2,FALSE))),IF(EIOPA_RFR!S43*(1%+VLOOKUP($B38,Int_Rate_Param,2,FALSE))&lt;1%+EIOPA_RFR!S43,1%+EIOPA_RFR!S43,EIOPA_RFR!S43*(1%+VLOOKUP($B38,Int_Rate_Param,2,FALSE))))</f>
        <v>2.9290000000000004E-2</v>
      </c>
      <c r="T38" s="94">
        <f>IF($B38&gt;20,IF(EIOPA_RFR!T43*(1%+VLOOKUP($B$27,Int_Rate_Param,2,FALSE))&lt;1%+EIOPA_RFR!T43,1%+EIOPA_RFR!T43,EIOPA_RFR!T43*(1%+VLOOKUP($B$27,Int_Rate_Param,2,FALSE))),IF(EIOPA_RFR!T43*(1%+VLOOKUP($B38,Int_Rate_Param,2,FALSE))&lt;1%+EIOPA_RFR!T43,1%+EIOPA_RFR!T43,EIOPA_RFR!T43*(1%+VLOOKUP($B38,Int_Rate_Param,2,FALSE))))</f>
        <v>2.9290000000000004E-2</v>
      </c>
      <c r="U38" s="94">
        <f>IF($B38&gt;20,IF(EIOPA_RFR!U43*(1%+VLOOKUP($B$27,Int_Rate_Param,2,FALSE))&lt;1%+EIOPA_RFR!U43,1%+EIOPA_RFR!U43,EIOPA_RFR!U43*(1%+VLOOKUP($B$27,Int_Rate_Param,2,FALSE))),IF(EIOPA_RFR!U43*(1%+VLOOKUP($B38,Int_Rate_Param,2,FALSE))&lt;1%+EIOPA_RFR!U43,1%+EIOPA_RFR!U43,EIOPA_RFR!U43*(1%+VLOOKUP($B38,Int_Rate_Param,2,FALSE))))</f>
        <v>1.7510000000000001E-2</v>
      </c>
      <c r="V38" s="94">
        <f>IF($B38&gt;20,IF(EIOPA_RFR!V43*(1%+VLOOKUP($B$27,Int_Rate_Param,2,FALSE))&lt;1%+EIOPA_RFR!V43,1%+EIOPA_RFR!V43,EIOPA_RFR!V43*(1%+VLOOKUP($B$27,Int_Rate_Param,2,FALSE))),IF(EIOPA_RFR!V43*(1%+VLOOKUP($B38,Int_Rate_Param,2,FALSE))&lt;1%+EIOPA_RFR!V43,1%+EIOPA_RFR!V43,EIOPA_RFR!V43*(1%+VLOOKUP($B38,Int_Rate_Param,2,FALSE))))</f>
        <v>2.9290000000000004E-2</v>
      </c>
      <c r="W38" s="94">
        <f>IF($B38&gt;20,IF(EIOPA_RFR!W43*(1%+VLOOKUP($B$27,Int_Rate_Param,2,FALSE))&lt;1%+EIOPA_RFR!W43,1%+EIOPA_RFR!W43,EIOPA_RFR!W43*(1%+VLOOKUP($B$27,Int_Rate_Param,2,FALSE))),IF(EIOPA_RFR!W43*(1%+VLOOKUP($B38,Int_Rate_Param,2,FALSE))&lt;1%+EIOPA_RFR!W43,1%+EIOPA_RFR!W43,EIOPA_RFR!W43*(1%+VLOOKUP($B38,Int_Rate_Param,2,FALSE))))</f>
        <v>2.9290000000000004E-2</v>
      </c>
      <c r="X38" s="94">
        <f>IF($B38&gt;20,IF(EIOPA_RFR!X43*(1%+VLOOKUP($B$27,Int_Rate_Param,2,FALSE))&lt;1%+EIOPA_RFR!X43,1%+EIOPA_RFR!X43,EIOPA_RFR!X43*(1%+VLOOKUP($B$27,Int_Rate_Param,2,FALSE))),IF(EIOPA_RFR!X43*(1%+VLOOKUP($B38,Int_Rate_Param,2,FALSE))&lt;1%+EIOPA_RFR!X43,1%+EIOPA_RFR!X43,EIOPA_RFR!X43*(1%+VLOOKUP($B38,Int_Rate_Param,2,FALSE))))</f>
        <v>2.9290000000000004E-2</v>
      </c>
      <c r="Y38" s="94">
        <f>IF($B38&gt;20,IF(EIOPA_RFR!Y43*(1%+VLOOKUP($B$27,Int_Rate_Param,2,FALSE))&lt;1%+EIOPA_RFR!Y43,1%+EIOPA_RFR!Y43,EIOPA_RFR!Y43*(1%+VLOOKUP($B$27,Int_Rate_Param,2,FALSE))),IF(EIOPA_RFR!Y43*(1%+VLOOKUP($B38,Int_Rate_Param,2,FALSE))&lt;1%+EIOPA_RFR!Y43,1%+EIOPA_RFR!Y43,EIOPA_RFR!Y43*(1%+VLOOKUP($B38,Int_Rate_Param,2,FALSE))))</f>
        <v>2.9290000000000004E-2</v>
      </c>
      <c r="Z38" s="94">
        <f>IF($B38&gt;20,IF(EIOPA_RFR!Z43*(1%+VLOOKUP($B$27,Int_Rate_Param,2,FALSE))&lt;1%+EIOPA_RFR!Z43,1%+EIOPA_RFR!Z43,EIOPA_RFR!Z43*(1%+VLOOKUP($B$27,Int_Rate_Param,2,FALSE))),IF(EIOPA_RFR!Z43*(1%+VLOOKUP($B38,Int_Rate_Param,2,FALSE))&lt;1%+EIOPA_RFR!Z43,1%+EIOPA_RFR!Z43,EIOPA_RFR!Z43*(1%+VLOOKUP($B38,Int_Rate_Param,2,FALSE))))</f>
        <v>3.9809999999999998E-2</v>
      </c>
      <c r="AA38" s="94">
        <f>IF($B38&gt;20,IF(EIOPA_RFR!AA43*(1%+VLOOKUP($B$27,Int_Rate_Param,2,FALSE))&lt;1%+EIOPA_RFR!AA43,1%+EIOPA_RFR!AA43,EIOPA_RFR!AA43*(1%+VLOOKUP($B$27,Int_Rate_Param,2,FALSE))),IF(EIOPA_RFR!AA43*(1%+VLOOKUP($B38,Int_Rate_Param,2,FALSE))&lt;1%+EIOPA_RFR!AA43,1%+EIOPA_RFR!AA43,EIOPA_RFR!AA43*(1%+VLOOKUP($B38,Int_Rate_Param,2,FALSE))))</f>
        <v>5.0280000000000005E-2</v>
      </c>
      <c r="AB38" s="94">
        <f>IF($B38&gt;20,IF(EIOPA_RFR!AB43*(1%+VLOOKUP($B$27,Int_Rate_Param,2,FALSE))&lt;1%+EIOPA_RFR!AB43,1%+EIOPA_RFR!AB43,EIOPA_RFR!AB43*(1%+VLOOKUP($B$27,Int_Rate_Param,2,FALSE))),IF(EIOPA_RFR!AB43*(1%+VLOOKUP($B38,Int_Rate_Param,2,FALSE))&lt;1%+EIOPA_RFR!AB43,1%+EIOPA_RFR!AB43,EIOPA_RFR!AB43*(1%+VLOOKUP($B38,Int_Rate_Param,2,FALSE))))</f>
        <v>2.9290000000000004E-2</v>
      </c>
      <c r="AC38" s="94">
        <f>IF($B38&gt;20,IF(EIOPA_RFR!AC43*(1%+VLOOKUP($B$27,Int_Rate_Param,2,FALSE))&lt;1%+EIOPA_RFR!AC43,1%+EIOPA_RFR!AC43,EIOPA_RFR!AC43*(1%+VLOOKUP($B$27,Int_Rate_Param,2,FALSE))),IF(EIOPA_RFR!AC43*(1%+VLOOKUP($B38,Int_Rate_Param,2,FALSE))&lt;1%+EIOPA_RFR!AC43,1%+EIOPA_RFR!AC43,EIOPA_RFR!AC43*(1%+VLOOKUP($B38,Int_Rate_Param,2,FALSE))))</f>
        <v>5.3929999999999999E-2</v>
      </c>
      <c r="AD38" s="94">
        <f>IF($B38&gt;20,IF(EIOPA_RFR!AD43*(1%+VLOOKUP($B$27,Int_Rate_Param,2,FALSE))&lt;1%+EIOPA_RFR!AD43,1%+EIOPA_RFR!AD43,EIOPA_RFR!AD43*(1%+VLOOKUP($B$27,Int_Rate_Param,2,FALSE))),IF(EIOPA_RFR!AD43*(1%+VLOOKUP($B38,Int_Rate_Param,2,FALSE))&lt;1%+EIOPA_RFR!AD43,1%+EIOPA_RFR!AD43,EIOPA_RFR!AD43*(1%+VLOOKUP($B38,Int_Rate_Param,2,FALSE))))</f>
        <v>7.0389999999999994E-2</v>
      </c>
      <c r="AE38" s="94">
        <f>IF($B38&gt;20,IF(EIOPA_RFR!AE43*(1%+VLOOKUP($B$27,Int_Rate_Param,2,FALSE))&lt;1%+EIOPA_RFR!AE43,1%+EIOPA_RFR!AE43,EIOPA_RFR!AE43*(1%+VLOOKUP($B$27,Int_Rate_Param,2,FALSE))),IF(EIOPA_RFR!AE43*(1%+VLOOKUP($B38,Int_Rate_Param,2,FALSE))&lt;1%+EIOPA_RFR!AE43,1%+EIOPA_RFR!AE43,EIOPA_RFR!AE43*(1%+VLOOKUP($B38,Int_Rate_Param,2,FALSE))))</f>
        <v>2.9290000000000004E-2</v>
      </c>
      <c r="AF38" s="94">
        <f>IF($B38&gt;20,IF(EIOPA_RFR!AF43*(1%+VLOOKUP($B$27,Int_Rate_Param,2,FALSE))&lt;1%+EIOPA_RFR!AF43,1%+EIOPA_RFR!AF43,EIOPA_RFR!AF43*(1%+VLOOKUP($B$27,Int_Rate_Param,2,FALSE))),IF(EIOPA_RFR!AF43*(1%+VLOOKUP($B38,Int_Rate_Param,2,FALSE))&lt;1%+EIOPA_RFR!AF43,1%+EIOPA_RFR!AF43,EIOPA_RFR!AF43*(1%+VLOOKUP($B38,Int_Rate_Param,2,FALSE))))</f>
        <v>2.9290000000000004E-2</v>
      </c>
      <c r="AG38" s="94">
        <f>IF($B38&gt;20,IF(EIOPA_RFR!AG43*(1%+VLOOKUP($B$27,Int_Rate_Param,2,FALSE))&lt;1%+EIOPA_RFR!AG43,1%+EIOPA_RFR!AG43,EIOPA_RFR!AG43*(1%+VLOOKUP($B$27,Int_Rate_Param,2,FALSE))),IF(EIOPA_RFR!AG43*(1%+VLOOKUP($B38,Int_Rate_Param,2,FALSE))&lt;1%+EIOPA_RFR!AG43,1%+EIOPA_RFR!AG43,EIOPA_RFR!AG43*(1%+VLOOKUP($B38,Int_Rate_Param,2,FALSE))))</f>
        <v>2.9290000000000004E-2</v>
      </c>
      <c r="AH38" s="94">
        <f>IF($B38&gt;20,IF(EIOPA_RFR!AH43*(1%+VLOOKUP($B$27,Int_Rate_Param,2,FALSE))&lt;1%+EIOPA_RFR!AH43,1%+EIOPA_RFR!AH43,EIOPA_RFR!AH43*(1%+VLOOKUP($B$27,Int_Rate_Param,2,FALSE))),IF(EIOPA_RFR!AH43*(1%+VLOOKUP($B38,Int_Rate_Param,2,FALSE))&lt;1%+EIOPA_RFR!AH43,1%+EIOPA_RFR!AH43,EIOPA_RFR!AH43*(1%+VLOOKUP($B38,Int_Rate_Param,2,FALSE))))</f>
        <v>4.0559999999999999E-2</v>
      </c>
      <c r="AI38" s="94">
        <f>IF($B38&gt;20,IF(EIOPA_RFR!AI43*(1%+VLOOKUP($B$27,Int_Rate_Param,2,FALSE))&lt;1%+EIOPA_RFR!AI43,1%+EIOPA_RFR!AI43,EIOPA_RFR!AI43*(1%+VLOOKUP($B$27,Int_Rate_Param,2,FALSE))),IF(EIOPA_RFR!AI43*(1%+VLOOKUP($B38,Int_Rate_Param,2,FALSE))&lt;1%+EIOPA_RFR!AI43,1%+EIOPA_RFR!AI43,EIOPA_RFR!AI43*(1%+VLOOKUP($B38,Int_Rate_Param,2,FALSE))))</f>
        <v>1.7510000000000001E-2</v>
      </c>
      <c r="AJ38" s="94">
        <f>IF($B38&gt;20,IF(EIOPA_RFR!AJ43*(1%+VLOOKUP($B$27,Int_Rate_Param,2,FALSE))&lt;1%+EIOPA_RFR!AJ43,1%+EIOPA_RFR!AJ43,EIOPA_RFR!AJ43*(1%+VLOOKUP($B$27,Int_Rate_Param,2,FALSE))),IF(EIOPA_RFR!AJ43*(1%+VLOOKUP($B38,Int_Rate_Param,2,FALSE))&lt;1%+EIOPA_RFR!AJ43,1%+EIOPA_RFR!AJ43,EIOPA_RFR!AJ43*(1%+VLOOKUP($B38,Int_Rate_Param,2,FALSE))))</f>
        <v>2.2530000000000001E-2</v>
      </c>
      <c r="AK38" s="94">
        <f>IF($B38&gt;20,IF(EIOPA_RFR!AK43*(1%+VLOOKUP($B$27,Int_Rate_Param,2,FALSE))&lt;1%+EIOPA_RFR!AK43,1%+EIOPA_RFR!AK43,EIOPA_RFR!AK43*(1%+VLOOKUP($B$27,Int_Rate_Param,2,FALSE))),IF(EIOPA_RFR!AK43*(1%+VLOOKUP($B38,Int_Rate_Param,2,FALSE))&lt;1%+EIOPA_RFR!AK43,1%+EIOPA_RFR!AK43,EIOPA_RFR!AK43*(1%+VLOOKUP($B38,Int_Rate_Param,2,FALSE))))</f>
        <v>4.3240000000000001E-2</v>
      </c>
      <c r="AL38" s="94">
        <f>IF($B38&gt;20,IF(EIOPA_RFR!AL43*(1%+VLOOKUP($B$27,Int_Rate_Param,2,FALSE))&lt;1%+EIOPA_RFR!AL43,1%+EIOPA_RFR!AL43,EIOPA_RFR!AL43*(1%+VLOOKUP($B$27,Int_Rate_Param,2,FALSE))),IF(EIOPA_RFR!AL43*(1%+VLOOKUP($B38,Int_Rate_Param,2,FALSE))&lt;1%+EIOPA_RFR!AL43,1%+EIOPA_RFR!AL43,EIOPA_RFR!AL43*(1%+VLOOKUP($B38,Int_Rate_Param,2,FALSE))))</f>
        <v>8.6829999999999991E-2</v>
      </c>
      <c r="AM38" s="94">
        <f>IF($B38&gt;20,IF(EIOPA_RFR!AM43*(1%+VLOOKUP($B$27,Int_Rate_Param,2,FALSE))&lt;1%+EIOPA_RFR!AM43,1%+EIOPA_RFR!AM43,EIOPA_RFR!AM43*(1%+VLOOKUP($B$27,Int_Rate_Param,2,FALSE))),IF(EIOPA_RFR!AM43*(1%+VLOOKUP($B38,Int_Rate_Param,2,FALSE))&lt;1%+EIOPA_RFR!AM43,1%+EIOPA_RFR!AM43,EIOPA_RFR!AM43*(1%+VLOOKUP($B38,Int_Rate_Param,2,FALSE))))</f>
        <v>3.2469999999999999E-2</v>
      </c>
      <c r="AN38" s="94">
        <f>IF($B38&gt;20,IF(EIOPA_RFR!AN43*(1%+VLOOKUP($B$27,Int_Rate_Param,2,FALSE))&lt;1%+EIOPA_RFR!AN43,1%+EIOPA_RFR!AN43,EIOPA_RFR!AN43*(1%+VLOOKUP($B$27,Int_Rate_Param,2,FALSE))),IF(EIOPA_RFR!AN43*(1%+VLOOKUP($B38,Int_Rate_Param,2,FALSE))&lt;1%+EIOPA_RFR!AN43,1%+EIOPA_RFR!AN43,EIOPA_RFR!AN43*(1%+VLOOKUP($B38,Int_Rate_Param,2,FALSE))))</f>
        <v>5.2549999999999999E-2</v>
      </c>
      <c r="AO38" s="94">
        <f>IF($B38&gt;20,IF(EIOPA_RFR!AO43*(1%+VLOOKUP($B$27,Int_Rate_Param,2,FALSE))&lt;1%+EIOPA_RFR!AO43,1%+EIOPA_RFR!AO43,EIOPA_RFR!AO43*(1%+VLOOKUP($B$27,Int_Rate_Param,2,FALSE))),IF(EIOPA_RFR!AO43*(1%+VLOOKUP($B38,Int_Rate_Param,2,FALSE))&lt;1%+EIOPA_RFR!AO43,1%+EIOPA_RFR!AO43,EIOPA_RFR!AO43*(1%+VLOOKUP($B38,Int_Rate_Param,2,FALSE))))</f>
        <v>5.4120000000000001E-2</v>
      </c>
      <c r="AP38" s="94">
        <f>IF($B38&gt;20,IF(EIOPA_RFR!AP43*(1%+VLOOKUP($B$27,Int_Rate_Param,2,FALSE))&lt;1%+EIOPA_RFR!AP43,1%+EIOPA_RFR!AP43,EIOPA_RFR!AP43*(1%+VLOOKUP($B$27,Int_Rate_Param,2,FALSE))),IF(EIOPA_RFR!AP43*(1%+VLOOKUP($B38,Int_Rate_Param,2,FALSE))&lt;1%+EIOPA_RFR!AP43,1%+EIOPA_RFR!AP43,EIOPA_RFR!AP43*(1%+VLOOKUP($B38,Int_Rate_Param,2,FALSE))))</f>
        <v>6.6009999999999999E-2</v>
      </c>
      <c r="AQ38" s="94">
        <f>IF($B38&gt;20,IF(EIOPA_RFR!AQ43*(1%+VLOOKUP($B$27,Int_Rate_Param,2,FALSE))&lt;1%+EIOPA_RFR!AQ43,1%+EIOPA_RFR!AQ43,EIOPA_RFR!AQ43*(1%+VLOOKUP($B$27,Int_Rate_Param,2,FALSE))),IF(EIOPA_RFR!AQ43*(1%+VLOOKUP($B38,Int_Rate_Param,2,FALSE))&lt;1%+EIOPA_RFR!AQ43,1%+EIOPA_RFR!AQ43,EIOPA_RFR!AQ43*(1%+VLOOKUP($B38,Int_Rate_Param,2,FALSE))))</f>
        <v>4.0390000000000002E-2</v>
      </c>
      <c r="AR38" s="94">
        <f>IF($B38&gt;20,IF(EIOPA_RFR!AR43*(1%+VLOOKUP($B$27,Int_Rate_Param,2,FALSE))&lt;1%+EIOPA_RFR!AR43,1%+EIOPA_RFR!AR43,EIOPA_RFR!AR43*(1%+VLOOKUP($B$27,Int_Rate_Param,2,FALSE))),IF(EIOPA_RFR!AR43*(1%+VLOOKUP($B38,Int_Rate_Param,2,FALSE))&lt;1%+EIOPA_RFR!AR43,1%+EIOPA_RFR!AR43,EIOPA_RFR!AR43*(1%+VLOOKUP($B38,Int_Rate_Param,2,FALSE))))</f>
        <v>7.349E-2</v>
      </c>
      <c r="AS38" s="94">
        <f>IF($B38&gt;20,IF(EIOPA_RFR!AS43*(1%+VLOOKUP($B$27,Int_Rate_Param,2,FALSE))&lt;1%+EIOPA_RFR!AS43,1%+EIOPA_RFR!AS43,EIOPA_RFR!AS43*(1%+VLOOKUP($B$27,Int_Rate_Param,2,FALSE))),IF(EIOPA_RFR!AS43*(1%+VLOOKUP($B38,Int_Rate_Param,2,FALSE))&lt;1%+EIOPA_RFR!AS43,1%+EIOPA_RFR!AS43,EIOPA_RFR!AS43*(1%+VLOOKUP($B38,Int_Rate_Param,2,FALSE))))</f>
        <v>1.7809999999999999E-2</v>
      </c>
      <c r="AT38" s="94">
        <f>IF($B38&gt;20,IF(EIOPA_RFR!AT43*(1%+VLOOKUP($B$27,Int_Rate_Param,2,FALSE))&lt;1%+EIOPA_RFR!AT43,1%+EIOPA_RFR!AT43,EIOPA_RFR!AT43*(1%+VLOOKUP($B$27,Int_Rate_Param,2,FALSE))),IF(EIOPA_RFR!AT43*(1%+VLOOKUP($B38,Int_Rate_Param,2,FALSE))&lt;1%+EIOPA_RFR!AT43,1%+EIOPA_RFR!AT43,EIOPA_RFR!AT43*(1%+VLOOKUP($B38,Int_Rate_Param,2,FALSE))))</f>
        <v>5.3580000000000003E-2</v>
      </c>
      <c r="AU38" s="94">
        <f>IF($B38&gt;20,IF(EIOPA_RFR!AU43*(1%+VLOOKUP($B$27,Int_Rate_Param,2,FALSE))&lt;1%+EIOPA_RFR!AU43,1%+EIOPA_RFR!AU43,EIOPA_RFR!AU43*(1%+VLOOKUP($B$27,Int_Rate_Param,2,FALSE))),IF(EIOPA_RFR!AU43*(1%+VLOOKUP($B38,Int_Rate_Param,2,FALSE))&lt;1%+EIOPA_RFR!AU43,1%+EIOPA_RFR!AU43,EIOPA_RFR!AU43*(1%+VLOOKUP($B38,Int_Rate_Param,2,FALSE))))</f>
        <v>8.5129999999999997E-2</v>
      </c>
      <c r="AV38" s="94">
        <f>IF($B38&gt;20,IF(EIOPA_RFR!AV43*(1%+VLOOKUP($B$27,Int_Rate_Param,2,FALSE))&lt;1%+EIOPA_RFR!AV43,1%+EIOPA_RFR!AV43,EIOPA_RFR!AV43*(1%+VLOOKUP($B$27,Int_Rate_Param,2,FALSE))),IF(EIOPA_RFR!AV43*(1%+VLOOKUP($B38,Int_Rate_Param,2,FALSE))&lt;1%+EIOPA_RFR!AV43,1%+EIOPA_RFR!AV43,EIOPA_RFR!AV43*(1%+VLOOKUP($B38,Int_Rate_Param,2,FALSE))))</f>
        <v>5.1560000000000002E-2</v>
      </c>
      <c r="AW38" s="94">
        <f>IF($B38&gt;20,IF(EIOPA_RFR!AW43*(1%+VLOOKUP($B$27,Int_Rate_Param,2,FALSE))&lt;1%+EIOPA_RFR!AW43,1%+EIOPA_RFR!AW43,EIOPA_RFR!AW43*(1%+VLOOKUP($B$27,Int_Rate_Param,2,FALSE))),IF(EIOPA_RFR!AW43*(1%+VLOOKUP($B38,Int_Rate_Param,2,FALSE))&lt;1%+EIOPA_RFR!AW43,1%+EIOPA_RFR!AW43,EIOPA_RFR!AW43*(1%+VLOOKUP($B38,Int_Rate_Param,2,FALSE))))</f>
        <v>4.0160000000000001E-2</v>
      </c>
      <c r="AX38" s="94">
        <f>IF($B38&gt;20,IF(EIOPA_RFR!AX43*(1%+VLOOKUP($B$27,Int_Rate_Param,2,FALSE))&lt;1%+EIOPA_RFR!AX43,1%+EIOPA_RFR!AX43,EIOPA_RFR!AX43*(1%+VLOOKUP($B$27,Int_Rate_Param,2,FALSE))),IF(EIOPA_RFR!AX43*(1%+VLOOKUP($B38,Int_Rate_Param,2,FALSE))&lt;1%+EIOPA_RFR!AX43,1%+EIOPA_RFR!AX43,EIOPA_RFR!AX43*(1%+VLOOKUP($B38,Int_Rate_Param,2,FALSE))))</f>
        <v>8.498E-2</v>
      </c>
      <c r="AY38" s="94">
        <f>IF($B38&gt;20,IF(EIOPA_RFR!AY43*(1%+VLOOKUP($B$27,Int_Rate_Param,2,FALSE))&lt;1%+EIOPA_RFR!AY43,1%+EIOPA_RFR!AY43,EIOPA_RFR!AY43*(1%+VLOOKUP($B$27,Int_Rate_Param,2,FALSE))),IF(EIOPA_RFR!AY43*(1%+VLOOKUP($B38,Int_Rate_Param,2,FALSE))&lt;1%+EIOPA_RFR!AY43,1%+EIOPA_RFR!AY43,EIOPA_RFR!AY43*(1%+VLOOKUP($B38,Int_Rate_Param,2,FALSE))))</f>
        <v>3.3239999999999999E-2</v>
      </c>
      <c r="AZ38" s="94">
        <f>IF($B38&gt;20,IF(EIOPA_RFR!AZ43*(1%+VLOOKUP($B$27,Int_Rate_Param,2,FALSE))&lt;1%+EIOPA_RFR!AZ43,1%+EIOPA_RFR!AZ43,EIOPA_RFR!AZ43*(1%+VLOOKUP($B$27,Int_Rate_Param,2,FALSE))),IF(EIOPA_RFR!AZ43*(1%+VLOOKUP($B38,Int_Rate_Param,2,FALSE))&lt;1%+EIOPA_RFR!AZ43,1%+EIOPA_RFR!AZ43,EIOPA_RFR!AZ43*(1%+VLOOKUP($B38,Int_Rate_Param,2,FALSE))))</f>
        <v>3.5790000000000002E-2</v>
      </c>
      <c r="BA38" s="94">
        <f>IF($B38&gt;20,IF(EIOPA_RFR!BA43*(1%+VLOOKUP($B$27,Int_Rate_Param,2,FALSE))&lt;1%+EIOPA_RFR!BA43,1%+EIOPA_RFR!BA43,EIOPA_RFR!BA43*(1%+VLOOKUP($B$27,Int_Rate_Param,2,FALSE))),IF(EIOPA_RFR!BA43*(1%+VLOOKUP($B38,Int_Rate_Param,2,FALSE))&lt;1%+EIOPA_RFR!BA43,1%+EIOPA_RFR!BA43,EIOPA_RFR!BA43*(1%+VLOOKUP($B38,Int_Rate_Param,2,FALSE))))</f>
        <v>4.3250000000000004E-2</v>
      </c>
      <c r="BB38" s="94">
        <f>IF($B38&gt;20,IF(EIOPA_RFR!BB43*(1%+VLOOKUP($B$27,Int_Rate_Param,2,FALSE))&lt;1%+EIOPA_RFR!BB43,1%+EIOPA_RFR!BB43,EIOPA_RFR!BB43*(1%+VLOOKUP($B$27,Int_Rate_Param,2,FALSE))),IF(EIOPA_RFR!BB43*(1%+VLOOKUP($B38,Int_Rate_Param,2,FALSE))&lt;1%+EIOPA_RFR!BB43,1%+EIOPA_RFR!BB43,EIOPA_RFR!BB43*(1%+VLOOKUP($B38,Int_Rate_Param,2,FALSE))))</f>
        <v>8.9639999999999997E-2</v>
      </c>
      <c r="BC38" s="94">
        <f>IF($B38&gt;20,IF(EIOPA_RFR!BC43*(1%+VLOOKUP($B$27,Int_Rate_Param,2,FALSE))&lt;1%+EIOPA_RFR!BC43,1%+EIOPA_RFR!BC43,EIOPA_RFR!BC43*(1%+VLOOKUP($B$27,Int_Rate_Param,2,FALSE))),IF(EIOPA_RFR!BC43*(1%+VLOOKUP($B38,Int_Rate_Param,2,FALSE))&lt;1%+EIOPA_RFR!BC43,1%+EIOPA_RFR!BC43,EIOPA_RFR!BC43*(1%+VLOOKUP($B38,Int_Rate_Param,2,FALSE))))</f>
        <v>3.5409999999999997E-2</v>
      </c>
    </row>
    <row r="39" spans="1:55" x14ac:dyDescent="0.25">
      <c r="A39">
        <f t="shared" si="0"/>
        <v>34</v>
      </c>
      <c r="B39" s="95">
        <v>32</v>
      </c>
      <c r="C39" s="94">
        <f>IF($B39&gt;20,IF(EIOPA_RFR!C44*(1%+VLOOKUP($B$27,Int_Rate_Param,2,FALSE))&lt;1%+EIOPA_RFR!C44,1%+EIOPA_RFR!C44,EIOPA_RFR!C44*(1%+VLOOKUP($B$27,Int_Rate_Param,2,FALSE))),IF(EIOPA_RFR!C44*(1%+VLOOKUP($B39,Int_Rate_Param,2,FALSE))&lt;1%+EIOPA_RFR!C44,1%+EIOPA_RFR!C44,EIOPA_RFR!C44*(1%+VLOOKUP($B39,Int_Rate_Param,2,FALSE))))</f>
        <v>2.9859999999999998E-2</v>
      </c>
      <c r="D39" s="94">
        <f>IF($B39&gt;20,IF(EIOPA_RFR!D44*(1%+VLOOKUP($B$27,Int_Rate_Param,2,FALSE))&lt;1%+EIOPA_RFR!D44,1%+EIOPA_RFR!D44,EIOPA_RFR!D44*(1%+VLOOKUP($B$27,Int_Rate_Param,2,FALSE))),IF(EIOPA_RFR!D44*(1%+VLOOKUP($B39,Int_Rate_Param,2,FALSE))&lt;1%+EIOPA_RFR!D44,1%+EIOPA_RFR!D44,EIOPA_RFR!D44*(1%+VLOOKUP($B39,Int_Rate_Param,2,FALSE))))</f>
        <v>2.9859999999999998E-2</v>
      </c>
      <c r="E39" s="94">
        <f>IF($B39&gt;20,IF(EIOPA_RFR!E44*(1%+VLOOKUP($B$27,Int_Rate_Param,2,FALSE))&lt;1%+EIOPA_RFR!E44,1%+EIOPA_RFR!E44,EIOPA_RFR!E44*(1%+VLOOKUP($B$27,Int_Rate_Param,2,FALSE))),IF(EIOPA_RFR!E44*(1%+VLOOKUP($B39,Int_Rate_Param,2,FALSE))&lt;1%+EIOPA_RFR!E44,1%+EIOPA_RFR!E44,EIOPA_RFR!E44*(1%+VLOOKUP($B39,Int_Rate_Param,2,FALSE))))</f>
        <v>2.9859999999999998E-2</v>
      </c>
      <c r="F39" s="94">
        <f>IF($B39&gt;20,IF(EIOPA_RFR!F44*(1%+VLOOKUP($B$27,Int_Rate_Param,2,FALSE))&lt;1%+EIOPA_RFR!F44,1%+EIOPA_RFR!F44,EIOPA_RFR!F44*(1%+VLOOKUP($B$27,Int_Rate_Param,2,FALSE))),IF(EIOPA_RFR!F44*(1%+VLOOKUP($B39,Int_Rate_Param,2,FALSE))&lt;1%+EIOPA_RFR!F44,1%+EIOPA_RFR!F44,EIOPA_RFR!F44*(1%+VLOOKUP($B39,Int_Rate_Param,2,FALSE))))</f>
        <v>2.9470000000000003E-2</v>
      </c>
      <c r="G39" s="94">
        <f>IF($B39&gt;20,IF(EIOPA_RFR!G44*(1%+VLOOKUP($B$27,Int_Rate_Param,2,FALSE))&lt;1%+EIOPA_RFR!G44,1%+EIOPA_RFR!G44,EIOPA_RFR!G44*(1%+VLOOKUP($B$27,Int_Rate_Param,2,FALSE))),IF(EIOPA_RFR!G44*(1%+VLOOKUP($B39,Int_Rate_Param,2,FALSE))&lt;1%+EIOPA_RFR!G44,1%+EIOPA_RFR!G44,EIOPA_RFR!G44*(1%+VLOOKUP($B39,Int_Rate_Param,2,FALSE))))</f>
        <v>4.616E-2</v>
      </c>
      <c r="H39" s="94">
        <f>IF($B39&gt;20,IF(EIOPA_RFR!H44*(1%+VLOOKUP($B$27,Int_Rate_Param,2,FALSE))&lt;1%+EIOPA_RFR!H44,1%+EIOPA_RFR!H44,EIOPA_RFR!H44*(1%+VLOOKUP($B$27,Int_Rate_Param,2,FALSE))),IF(EIOPA_RFR!H44*(1%+VLOOKUP($B39,Int_Rate_Param,2,FALSE))&lt;1%+EIOPA_RFR!H44,1%+EIOPA_RFR!H44,EIOPA_RFR!H44*(1%+VLOOKUP($B39,Int_Rate_Param,2,FALSE))))</f>
        <v>2.9859999999999998E-2</v>
      </c>
      <c r="I39" s="94">
        <f>IF($B39&gt;20,IF(EIOPA_RFR!I44*(1%+VLOOKUP($B$27,Int_Rate_Param,2,FALSE))&lt;1%+EIOPA_RFR!I44,1%+EIOPA_RFR!I44,EIOPA_RFR!I44*(1%+VLOOKUP($B$27,Int_Rate_Param,2,FALSE))),IF(EIOPA_RFR!I44*(1%+VLOOKUP($B39,Int_Rate_Param,2,FALSE))&lt;1%+EIOPA_RFR!I44,1%+EIOPA_RFR!I44,EIOPA_RFR!I44*(1%+VLOOKUP($B39,Int_Rate_Param,2,FALSE))))</f>
        <v>3.4029999999999998E-2</v>
      </c>
      <c r="J39" s="94">
        <f>IF($B39&gt;20,IF(EIOPA_RFR!J44*(1%+VLOOKUP($B$27,Int_Rate_Param,2,FALSE))&lt;1%+EIOPA_RFR!J44,1%+EIOPA_RFR!J44,EIOPA_RFR!J44*(1%+VLOOKUP($B$27,Int_Rate_Param,2,FALSE))),IF(EIOPA_RFR!J44*(1%+VLOOKUP($B39,Int_Rate_Param,2,FALSE))&lt;1%+EIOPA_RFR!J44,1%+EIOPA_RFR!J44,EIOPA_RFR!J44*(1%+VLOOKUP($B39,Int_Rate_Param,2,FALSE))))</f>
        <v>2.9780000000000001E-2</v>
      </c>
      <c r="K39" s="94">
        <f>IF($B39&gt;20,IF(EIOPA_RFR!K44*(1%+VLOOKUP($B$27,Int_Rate_Param,2,FALSE))&lt;1%+EIOPA_RFR!K44,1%+EIOPA_RFR!K44,EIOPA_RFR!K44*(1%+VLOOKUP($B$27,Int_Rate_Param,2,FALSE))),IF(EIOPA_RFR!K44*(1%+VLOOKUP($B39,Int_Rate_Param,2,FALSE))&lt;1%+EIOPA_RFR!K44,1%+EIOPA_RFR!K44,EIOPA_RFR!K44*(1%+VLOOKUP($B39,Int_Rate_Param,2,FALSE))))</f>
        <v>2.9859999999999998E-2</v>
      </c>
      <c r="L39" s="94">
        <f>IF($B39&gt;20,IF(EIOPA_RFR!L44*(1%+VLOOKUP($B$27,Int_Rate_Param,2,FALSE))&lt;1%+EIOPA_RFR!L44,1%+EIOPA_RFR!L44,EIOPA_RFR!L44*(1%+VLOOKUP($B$27,Int_Rate_Param,2,FALSE))),IF(EIOPA_RFR!L44*(1%+VLOOKUP($B39,Int_Rate_Param,2,FALSE))&lt;1%+EIOPA_RFR!L44,1%+EIOPA_RFR!L44,EIOPA_RFR!L44*(1%+VLOOKUP($B39,Int_Rate_Param,2,FALSE))))</f>
        <v>2.9859999999999998E-2</v>
      </c>
      <c r="M39" s="94">
        <f>IF($B39&gt;20,IF(EIOPA_RFR!M44*(1%+VLOOKUP($B$27,Int_Rate_Param,2,FALSE))&lt;1%+EIOPA_RFR!M44,1%+EIOPA_RFR!M44,EIOPA_RFR!M44*(1%+VLOOKUP($B$27,Int_Rate_Param,2,FALSE))),IF(EIOPA_RFR!M44*(1%+VLOOKUP($B39,Int_Rate_Param,2,FALSE))&lt;1%+EIOPA_RFR!M44,1%+EIOPA_RFR!M44,EIOPA_RFR!M44*(1%+VLOOKUP($B39,Int_Rate_Param,2,FALSE))))</f>
        <v>2.9859999999999998E-2</v>
      </c>
      <c r="N39" s="94">
        <f>IF($B39&gt;20,IF(EIOPA_RFR!N44*(1%+VLOOKUP($B$27,Int_Rate_Param,2,FALSE))&lt;1%+EIOPA_RFR!N44,1%+EIOPA_RFR!N44,EIOPA_RFR!N44*(1%+VLOOKUP($B$27,Int_Rate_Param,2,FALSE))),IF(EIOPA_RFR!N44*(1%+VLOOKUP($B39,Int_Rate_Param,2,FALSE))&lt;1%+EIOPA_RFR!N44,1%+EIOPA_RFR!N44,EIOPA_RFR!N44*(1%+VLOOKUP($B39,Int_Rate_Param,2,FALSE))))</f>
        <v>2.9859999999999998E-2</v>
      </c>
      <c r="O39" s="94">
        <f>IF($B39&gt;20,IF(EIOPA_RFR!O44*(1%+VLOOKUP($B$27,Int_Rate_Param,2,FALSE))&lt;1%+EIOPA_RFR!O44,1%+EIOPA_RFR!O44,EIOPA_RFR!O44*(1%+VLOOKUP($B$27,Int_Rate_Param,2,FALSE))),IF(EIOPA_RFR!O44*(1%+VLOOKUP($B39,Int_Rate_Param,2,FALSE))&lt;1%+EIOPA_RFR!O44,1%+EIOPA_RFR!O44,EIOPA_RFR!O44*(1%+VLOOKUP($B39,Int_Rate_Param,2,FALSE))))</f>
        <v>2.9859999999999998E-2</v>
      </c>
      <c r="P39" s="94">
        <f>IF($B39&gt;20,IF(EIOPA_RFR!P44*(1%+VLOOKUP($B$27,Int_Rate_Param,2,FALSE))&lt;1%+EIOPA_RFR!P44,1%+EIOPA_RFR!P44,EIOPA_RFR!P44*(1%+VLOOKUP($B$27,Int_Rate_Param,2,FALSE))),IF(EIOPA_RFR!P44*(1%+VLOOKUP($B39,Int_Rate_Param,2,FALSE))&lt;1%+EIOPA_RFR!P44,1%+EIOPA_RFR!P44,EIOPA_RFR!P44*(1%+VLOOKUP($B39,Int_Rate_Param,2,FALSE))))</f>
        <v>5.3430000000000005E-2</v>
      </c>
      <c r="Q39" s="94">
        <f>IF($B39&gt;20,IF(EIOPA_RFR!Q44*(1%+VLOOKUP($B$27,Int_Rate_Param,2,FALSE))&lt;1%+EIOPA_RFR!Q44,1%+EIOPA_RFR!Q44,EIOPA_RFR!Q44*(1%+VLOOKUP($B$27,Int_Rate_Param,2,FALSE))),IF(EIOPA_RFR!Q44*(1%+VLOOKUP($B39,Int_Rate_Param,2,FALSE))&lt;1%+EIOPA_RFR!Q44,1%+EIOPA_RFR!Q44,EIOPA_RFR!Q44*(1%+VLOOKUP($B39,Int_Rate_Param,2,FALSE))))</f>
        <v>5.5300000000000002E-2</v>
      </c>
      <c r="R39" s="94">
        <f>IF($B39&gt;20,IF(EIOPA_RFR!R44*(1%+VLOOKUP($B$27,Int_Rate_Param,2,FALSE))&lt;1%+EIOPA_RFR!R44,1%+EIOPA_RFR!R44,EIOPA_RFR!R44*(1%+VLOOKUP($B$27,Int_Rate_Param,2,FALSE))),IF(EIOPA_RFR!R44*(1%+VLOOKUP($B39,Int_Rate_Param,2,FALSE))&lt;1%+EIOPA_RFR!R44,1%+EIOPA_RFR!R44,EIOPA_RFR!R44*(1%+VLOOKUP($B39,Int_Rate_Param,2,FALSE))))</f>
        <v>2.9859999999999998E-2</v>
      </c>
      <c r="S39" s="94">
        <f>IF($B39&gt;20,IF(EIOPA_RFR!S44*(1%+VLOOKUP($B$27,Int_Rate_Param,2,FALSE))&lt;1%+EIOPA_RFR!S44,1%+EIOPA_RFR!S44,EIOPA_RFR!S44*(1%+VLOOKUP($B$27,Int_Rate_Param,2,FALSE))),IF(EIOPA_RFR!S44*(1%+VLOOKUP($B39,Int_Rate_Param,2,FALSE))&lt;1%+EIOPA_RFR!S44,1%+EIOPA_RFR!S44,EIOPA_RFR!S44*(1%+VLOOKUP($B39,Int_Rate_Param,2,FALSE))))</f>
        <v>2.9859999999999998E-2</v>
      </c>
      <c r="T39" s="94">
        <f>IF($B39&gt;20,IF(EIOPA_RFR!T44*(1%+VLOOKUP($B$27,Int_Rate_Param,2,FALSE))&lt;1%+EIOPA_RFR!T44,1%+EIOPA_RFR!T44,EIOPA_RFR!T44*(1%+VLOOKUP($B$27,Int_Rate_Param,2,FALSE))),IF(EIOPA_RFR!T44*(1%+VLOOKUP($B39,Int_Rate_Param,2,FALSE))&lt;1%+EIOPA_RFR!T44,1%+EIOPA_RFR!T44,EIOPA_RFR!T44*(1%+VLOOKUP($B39,Int_Rate_Param,2,FALSE))))</f>
        <v>2.9859999999999998E-2</v>
      </c>
      <c r="U39" s="94">
        <f>IF($B39&gt;20,IF(EIOPA_RFR!U44*(1%+VLOOKUP($B$27,Int_Rate_Param,2,FALSE))&lt;1%+EIOPA_RFR!U44,1%+EIOPA_RFR!U44,EIOPA_RFR!U44*(1%+VLOOKUP($B$27,Int_Rate_Param,2,FALSE))),IF(EIOPA_RFR!U44*(1%+VLOOKUP($B39,Int_Rate_Param,2,FALSE))&lt;1%+EIOPA_RFR!U44,1%+EIOPA_RFR!U44,EIOPA_RFR!U44*(1%+VLOOKUP($B39,Int_Rate_Param,2,FALSE))))</f>
        <v>1.8020000000000001E-2</v>
      </c>
      <c r="V39" s="94">
        <f>IF($B39&gt;20,IF(EIOPA_RFR!V44*(1%+VLOOKUP($B$27,Int_Rate_Param,2,FALSE))&lt;1%+EIOPA_RFR!V44,1%+EIOPA_RFR!V44,EIOPA_RFR!V44*(1%+VLOOKUP($B$27,Int_Rate_Param,2,FALSE))),IF(EIOPA_RFR!V44*(1%+VLOOKUP($B39,Int_Rate_Param,2,FALSE))&lt;1%+EIOPA_RFR!V44,1%+EIOPA_RFR!V44,EIOPA_RFR!V44*(1%+VLOOKUP($B39,Int_Rate_Param,2,FALSE))))</f>
        <v>2.9859999999999998E-2</v>
      </c>
      <c r="W39" s="94">
        <f>IF($B39&gt;20,IF(EIOPA_RFR!W44*(1%+VLOOKUP($B$27,Int_Rate_Param,2,FALSE))&lt;1%+EIOPA_RFR!W44,1%+EIOPA_RFR!W44,EIOPA_RFR!W44*(1%+VLOOKUP($B$27,Int_Rate_Param,2,FALSE))),IF(EIOPA_RFR!W44*(1%+VLOOKUP($B39,Int_Rate_Param,2,FALSE))&lt;1%+EIOPA_RFR!W44,1%+EIOPA_RFR!W44,EIOPA_RFR!W44*(1%+VLOOKUP($B39,Int_Rate_Param,2,FALSE))))</f>
        <v>2.9859999999999998E-2</v>
      </c>
      <c r="X39" s="94">
        <f>IF($B39&gt;20,IF(EIOPA_RFR!X44*(1%+VLOOKUP($B$27,Int_Rate_Param,2,FALSE))&lt;1%+EIOPA_RFR!X44,1%+EIOPA_RFR!X44,EIOPA_RFR!X44*(1%+VLOOKUP($B$27,Int_Rate_Param,2,FALSE))),IF(EIOPA_RFR!X44*(1%+VLOOKUP($B39,Int_Rate_Param,2,FALSE))&lt;1%+EIOPA_RFR!X44,1%+EIOPA_RFR!X44,EIOPA_RFR!X44*(1%+VLOOKUP($B39,Int_Rate_Param,2,FALSE))))</f>
        <v>2.9859999999999998E-2</v>
      </c>
      <c r="Y39" s="94">
        <f>IF($B39&gt;20,IF(EIOPA_RFR!Y44*(1%+VLOOKUP($B$27,Int_Rate_Param,2,FALSE))&lt;1%+EIOPA_RFR!Y44,1%+EIOPA_RFR!Y44,EIOPA_RFR!Y44*(1%+VLOOKUP($B$27,Int_Rate_Param,2,FALSE))),IF(EIOPA_RFR!Y44*(1%+VLOOKUP($B39,Int_Rate_Param,2,FALSE))&lt;1%+EIOPA_RFR!Y44,1%+EIOPA_RFR!Y44,EIOPA_RFR!Y44*(1%+VLOOKUP($B39,Int_Rate_Param,2,FALSE))))</f>
        <v>2.9859999999999998E-2</v>
      </c>
      <c r="Z39" s="94">
        <f>IF($B39&gt;20,IF(EIOPA_RFR!Z44*(1%+VLOOKUP($B$27,Int_Rate_Param,2,FALSE))&lt;1%+EIOPA_RFR!Z44,1%+EIOPA_RFR!Z44,EIOPA_RFR!Z44*(1%+VLOOKUP($B$27,Int_Rate_Param,2,FALSE))),IF(EIOPA_RFR!Z44*(1%+VLOOKUP($B39,Int_Rate_Param,2,FALSE))&lt;1%+EIOPA_RFR!Z44,1%+EIOPA_RFR!Z44,EIOPA_RFR!Z44*(1%+VLOOKUP($B39,Int_Rate_Param,2,FALSE))))</f>
        <v>4.0129999999999999E-2</v>
      </c>
      <c r="AA39" s="94">
        <f>IF($B39&gt;20,IF(EIOPA_RFR!AA44*(1%+VLOOKUP($B$27,Int_Rate_Param,2,FALSE))&lt;1%+EIOPA_RFR!AA44,1%+EIOPA_RFR!AA44,EIOPA_RFR!AA44*(1%+VLOOKUP($B$27,Int_Rate_Param,2,FALSE))),IF(EIOPA_RFR!AA44*(1%+VLOOKUP($B39,Int_Rate_Param,2,FALSE))&lt;1%+EIOPA_RFR!AA44,1%+EIOPA_RFR!AA44,EIOPA_RFR!AA44*(1%+VLOOKUP($B39,Int_Rate_Param,2,FALSE))))</f>
        <v>5.0349999999999999E-2</v>
      </c>
      <c r="AB39" s="94">
        <f>IF($B39&gt;20,IF(EIOPA_RFR!AB44*(1%+VLOOKUP($B$27,Int_Rate_Param,2,FALSE))&lt;1%+EIOPA_RFR!AB44,1%+EIOPA_RFR!AB44,EIOPA_RFR!AB44*(1%+VLOOKUP($B$27,Int_Rate_Param,2,FALSE))),IF(EIOPA_RFR!AB44*(1%+VLOOKUP($B39,Int_Rate_Param,2,FALSE))&lt;1%+EIOPA_RFR!AB44,1%+EIOPA_RFR!AB44,EIOPA_RFR!AB44*(1%+VLOOKUP($B39,Int_Rate_Param,2,FALSE))))</f>
        <v>2.9859999999999998E-2</v>
      </c>
      <c r="AC39" s="94">
        <f>IF($B39&gt;20,IF(EIOPA_RFR!AC44*(1%+VLOOKUP($B$27,Int_Rate_Param,2,FALSE))&lt;1%+EIOPA_RFR!AC44,1%+EIOPA_RFR!AC44,EIOPA_RFR!AC44*(1%+VLOOKUP($B$27,Int_Rate_Param,2,FALSE))),IF(EIOPA_RFR!AC44*(1%+VLOOKUP($B39,Int_Rate_Param,2,FALSE))&lt;1%+EIOPA_RFR!AC44,1%+EIOPA_RFR!AC44,EIOPA_RFR!AC44*(1%+VLOOKUP($B39,Int_Rate_Param,2,FALSE))))</f>
        <v>5.391E-2</v>
      </c>
      <c r="AD39" s="94">
        <f>IF($B39&gt;20,IF(EIOPA_RFR!AD44*(1%+VLOOKUP($B$27,Int_Rate_Param,2,FALSE))&lt;1%+EIOPA_RFR!AD44,1%+EIOPA_RFR!AD44,EIOPA_RFR!AD44*(1%+VLOOKUP($B$27,Int_Rate_Param,2,FALSE))),IF(EIOPA_RFR!AD44*(1%+VLOOKUP($B39,Int_Rate_Param,2,FALSE))&lt;1%+EIOPA_RFR!AD44,1%+EIOPA_RFR!AD44,EIOPA_RFR!AD44*(1%+VLOOKUP($B39,Int_Rate_Param,2,FALSE))))</f>
        <v>6.9900000000000004E-2</v>
      </c>
      <c r="AE39" s="94">
        <f>IF($B39&gt;20,IF(EIOPA_RFR!AE44*(1%+VLOOKUP($B$27,Int_Rate_Param,2,FALSE))&lt;1%+EIOPA_RFR!AE44,1%+EIOPA_RFR!AE44,EIOPA_RFR!AE44*(1%+VLOOKUP($B$27,Int_Rate_Param,2,FALSE))),IF(EIOPA_RFR!AE44*(1%+VLOOKUP($B39,Int_Rate_Param,2,FALSE))&lt;1%+EIOPA_RFR!AE44,1%+EIOPA_RFR!AE44,EIOPA_RFR!AE44*(1%+VLOOKUP($B39,Int_Rate_Param,2,FALSE))))</f>
        <v>2.9859999999999998E-2</v>
      </c>
      <c r="AF39" s="94">
        <f>IF($B39&gt;20,IF(EIOPA_RFR!AF44*(1%+VLOOKUP($B$27,Int_Rate_Param,2,FALSE))&lt;1%+EIOPA_RFR!AF44,1%+EIOPA_RFR!AF44,EIOPA_RFR!AF44*(1%+VLOOKUP($B$27,Int_Rate_Param,2,FALSE))),IF(EIOPA_RFR!AF44*(1%+VLOOKUP($B39,Int_Rate_Param,2,FALSE))&lt;1%+EIOPA_RFR!AF44,1%+EIOPA_RFR!AF44,EIOPA_RFR!AF44*(1%+VLOOKUP($B39,Int_Rate_Param,2,FALSE))))</f>
        <v>2.9859999999999998E-2</v>
      </c>
      <c r="AG39" s="94">
        <f>IF($B39&gt;20,IF(EIOPA_RFR!AG44*(1%+VLOOKUP($B$27,Int_Rate_Param,2,FALSE))&lt;1%+EIOPA_RFR!AG44,1%+EIOPA_RFR!AG44,EIOPA_RFR!AG44*(1%+VLOOKUP($B$27,Int_Rate_Param,2,FALSE))),IF(EIOPA_RFR!AG44*(1%+VLOOKUP($B39,Int_Rate_Param,2,FALSE))&lt;1%+EIOPA_RFR!AG44,1%+EIOPA_RFR!AG44,EIOPA_RFR!AG44*(1%+VLOOKUP($B39,Int_Rate_Param,2,FALSE))))</f>
        <v>2.9859999999999998E-2</v>
      </c>
      <c r="AH39" s="94">
        <f>IF($B39&gt;20,IF(EIOPA_RFR!AH44*(1%+VLOOKUP($B$27,Int_Rate_Param,2,FALSE))&lt;1%+EIOPA_RFR!AH44,1%+EIOPA_RFR!AH44,EIOPA_RFR!AH44*(1%+VLOOKUP($B$27,Int_Rate_Param,2,FALSE))),IF(EIOPA_RFR!AH44*(1%+VLOOKUP($B39,Int_Rate_Param,2,FALSE))&lt;1%+EIOPA_RFR!AH44,1%+EIOPA_RFR!AH44,EIOPA_RFR!AH44*(1%+VLOOKUP($B39,Int_Rate_Param,2,FALSE))))</f>
        <v>4.0910000000000002E-2</v>
      </c>
      <c r="AI39" s="94">
        <f>IF($B39&gt;20,IF(EIOPA_RFR!AI44*(1%+VLOOKUP($B$27,Int_Rate_Param,2,FALSE))&lt;1%+EIOPA_RFR!AI44,1%+EIOPA_RFR!AI44,EIOPA_RFR!AI44*(1%+VLOOKUP($B$27,Int_Rate_Param,2,FALSE))),IF(EIOPA_RFR!AI44*(1%+VLOOKUP($B39,Int_Rate_Param,2,FALSE))&lt;1%+EIOPA_RFR!AI44,1%+EIOPA_RFR!AI44,EIOPA_RFR!AI44*(1%+VLOOKUP($B39,Int_Rate_Param,2,FALSE))))</f>
        <v>1.8020000000000001E-2</v>
      </c>
      <c r="AJ39" s="94">
        <f>IF($B39&gt;20,IF(EIOPA_RFR!AJ44*(1%+VLOOKUP($B$27,Int_Rate_Param,2,FALSE))&lt;1%+EIOPA_RFR!AJ44,1%+EIOPA_RFR!AJ44,EIOPA_RFR!AJ44*(1%+VLOOKUP($B$27,Int_Rate_Param,2,FALSE))),IF(EIOPA_RFR!AJ44*(1%+VLOOKUP($B39,Int_Rate_Param,2,FALSE))&lt;1%+EIOPA_RFR!AJ44,1%+EIOPA_RFR!AJ44,EIOPA_RFR!AJ44*(1%+VLOOKUP($B39,Int_Rate_Param,2,FALSE))))</f>
        <v>2.247E-2</v>
      </c>
      <c r="AK39" s="94">
        <f>IF($B39&gt;20,IF(EIOPA_RFR!AK44*(1%+VLOOKUP($B$27,Int_Rate_Param,2,FALSE))&lt;1%+EIOPA_RFR!AK44,1%+EIOPA_RFR!AK44,EIOPA_RFR!AK44*(1%+VLOOKUP($B$27,Int_Rate_Param,2,FALSE))),IF(EIOPA_RFR!AK44*(1%+VLOOKUP($B39,Int_Rate_Param,2,FALSE))&lt;1%+EIOPA_RFR!AK44,1%+EIOPA_RFR!AK44,EIOPA_RFR!AK44*(1%+VLOOKUP($B39,Int_Rate_Param,2,FALSE))))</f>
        <v>4.3290000000000002E-2</v>
      </c>
      <c r="AL39" s="94">
        <f>IF($B39&gt;20,IF(EIOPA_RFR!AL44*(1%+VLOOKUP($B$27,Int_Rate_Param,2,FALSE))&lt;1%+EIOPA_RFR!AL44,1%+EIOPA_RFR!AL44,EIOPA_RFR!AL44*(1%+VLOOKUP($B$27,Int_Rate_Param,2,FALSE))),IF(EIOPA_RFR!AL44*(1%+VLOOKUP($B39,Int_Rate_Param,2,FALSE))&lt;1%+EIOPA_RFR!AL44,1%+EIOPA_RFR!AL44,EIOPA_RFR!AL44*(1%+VLOOKUP($B39,Int_Rate_Param,2,FALSE))))</f>
        <v>8.6169999999999997E-2</v>
      </c>
      <c r="AM39" s="94">
        <f>IF($B39&gt;20,IF(EIOPA_RFR!AM44*(1%+VLOOKUP($B$27,Int_Rate_Param,2,FALSE))&lt;1%+EIOPA_RFR!AM44,1%+EIOPA_RFR!AM44,EIOPA_RFR!AM44*(1%+VLOOKUP($B$27,Int_Rate_Param,2,FALSE))),IF(EIOPA_RFR!AM44*(1%+VLOOKUP($B39,Int_Rate_Param,2,FALSE))&lt;1%+EIOPA_RFR!AM44,1%+EIOPA_RFR!AM44,EIOPA_RFR!AM44*(1%+VLOOKUP($B39,Int_Rate_Param,2,FALSE))))</f>
        <v>3.2680000000000001E-2</v>
      </c>
      <c r="AN39" s="94">
        <f>IF($B39&gt;20,IF(EIOPA_RFR!AN44*(1%+VLOOKUP($B$27,Int_Rate_Param,2,FALSE))&lt;1%+EIOPA_RFR!AN44,1%+EIOPA_RFR!AN44,EIOPA_RFR!AN44*(1%+VLOOKUP($B$27,Int_Rate_Param,2,FALSE))),IF(EIOPA_RFR!AN44*(1%+VLOOKUP($B39,Int_Rate_Param,2,FALSE))&lt;1%+EIOPA_RFR!AN44,1%+EIOPA_RFR!AN44,EIOPA_RFR!AN44*(1%+VLOOKUP($B39,Int_Rate_Param,2,FALSE))))</f>
        <v>5.2560000000000003E-2</v>
      </c>
      <c r="AO39" s="94">
        <f>IF($B39&gt;20,IF(EIOPA_RFR!AO44*(1%+VLOOKUP($B$27,Int_Rate_Param,2,FALSE))&lt;1%+EIOPA_RFR!AO44,1%+EIOPA_RFR!AO44,EIOPA_RFR!AO44*(1%+VLOOKUP($B$27,Int_Rate_Param,2,FALSE))),IF(EIOPA_RFR!AO44*(1%+VLOOKUP($B39,Int_Rate_Param,2,FALSE))&lt;1%+EIOPA_RFR!AO44,1%+EIOPA_RFR!AO44,EIOPA_RFR!AO44*(1%+VLOOKUP($B39,Int_Rate_Param,2,FALSE))))</f>
        <v>5.4089999999999999E-2</v>
      </c>
      <c r="AP39" s="94">
        <f>IF($B39&gt;20,IF(EIOPA_RFR!AP44*(1%+VLOOKUP($B$27,Int_Rate_Param,2,FALSE))&lt;1%+EIOPA_RFR!AP44,1%+EIOPA_RFR!AP44,EIOPA_RFR!AP44*(1%+VLOOKUP($B$27,Int_Rate_Param,2,FALSE))),IF(EIOPA_RFR!AP44*(1%+VLOOKUP($B39,Int_Rate_Param,2,FALSE))&lt;1%+EIOPA_RFR!AP44,1%+EIOPA_RFR!AP44,EIOPA_RFR!AP44*(1%+VLOOKUP($B39,Int_Rate_Param,2,FALSE))))</f>
        <v>6.565E-2</v>
      </c>
      <c r="AQ39" s="94">
        <f>IF($B39&gt;20,IF(EIOPA_RFR!AQ44*(1%+VLOOKUP($B$27,Int_Rate_Param,2,FALSE))&lt;1%+EIOPA_RFR!AQ44,1%+EIOPA_RFR!AQ44,EIOPA_RFR!AQ44*(1%+VLOOKUP($B$27,Int_Rate_Param,2,FALSE))),IF(EIOPA_RFR!AQ44*(1%+VLOOKUP($B39,Int_Rate_Param,2,FALSE))&lt;1%+EIOPA_RFR!AQ44,1%+EIOPA_RFR!AQ44,EIOPA_RFR!AQ44*(1%+VLOOKUP($B39,Int_Rate_Param,2,FALSE))))</f>
        <v>4.0689999999999997E-2</v>
      </c>
      <c r="AR39" s="94">
        <f>IF($B39&gt;20,IF(EIOPA_RFR!AR44*(1%+VLOOKUP($B$27,Int_Rate_Param,2,FALSE))&lt;1%+EIOPA_RFR!AR44,1%+EIOPA_RFR!AR44,EIOPA_RFR!AR44*(1%+VLOOKUP($B$27,Int_Rate_Param,2,FALSE))),IF(EIOPA_RFR!AR44*(1%+VLOOKUP($B39,Int_Rate_Param,2,FALSE))&lt;1%+EIOPA_RFR!AR44,1%+EIOPA_RFR!AR44,EIOPA_RFR!AR44*(1%+VLOOKUP($B39,Int_Rate_Param,2,FALSE))))</f>
        <v>7.3209999999999997E-2</v>
      </c>
      <c r="AS39" s="94">
        <f>IF($B39&gt;20,IF(EIOPA_RFR!AS44*(1%+VLOOKUP($B$27,Int_Rate_Param,2,FALSE))&lt;1%+EIOPA_RFR!AS44,1%+EIOPA_RFR!AS44,EIOPA_RFR!AS44*(1%+VLOOKUP($B$27,Int_Rate_Param,2,FALSE))),IF(EIOPA_RFR!AS44*(1%+VLOOKUP($B39,Int_Rate_Param,2,FALSE))&lt;1%+EIOPA_RFR!AS44,1%+EIOPA_RFR!AS44,EIOPA_RFR!AS44*(1%+VLOOKUP($B39,Int_Rate_Param,2,FALSE))))</f>
        <v>1.8110000000000001E-2</v>
      </c>
      <c r="AT39" s="94">
        <f>IF($B39&gt;20,IF(EIOPA_RFR!AT44*(1%+VLOOKUP($B$27,Int_Rate_Param,2,FALSE))&lt;1%+EIOPA_RFR!AT44,1%+EIOPA_RFR!AT44,EIOPA_RFR!AT44*(1%+VLOOKUP($B$27,Int_Rate_Param,2,FALSE))),IF(EIOPA_RFR!AT44*(1%+VLOOKUP($B39,Int_Rate_Param,2,FALSE))&lt;1%+EIOPA_RFR!AT44,1%+EIOPA_RFR!AT44,EIOPA_RFR!AT44*(1%+VLOOKUP($B39,Int_Rate_Param,2,FALSE))))</f>
        <v>5.3560000000000003E-2</v>
      </c>
      <c r="AU39" s="94">
        <f>IF($B39&gt;20,IF(EIOPA_RFR!AU44*(1%+VLOOKUP($B$27,Int_Rate_Param,2,FALSE))&lt;1%+EIOPA_RFR!AU44,1%+EIOPA_RFR!AU44,EIOPA_RFR!AU44*(1%+VLOOKUP($B$27,Int_Rate_Param,2,FALSE))),IF(EIOPA_RFR!AU44*(1%+VLOOKUP($B39,Int_Rate_Param,2,FALSE))&lt;1%+EIOPA_RFR!AU44,1%+EIOPA_RFR!AU44,EIOPA_RFR!AU44*(1%+VLOOKUP($B39,Int_Rate_Param,2,FALSE))))</f>
        <v>8.4599999999999995E-2</v>
      </c>
      <c r="AV39" s="94">
        <f>IF($B39&gt;20,IF(EIOPA_RFR!AV44*(1%+VLOOKUP($B$27,Int_Rate_Param,2,FALSE))&lt;1%+EIOPA_RFR!AV44,1%+EIOPA_RFR!AV44,EIOPA_RFR!AV44*(1%+VLOOKUP($B$27,Int_Rate_Param,2,FALSE))),IF(EIOPA_RFR!AV44*(1%+VLOOKUP($B39,Int_Rate_Param,2,FALSE))&lt;1%+EIOPA_RFR!AV44,1%+EIOPA_RFR!AV44,EIOPA_RFR!AV44*(1%+VLOOKUP($B39,Int_Rate_Param,2,FALSE))))</f>
        <v>5.1630000000000002E-2</v>
      </c>
      <c r="AW39" s="94">
        <f>IF($B39&gt;20,IF(EIOPA_RFR!AW44*(1%+VLOOKUP($B$27,Int_Rate_Param,2,FALSE))&lt;1%+EIOPA_RFR!AW44,1%+EIOPA_RFR!AW44,EIOPA_RFR!AW44*(1%+VLOOKUP($B$27,Int_Rate_Param,2,FALSE))),IF(EIOPA_RFR!AW44*(1%+VLOOKUP($B39,Int_Rate_Param,2,FALSE))&lt;1%+EIOPA_RFR!AW44,1%+EIOPA_RFR!AW44,EIOPA_RFR!AW44*(1%+VLOOKUP($B39,Int_Rate_Param,2,FALSE))))</f>
        <v>4.0439999999999997E-2</v>
      </c>
      <c r="AX39" s="94">
        <f>IF($B39&gt;20,IF(EIOPA_RFR!AX44*(1%+VLOOKUP($B$27,Int_Rate_Param,2,FALSE))&lt;1%+EIOPA_RFR!AX44,1%+EIOPA_RFR!AX44,EIOPA_RFR!AX44*(1%+VLOOKUP($B$27,Int_Rate_Param,2,FALSE))),IF(EIOPA_RFR!AX44*(1%+VLOOKUP($B39,Int_Rate_Param,2,FALSE))&lt;1%+EIOPA_RFR!AX44,1%+EIOPA_RFR!AX44,EIOPA_RFR!AX44*(1%+VLOOKUP($B39,Int_Rate_Param,2,FALSE))))</f>
        <v>8.4389999999999993E-2</v>
      </c>
      <c r="AY39" s="94">
        <f>IF($B39&gt;20,IF(EIOPA_RFR!AY44*(1%+VLOOKUP($B$27,Int_Rate_Param,2,FALSE))&lt;1%+EIOPA_RFR!AY44,1%+EIOPA_RFR!AY44,EIOPA_RFR!AY44*(1%+VLOOKUP($B$27,Int_Rate_Param,2,FALSE))),IF(EIOPA_RFR!AY44*(1%+VLOOKUP($B39,Int_Rate_Param,2,FALSE))&lt;1%+EIOPA_RFR!AY44,1%+EIOPA_RFR!AY44,EIOPA_RFR!AY44*(1%+VLOOKUP($B39,Int_Rate_Param,2,FALSE))))</f>
        <v>3.3700000000000001E-2</v>
      </c>
      <c r="AZ39" s="94">
        <f>IF($B39&gt;20,IF(EIOPA_RFR!AZ44*(1%+VLOOKUP($B$27,Int_Rate_Param,2,FALSE))&lt;1%+EIOPA_RFR!AZ44,1%+EIOPA_RFR!AZ44,EIOPA_RFR!AZ44*(1%+VLOOKUP($B$27,Int_Rate_Param,2,FALSE))),IF(EIOPA_RFR!AZ44*(1%+VLOOKUP($B39,Int_Rate_Param,2,FALSE))&lt;1%+EIOPA_RFR!AZ44,1%+EIOPA_RFR!AZ44,EIOPA_RFR!AZ44*(1%+VLOOKUP($B39,Int_Rate_Param,2,FALSE))))</f>
        <v>3.6229999999999998E-2</v>
      </c>
      <c r="BA39" s="94">
        <f>IF($B39&gt;20,IF(EIOPA_RFR!BA44*(1%+VLOOKUP($B$27,Int_Rate_Param,2,FALSE))&lt;1%+EIOPA_RFR!BA44,1%+EIOPA_RFR!BA44,EIOPA_RFR!BA44*(1%+VLOOKUP($B$27,Int_Rate_Param,2,FALSE))),IF(EIOPA_RFR!BA44*(1%+VLOOKUP($B39,Int_Rate_Param,2,FALSE))&lt;1%+EIOPA_RFR!BA44,1%+EIOPA_RFR!BA44,EIOPA_RFR!BA44*(1%+VLOOKUP($B39,Int_Rate_Param,2,FALSE))))</f>
        <v>4.3480000000000005E-2</v>
      </c>
      <c r="BB39" s="94">
        <f>IF($B39&gt;20,IF(EIOPA_RFR!BB44*(1%+VLOOKUP($B$27,Int_Rate_Param,2,FALSE))&lt;1%+EIOPA_RFR!BB44,1%+EIOPA_RFR!BB44,EIOPA_RFR!BB44*(1%+VLOOKUP($B$27,Int_Rate_Param,2,FALSE))),IF(EIOPA_RFR!BB44*(1%+VLOOKUP($B39,Int_Rate_Param,2,FALSE))&lt;1%+EIOPA_RFR!BB44,1%+EIOPA_RFR!BB44,EIOPA_RFR!BB44*(1%+VLOOKUP($B39,Int_Rate_Param,2,FALSE))))</f>
        <v>8.8880000000000001E-2</v>
      </c>
      <c r="BC39" s="94">
        <f>IF($B39&gt;20,IF(EIOPA_RFR!BC44*(1%+VLOOKUP($B$27,Int_Rate_Param,2,FALSE))&lt;1%+EIOPA_RFR!BC44,1%+EIOPA_RFR!BC44,EIOPA_RFR!BC44*(1%+VLOOKUP($B$27,Int_Rate_Param,2,FALSE))),IF(EIOPA_RFR!BC44*(1%+VLOOKUP($B39,Int_Rate_Param,2,FALSE))&lt;1%+EIOPA_RFR!BC44,1%+EIOPA_RFR!BC44,EIOPA_RFR!BC44*(1%+VLOOKUP($B39,Int_Rate_Param,2,FALSE))))</f>
        <v>3.5409999999999997E-2</v>
      </c>
    </row>
    <row r="40" spans="1:55" x14ac:dyDescent="0.25">
      <c r="A40">
        <f t="shared" si="0"/>
        <v>35</v>
      </c>
      <c r="B40" s="95">
        <v>33</v>
      </c>
      <c r="C40" s="94">
        <f>IF($B40&gt;20,IF(EIOPA_RFR!C45*(1%+VLOOKUP($B$27,Int_Rate_Param,2,FALSE))&lt;1%+EIOPA_RFR!C45,1%+EIOPA_RFR!C45,EIOPA_RFR!C45*(1%+VLOOKUP($B$27,Int_Rate_Param,2,FALSE))),IF(EIOPA_RFR!C45*(1%+VLOOKUP($B40,Int_Rate_Param,2,FALSE))&lt;1%+EIOPA_RFR!C45,1%+EIOPA_RFR!C45,EIOPA_RFR!C45*(1%+VLOOKUP($B40,Int_Rate_Param,2,FALSE))))</f>
        <v>3.0420000000000003E-2</v>
      </c>
      <c r="D40" s="94">
        <f>IF($B40&gt;20,IF(EIOPA_RFR!D45*(1%+VLOOKUP($B$27,Int_Rate_Param,2,FALSE))&lt;1%+EIOPA_RFR!D45,1%+EIOPA_RFR!D45,EIOPA_RFR!D45*(1%+VLOOKUP($B$27,Int_Rate_Param,2,FALSE))),IF(EIOPA_RFR!D45*(1%+VLOOKUP($B40,Int_Rate_Param,2,FALSE))&lt;1%+EIOPA_RFR!D45,1%+EIOPA_RFR!D45,EIOPA_RFR!D45*(1%+VLOOKUP($B40,Int_Rate_Param,2,FALSE))))</f>
        <v>3.0420000000000003E-2</v>
      </c>
      <c r="E40" s="94">
        <f>IF($B40&gt;20,IF(EIOPA_RFR!E45*(1%+VLOOKUP($B$27,Int_Rate_Param,2,FALSE))&lt;1%+EIOPA_RFR!E45,1%+EIOPA_RFR!E45,EIOPA_RFR!E45*(1%+VLOOKUP($B$27,Int_Rate_Param,2,FALSE))),IF(EIOPA_RFR!E45*(1%+VLOOKUP($B40,Int_Rate_Param,2,FALSE))&lt;1%+EIOPA_RFR!E45,1%+EIOPA_RFR!E45,EIOPA_RFR!E45*(1%+VLOOKUP($B40,Int_Rate_Param,2,FALSE))))</f>
        <v>3.0420000000000003E-2</v>
      </c>
      <c r="F40" s="94">
        <f>IF($B40&gt;20,IF(EIOPA_RFR!F45*(1%+VLOOKUP($B$27,Int_Rate_Param,2,FALSE))&lt;1%+EIOPA_RFR!F45,1%+EIOPA_RFR!F45,EIOPA_RFR!F45*(1%+VLOOKUP($B$27,Int_Rate_Param,2,FALSE))),IF(EIOPA_RFR!F45*(1%+VLOOKUP($B40,Int_Rate_Param,2,FALSE))&lt;1%+EIOPA_RFR!F45,1%+EIOPA_RFR!F45,EIOPA_RFR!F45*(1%+VLOOKUP($B40,Int_Rate_Param,2,FALSE))))</f>
        <v>3.0030000000000001E-2</v>
      </c>
      <c r="G40" s="94">
        <f>IF($B40&gt;20,IF(EIOPA_RFR!G45*(1%+VLOOKUP($B$27,Int_Rate_Param,2,FALSE))&lt;1%+EIOPA_RFR!G45,1%+EIOPA_RFR!G45,EIOPA_RFR!G45*(1%+VLOOKUP($B$27,Int_Rate_Param,2,FALSE))),IF(EIOPA_RFR!G45*(1%+VLOOKUP($B40,Int_Rate_Param,2,FALSE))&lt;1%+EIOPA_RFR!G45,1%+EIOPA_RFR!G45,EIOPA_RFR!G45*(1%+VLOOKUP($B40,Int_Rate_Param,2,FALSE))))</f>
        <v>4.6310000000000004E-2</v>
      </c>
      <c r="H40" s="94">
        <f>IF($B40&gt;20,IF(EIOPA_RFR!H45*(1%+VLOOKUP($B$27,Int_Rate_Param,2,FALSE))&lt;1%+EIOPA_RFR!H45,1%+EIOPA_RFR!H45,EIOPA_RFR!H45*(1%+VLOOKUP($B$27,Int_Rate_Param,2,FALSE))),IF(EIOPA_RFR!H45*(1%+VLOOKUP($B40,Int_Rate_Param,2,FALSE))&lt;1%+EIOPA_RFR!H45,1%+EIOPA_RFR!H45,EIOPA_RFR!H45*(1%+VLOOKUP($B40,Int_Rate_Param,2,FALSE))))</f>
        <v>3.0420000000000003E-2</v>
      </c>
      <c r="I40" s="94">
        <f>IF($B40&gt;20,IF(EIOPA_RFR!I45*(1%+VLOOKUP($B$27,Int_Rate_Param,2,FALSE))&lt;1%+EIOPA_RFR!I45,1%+EIOPA_RFR!I45,EIOPA_RFR!I45*(1%+VLOOKUP($B$27,Int_Rate_Param,2,FALSE))),IF(EIOPA_RFR!I45*(1%+VLOOKUP($B40,Int_Rate_Param,2,FALSE))&lt;1%+EIOPA_RFR!I45,1%+EIOPA_RFR!I45,EIOPA_RFR!I45*(1%+VLOOKUP($B40,Int_Rate_Param,2,FALSE))))</f>
        <v>3.4500000000000003E-2</v>
      </c>
      <c r="J40" s="94">
        <f>IF($B40&gt;20,IF(EIOPA_RFR!J45*(1%+VLOOKUP($B$27,Int_Rate_Param,2,FALSE))&lt;1%+EIOPA_RFR!J45,1%+EIOPA_RFR!J45,EIOPA_RFR!J45*(1%+VLOOKUP($B$27,Int_Rate_Param,2,FALSE))),IF(EIOPA_RFR!J45*(1%+VLOOKUP($B40,Int_Rate_Param,2,FALSE))&lt;1%+EIOPA_RFR!J45,1%+EIOPA_RFR!J45,EIOPA_RFR!J45*(1%+VLOOKUP($B40,Int_Rate_Param,2,FALSE))))</f>
        <v>3.0339999999999999E-2</v>
      </c>
      <c r="K40" s="94">
        <f>IF($B40&gt;20,IF(EIOPA_RFR!K45*(1%+VLOOKUP($B$27,Int_Rate_Param,2,FALSE))&lt;1%+EIOPA_RFR!K45,1%+EIOPA_RFR!K45,EIOPA_RFR!K45*(1%+VLOOKUP($B$27,Int_Rate_Param,2,FALSE))),IF(EIOPA_RFR!K45*(1%+VLOOKUP($B40,Int_Rate_Param,2,FALSE))&lt;1%+EIOPA_RFR!K45,1%+EIOPA_RFR!K45,EIOPA_RFR!K45*(1%+VLOOKUP($B40,Int_Rate_Param,2,FALSE))))</f>
        <v>3.0420000000000003E-2</v>
      </c>
      <c r="L40" s="94">
        <f>IF($B40&gt;20,IF(EIOPA_RFR!L45*(1%+VLOOKUP($B$27,Int_Rate_Param,2,FALSE))&lt;1%+EIOPA_RFR!L45,1%+EIOPA_RFR!L45,EIOPA_RFR!L45*(1%+VLOOKUP($B$27,Int_Rate_Param,2,FALSE))),IF(EIOPA_RFR!L45*(1%+VLOOKUP($B40,Int_Rate_Param,2,FALSE))&lt;1%+EIOPA_RFR!L45,1%+EIOPA_RFR!L45,EIOPA_RFR!L45*(1%+VLOOKUP($B40,Int_Rate_Param,2,FALSE))))</f>
        <v>3.0420000000000003E-2</v>
      </c>
      <c r="M40" s="94">
        <f>IF($B40&gt;20,IF(EIOPA_RFR!M45*(1%+VLOOKUP($B$27,Int_Rate_Param,2,FALSE))&lt;1%+EIOPA_RFR!M45,1%+EIOPA_RFR!M45,EIOPA_RFR!M45*(1%+VLOOKUP($B$27,Int_Rate_Param,2,FALSE))),IF(EIOPA_RFR!M45*(1%+VLOOKUP($B40,Int_Rate_Param,2,FALSE))&lt;1%+EIOPA_RFR!M45,1%+EIOPA_RFR!M45,EIOPA_RFR!M45*(1%+VLOOKUP($B40,Int_Rate_Param,2,FALSE))))</f>
        <v>3.0420000000000003E-2</v>
      </c>
      <c r="N40" s="94">
        <f>IF($B40&gt;20,IF(EIOPA_RFR!N45*(1%+VLOOKUP($B$27,Int_Rate_Param,2,FALSE))&lt;1%+EIOPA_RFR!N45,1%+EIOPA_RFR!N45,EIOPA_RFR!N45*(1%+VLOOKUP($B$27,Int_Rate_Param,2,FALSE))),IF(EIOPA_RFR!N45*(1%+VLOOKUP($B40,Int_Rate_Param,2,FALSE))&lt;1%+EIOPA_RFR!N45,1%+EIOPA_RFR!N45,EIOPA_RFR!N45*(1%+VLOOKUP($B40,Int_Rate_Param,2,FALSE))))</f>
        <v>3.0420000000000003E-2</v>
      </c>
      <c r="O40" s="94">
        <f>IF($B40&gt;20,IF(EIOPA_RFR!O45*(1%+VLOOKUP($B$27,Int_Rate_Param,2,FALSE))&lt;1%+EIOPA_RFR!O45,1%+EIOPA_RFR!O45,EIOPA_RFR!O45*(1%+VLOOKUP($B$27,Int_Rate_Param,2,FALSE))),IF(EIOPA_RFR!O45*(1%+VLOOKUP($B40,Int_Rate_Param,2,FALSE))&lt;1%+EIOPA_RFR!O45,1%+EIOPA_RFR!O45,EIOPA_RFR!O45*(1%+VLOOKUP($B40,Int_Rate_Param,2,FALSE))))</f>
        <v>3.0420000000000003E-2</v>
      </c>
      <c r="P40" s="94">
        <f>IF($B40&gt;20,IF(EIOPA_RFR!P45*(1%+VLOOKUP($B$27,Int_Rate_Param,2,FALSE))&lt;1%+EIOPA_RFR!P45,1%+EIOPA_RFR!P45,EIOPA_RFR!P45*(1%+VLOOKUP($B$27,Int_Rate_Param,2,FALSE))),IF(EIOPA_RFR!P45*(1%+VLOOKUP($B40,Int_Rate_Param,2,FALSE))&lt;1%+EIOPA_RFR!P45,1%+EIOPA_RFR!P45,EIOPA_RFR!P45*(1%+VLOOKUP($B40,Int_Rate_Param,2,FALSE))))</f>
        <v>5.3450000000000004E-2</v>
      </c>
      <c r="Q40" s="94">
        <f>IF($B40&gt;20,IF(EIOPA_RFR!Q45*(1%+VLOOKUP($B$27,Int_Rate_Param,2,FALSE))&lt;1%+EIOPA_RFR!Q45,1%+EIOPA_RFR!Q45,EIOPA_RFR!Q45*(1%+VLOOKUP($B$27,Int_Rate_Param,2,FALSE))),IF(EIOPA_RFR!Q45*(1%+VLOOKUP($B40,Int_Rate_Param,2,FALSE))&lt;1%+EIOPA_RFR!Q45,1%+EIOPA_RFR!Q45,EIOPA_RFR!Q45*(1%+VLOOKUP($B40,Int_Rate_Param,2,FALSE))))</f>
        <v>5.5220000000000005E-2</v>
      </c>
      <c r="R40" s="94">
        <f>IF($B40&gt;20,IF(EIOPA_RFR!R45*(1%+VLOOKUP($B$27,Int_Rate_Param,2,FALSE))&lt;1%+EIOPA_RFR!R45,1%+EIOPA_RFR!R45,EIOPA_RFR!R45*(1%+VLOOKUP($B$27,Int_Rate_Param,2,FALSE))),IF(EIOPA_RFR!R45*(1%+VLOOKUP($B40,Int_Rate_Param,2,FALSE))&lt;1%+EIOPA_RFR!R45,1%+EIOPA_RFR!R45,EIOPA_RFR!R45*(1%+VLOOKUP($B40,Int_Rate_Param,2,FALSE))))</f>
        <v>3.0420000000000003E-2</v>
      </c>
      <c r="S40" s="94">
        <f>IF($B40&gt;20,IF(EIOPA_RFR!S45*(1%+VLOOKUP($B$27,Int_Rate_Param,2,FALSE))&lt;1%+EIOPA_RFR!S45,1%+EIOPA_RFR!S45,EIOPA_RFR!S45*(1%+VLOOKUP($B$27,Int_Rate_Param,2,FALSE))),IF(EIOPA_RFR!S45*(1%+VLOOKUP($B40,Int_Rate_Param,2,FALSE))&lt;1%+EIOPA_RFR!S45,1%+EIOPA_RFR!S45,EIOPA_RFR!S45*(1%+VLOOKUP($B40,Int_Rate_Param,2,FALSE))))</f>
        <v>3.0420000000000003E-2</v>
      </c>
      <c r="T40" s="94">
        <f>IF($B40&gt;20,IF(EIOPA_RFR!T45*(1%+VLOOKUP($B$27,Int_Rate_Param,2,FALSE))&lt;1%+EIOPA_RFR!T45,1%+EIOPA_RFR!T45,EIOPA_RFR!T45*(1%+VLOOKUP($B$27,Int_Rate_Param,2,FALSE))),IF(EIOPA_RFR!T45*(1%+VLOOKUP($B40,Int_Rate_Param,2,FALSE))&lt;1%+EIOPA_RFR!T45,1%+EIOPA_RFR!T45,EIOPA_RFR!T45*(1%+VLOOKUP($B40,Int_Rate_Param,2,FALSE))))</f>
        <v>3.0420000000000003E-2</v>
      </c>
      <c r="U40" s="94">
        <f>IF($B40&gt;20,IF(EIOPA_RFR!U45*(1%+VLOOKUP($B$27,Int_Rate_Param,2,FALSE))&lt;1%+EIOPA_RFR!U45,1%+EIOPA_RFR!U45,EIOPA_RFR!U45*(1%+VLOOKUP($B$27,Int_Rate_Param,2,FALSE))),IF(EIOPA_RFR!U45*(1%+VLOOKUP($B40,Int_Rate_Param,2,FALSE))&lt;1%+EIOPA_RFR!U45,1%+EIOPA_RFR!U45,EIOPA_RFR!U45*(1%+VLOOKUP($B40,Int_Rate_Param,2,FALSE))))</f>
        <v>1.8529999999999998E-2</v>
      </c>
      <c r="V40" s="94">
        <f>IF($B40&gt;20,IF(EIOPA_RFR!V45*(1%+VLOOKUP($B$27,Int_Rate_Param,2,FALSE))&lt;1%+EIOPA_RFR!V45,1%+EIOPA_RFR!V45,EIOPA_RFR!V45*(1%+VLOOKUP($B$27,Int_Rate_Param,2,FALSE))),IF(EIOPA_RFR!V45*(1%+VLOOKUP($B40,Int_Rate_Param,2,FALSE))&lt;1%+EIOPA_RFR!V45,1%+EIOPA_RFR!V45,EIOPA_RFR!V45*(1%+VLOOKUP($B40,Int_Rate_Param,2,FALSE))))</f>
        <v>3.0420000000000003E-2</v>
      </c>
      <c r="W40" s="94">
        <f>IF($B40&gt;20,IF(EIOPA_RFR!W45*(1%+VLOOKUP($B$27,Int_Rate_Param,2,FALSE))&lt;1%+EIOPA_RFR!W45,1%+EIOPA_RFR!W45,EIOPA_RFR!W45*(1%+VLOOKUP($B$27,Int_Rate_Param,2,FALSE))),IF(EIOPA_RFR!W45*(1%+VLOOKUP($B40,Int_Rate_Param,2,FALSE))&lt;1%+EIOPA_RFR!W45,1%+EIOPA_RFR!W45,EIOPA_RFR!W45*(1%+VLOOKUP($B40,Int_Rate_Param,2,FALSE))))</f>
        <v>3.0420000000000003E-2</v>
      </c>
      <c r="X40" s="94">
        <f>IF($B40&gt;20,IF(EIOPA_RFR!X45*(1%+VLOOKUP($B$27,Int_Rate_Param,2,FALSE))&lt;1%+EIOPA_RFR!X45,1%+EIOPA_RFR!X45,EIOPA_RFR!X45*(1%+VLOOKUP($B$27,Int_Rate_Param,2,FALSE))),IF(EIOPA_RFR!X45*(1%+VLOOKUP($B40,Int_Rate_Param,2,FALSE))&lt;1%+EIOPA_RFR!X45,1%+EIOPA_RFR!X45,EIOPA_RFR!X45*(1%+VLOOKUP($B40,Int_Rate_Param,2,FALSE))))</f>
        <v>3.0420000000000003E-2</v>
      </c>
      <c r="Y40" s="94">
        <f>IF($B40&gt;20,IF(EIOPA_RFR!Y45*(1%+VLOOKUP($B$27,Int_Rate_Param,2,FALSE))&lt;1%+EIOPA_RFR!Y45,1%+EIOPA_RFR!Y45,EIOPA_RFR!Y45*(1%+VLOOKUP($B$27,Int_Rate_Param,2,FALSE))),IF(EIOPA_RFR!Y45*(1%+VLOOKUP($B40,Int_Rate_Param,2,FALSE))&lt;1%+EIOPA_RFR!Y45,1%+EIOPA_RFR!Y45,EIOPA_RFR!Y45*(1%+VLOOKUP($B40,Int_Rate_Param,2,FALSE))))</f>
        <v>3.0420000000000003E-2</v>
      </c>
      <c r="Z40" s="94">
        <f>IF($B40&gt;20,IF(EIOPA_RFR!Z45*(1%+VLOOKUP($B$27,Int_Rate_Param,2,FALSE))&lt;1%+EIOPA_RFR!Z45,1%+EIOPA_RFR!Z45,EIOPA_RFR!Z45*(1%+VLOOKUP($B$27,Int_Rate_Param,2,FALSE))),IF(EIOPA_RFR!Z45*(1%+VLOOKUP($B40,Int_Rate_Param,2,FALSE))&lt;1%+EIOPA_RFR!Z45,1%+EIOPA_RFR!Z45,EIOPA_RFR!Z45*(1%+VLOOKUP($B40,Int_Rate_Param,2,FALSE))))</f>
        <v>4.0439999999999997E-2</v>
      </c>
      <c r="AA40" s="94">
        <f>IF($B40&gt;20,IF(EIOPA_RFR!AA45*(1%+VLOOKUP($B$27,Int_Rate_Param,2,FALSE))&lt;1%+EIOPA_RFR!AA45,1%+EIOPA_RFR!AA45,EIOPA_RFR!AA45*(1%+VLOOKUP($B$27,Int_Rate_Param,2,FALSE))),IF(EIOPA_RFR!AA45*(1%+VLOOKUP($B40,Int_Rate_Param,2,FALSE))&lt;1%+EIOPA_RFR!AA45,1%+EIOPA_RFR!AA45,EIOPA_RFR!AA45*(1%+VLOOKUP($B40,Int_Rate_Param,2,FALSE))))</f>
        <v>5.042E-2</v>
      </c>
      <c r="AB40" s="94">
        <f>IF($B40&gt;20,IF(EIOPA_RFR!AB45*(1%+VLOOKUP($B$27,Int_Rate_Param,2,FALSE))&lt;1%+EIOPA_RFR!AB45,1%+EIOPA_RFR!AB45,EIOPA_RFR!AB45*(1%+VLOOKUP($B$27,Int_Rate_Param,2,FALSE))),IF(EIOPA_RFR!AB45*(1%+VLOOKUP($B40,Int_Rate_Param,2,FALSE))&lt;1%+EIOPA_RFR!AB45,1%+EIOPA_RFR!AB45,EIOPA_RFR!AB45*(1%+VLOOKUP($B40,Int_Rate_Param,2,FALSE))))</f>
        <v>3.0420000000000003E-2</v>
      </c>
      <c r="AC40" s="94">
        <f>IF($B40&gt;20,IF(EIOPA_RFR!AC45*(1%+VLOOKUP($B$27,Int_Rate_Param,2,FALSE))&lt;1%+EIOPA_RFR!AC45,1%+EIOPA_RFR!AC45,EIOPA_RFR!AC45*(1%+VLOOKUP($B$27,Int_Rate_Param,2,FALSE))),IF(EIOPA_RFR!AC45*(1%+VLOOKUP($B40,Int_Rate_Param,2,FALSE))&lt;1%+EIOPA_RFR!AC45,1%+EIOPA_RFR!AC45,EIOPA_RFR!AC45*(1%+VLOOKUP($B40,Int_Rate_Param,2,FALSE))))</f>
        <v>5.389E-2</v>
      </c>
      <c r="AD40" s="94">
        <f>IF($B40&gt;20,IF(EIOPA_RFR!AD45*(1%+VLOOKUP($B$27,Int_Rate_Param,2,FALSE))&lt;1%+EIOPA_RFR!AD45,1%+EIOPA_RFR!AD45,EIOPA_RFR!AD45*(1%+VLOOKUP($B$27,Int_Rate_Param,2,FALSE))),IF(EIOPA_RFR!AD45*(1%+VLOOKUP($B40,Int_Rate_Param,2,FALSE))&lt;1%+EIOPA_RFR!AD45,1%+EIOPA_RFR!AD45,EIOPA_RFR!AD45*(1%+VLOOKUP($B40,Int_Rate_Param,2,FALSE))))</f>
        <v>6.9429999999999992E-2</v>
      </c>
      <c r="AE40" s="94">
        <f>IF($B40&gt;20,IF(EIOPA_RFR!AE45*(1%+VLOOKUP($B$27,Int_Rate_Param,2,FALSE))&lt;1%+EIOPA_RFR!AE45,1%+EIOPA_RFR!AE45,EIOPA_RFR!AE45*(1%+VLOOKUP($B$27,Int_Rate_Param,2,FALSE))),IF(EIOPA_RFR!AE45*(1%+VLOOKUP($B40,Int_Rate_Param,2,FALSE))&lt;1%+EIOPA_RFR!AE45,1%+EIOPA_RFR!AE45,EIOPA_RFR!AE45*(1%+VLOOKUP($B40,Int_Rate_Param,2,FALSE))))</f>
        <v>3.0420000000000003E-2</v>
      </c>
      <c r="AF40" s="94">
        <f>IF($B40&gt;20,IF(EIOPA_RFR!AF45*(1%+VLOOKUP($B$27,Int_Rate_Param,2,FALSE))&lt;1%+EIOPA_RFR!AF45,1%+EIOPA_RFR!AF45,EIOPA_RFR!AF45*(1%+VLOOKUP($B$27,Int_Rate_Param,2,FALSE))),IF(EIOPA_RFR!AF45*(1%+VLOOKUP($B40,Int_Rate_Param,2,FALSE))&lt;1%+EIOPA_RFR!AF45,1%+EIOPA_RFR!AF45,EIOPA_RFR!AF45*(1%+VLOOKUP($B40,Int_Rate_Param,2,FALSE))))</f>
        <v>3.0420000000000003E-2</v>
      </c>
      <c r="AG40" s="94">
        <f>IF($B40&gt;20,IF(EIOPA_RFR!AG45*(1%+VLOOKUP($B$27,Int_Rate_Param,2,FALSE))&lt;1%+EIOPA_RFR!AG45,1%+EIOPA_RFR!AG45,EIOPA_RFR!AG45*(1%+VLOOKUP($B$27,Int_Rate_Param,2,FALSE))),IF(EIOPA_RFR!AG45*(1%+VLOOKUP($B40,Int_Rate_Param,2,FALSE))&lt;1%+EIOPA_RFR!AG45,1%+EIOPA_RFR!AG45,EIOPA_RFR!AG45*(1%+VLOOKUP($B40,Int_Rate_Param,2,FALSE))))</f>
        <v>3.0420000000000003E-2</v>
      </c>
      <c r="AH40" s="94">
        <f>IF($B40&gt;20,IF(EIOPA_RFR!AH45*(1%+VLOOKUP($B$27,Int_Rate_Param,2,FALSE))&lt;1%+EIOPA_RFR!AH45,1%+EIOPA_RFR!AH45,EIOPA_RFR!AH45*(1%+VLOOKUP($B$27,Int_Rate_Param,2,FALSE))),IF(EIOPA_RFR!AH45*(1%+VLOOKUP($B40,Int_Rate_Param,2,FALSE))&lt;1%+EIOPA_RFR!AH45,1%+EIOPA_RFR!AH45,EIOPA_RFR!AH45*(1%+VLOOKUP($B40,Int_Rate_Param,2,FALSE))))</f>
        <v>4.1250000000000002E-2</v>
      </c>
      <c r="AI40" s="94">
        <f>IF($B40&gt;20,IF(EIOPA_RFR!AI45*(1%+VLOOKUP($B$27,Int_Rate_Param,2,FALSE))&lt;1%+EIOPA_RFR!AI45,1%+EIOPA_RFR!AI45,EIOPA_RFR!AI45*(1%+VLOOKUP($B$27,Int_Rate_Param,2,FALSE))),IF(EIOPA_RFR!AI45*(1%+VLOOKUP($B40,Int_Rate_Param,2,FALSE))&lt;1%+EIOPA_RFR!AI45,1%+EIOPA_RFR!AI45,EIOPA_RFR!AI45*(1%+VLOOKUP($B40,Int_Rate_Param,2,FALSE))))</f>
        <v>1.8529999999999998E-2</v>
      </c>
      <c r="AJ40" s="94">
        <f>IF($B40&gt;20,IF(EIOPA_RFR!AJ45*(1%+VLOOKUP($B$27,Int_Rate_Param,2,FALSE))&lt;1%+EIOPA_RFR!AJ45,1%+EIOPA_RFR!AJ45,EIOPA_RFR!AJ45*(1%+VLOOKUP($B$27,Int_Rate_Param,2,FALSE))),IF(EIOPA_RFR!AJ45*(1%+VLOOKUP($B40,Int_Rate_Param,2,FALSE))&lt;1%+EIOPA_RFR!AJ45,1%+EIOPA_RFR!AJ45,EIOPA_RFR!AJ45*(1%+VLOOKUP($B40,Int_Rate_Param,2,FALSE))))</f>
        <v>2.24E-2</v>
      </c>
      <c r="AK40" s="94">
        <f>IF($B40&gt;20,IF(EIOPA_RFR!AK45*(1%+VLOOKUP($B$27,Int_Rate_Param,2,FALSE))&lt;1%+EIOPA_RFR!AK45,1%+EIOPA_RFR!AK45,EIOPA_RFR!AK45*(1%+VLOOKUP($B$27,Int_Rate_Param,2,FALSE))),IF(EIOPA_RFR!AK45*(1%+VLOOKUP($B40,Int_Rate_Param,2,FALSE))&lt;1%+EIOPA_RFR!AK45,1%+EIOPA_RFR!AK45,EIOPA_RFR!AK45*(1%+VLOOKUP($B40,Int_Rate_Param,2,FALSE))))</f>
        <v>4.3360000000000003E-2</v>
      </c>
      <c r="AL40" s="94">
        <f>IF($B40&gt;20,IF(EIOPA_RFR!AL45*(1%+VLOOKUP($B$27,Int_Rate_Param,2,FALSE))&lt;1%+EIOPA_RFR!AL45,1%+EIOPA_RFR!AL45,EIOPA_RFR!AL45*(1%+VLOOKUP($B$27,Int_Rate_Param,2,FALSE))),IF(EIOPA_RFR!AL45*(1%+VLOOKUP($B40,Int_Rate_Param,2,FALSE))&lt;1%+EIOPA_RFR!AL45,1%+EIOPA_RFR!AL45,EIOPA_RFR!AL45*(1%+VLOOKUP($B40,Int_Rate_Param,2,FALSE))))</f>
        <v>8.5529999999999995E-2</v>
      </c>
      <c r="AM40" s="94">
        <f>IF($B40&gt;20,IF(EIOPA_RFR!AM45*(1%+VLOOKUP($B$27,Int_Rate_Param,2,FALSE))&lt;1%+EIOPA_RFR!AM45,1%+EIOPA_RFR!AM45,EIOPA_RFR!AM45*(1%+VLOOKUP($B$27,Int_Rate_Param,2,FALSE))),IF(EIOPA_RFR!AM45*(1%+VLOOKUP($B40,Int_Rate_Param,2,FALSE))&lt;1%+EIOPA_RFR!AM45,1%+EIOPA_RFR!AM45,EIOPA_RFR!AM45*(1%+VLOOKUP($B40,Int_Rate_Param,2,FALSE))))</f>
        <v>3.2930000000000001E-2</v>
      </c>
      <c r="AN40" s="94">
        <f>IF($B40&gt;20,IF(EIOPA_RFR!AN45*(1%+VLOOKUP($B$27,Int_Rate_Param,2,FALSE))&lt;1%+EIOPA_RFR!AN45,1%+EIOPA_RFR!AN45,EIOPA_RFR!AN45*(1%+VLOOKUP($B$27,Int_Rate_Param,2,FALSE))),IF(EIOPA_RFR!AN45*(1%+VLOOKUP($B40,Int_Rate_Param,2,FALSE))&lt;1%+EIOPA_RFR!AN45,1%+EIOPA_RFR!AN45,EIOPA_RFR!AN45*(1%+VLOOKUP($B40,Int_Rate_Param,2,FALSE))))</f>
        <v>5.2560000000000003E-2</v>
      </c>
      <c r="AO40" s="94">
        <f>IF($B40&gt;20,IF(EIOPA_RFR!AO45*(1%+VLOOKUP($B$27,Int_Rate_Param,2,FALSE))&lt;1%+EIOPA_RFR!AO45,1%+EIOPA_RFR!AO45,EIOPA_RFR!AO45*(1%+VLOOKUP($B$27,Int_Rate_Param,2,FALSE))),IF(EIOPA_RFR!AO45*(1%+VLOOKUP($B40,Int_Rate_Param,2,FALSE))&lt;1%+EIOPA_RFR!AO45,1%+EIOPA_RFR!AO45,EIOPA_RFR!AO45*(1%+VLOOKUP($B40,Int_Rate_Param,2,FALSE))))</f>
        <v>5.4060000000000004E-2</v>
      </c>
      <c r="AP40" s="94">
        <f>IF($B40&gt;20,IF(EIOPA_RFR!AP45*(1%+VLOOKUP($B$27,Int_Rate_Param,2,FALSE))&lt;1%+EIOPA_RFR!AP45,1%+EIOPA_RFR!AP45,EIOPA_RFR!AP45*(1%+VLOOKUP($B$27,Int_Rate_Param,2,FALSE))),IF(EIOPA_RFR!AP45*(1%+VLOOKUP($B40,Int_Rate_Param,2,FALSE))&lt;1%+EIOPA_RFR!AP45,1%+EIOPA_RFR!AP45,EIOPA_RFR!AP45*(1%+VLOOKUP($B40,Int_Rate_Param,2,FALSE))))</f>
        <v>6.5309999999999993E-2</v>
      </c>
      <c r="AQ40" s="94">
        <f>IF($B40&gt;20,IF(EIOPA_RFR!AQ45*(1%+VLOOKUP($B$27,Int_Rate_Param,2,FALSE))&lt;1%+EIOPA_RFR!AQ45,1%+EIOPA_RFR!AQ45,EIOPA_RFR!AQ45*(1%+VLOOKUP($B$27,Int_Rate_Param,2,FALSE))),IF(EIOPA_RFR!AQ45*(1%+VLOOKUP($B40,Int_Rate_Param,2,FALSE))&lt;1%+EIOPA_RFR!AQ45,1%+EIOPA_RFR!AQ45,EIOPA_RFR!AQ45*(1%+VLOOKUP($B40,Int_Rate_Param,2,FALSE))))</f>
        <v>4.0969999999999999E-2</v>
      </c>
      <c r="AR40" s="94">
        <f>IF($B40&gt;20,IF(EIOPA_RFR!AR45*(1%+VLOOKUP($B$27,Int_Rate_Param,2,FALSE))&lt;1%+EIOPA_RFR!AR45,1%+EIOPA_RFR!AR45,EIOPA_RFR!AR45*(1%+VLOOKUP($B$27,Int_Rate_Param,2,FALSE))),IF(EIOPA_RFR!AR45*(1%+VLOOKUP($B40,Int_Rate_Param,2,FALSE))&lt;1%+EIOPA_RFR!AR45,1%+EIOPA_RFR!AR45,EIOPA_RFR!AR45*(1%+VLOOKUP($B40,Int_Rate_Param,2,FALSE))))</f>
        <v>7.2929999999999995E-2</v>
      </c>
      <c r="AS40" s="94">
        <f>IF($B40&gt;20,IF(EIOPA_RFR!AS45*(1%+VLOOKUP($B$27,Int_Rate_Param,2,FALSE))&lt;1%+EIOPA_RFR!AS45,1%+EIOPA_RFR!AS45,EIOPA_RFR!AS45*(1%+VLOOKUP($B$27,Int_Rate_Param,2,FALSE))),IF(EIOPA_RFR!AS45*(1%+VLOOKUP($B40,Int_Rate_Param,2,FALSE))&lt;1%+EIOPA_RFR!AS45,1%+EIOPA_RFR!AS45,EIOPA_RFR!AS45*(1%+VLOOKUP($B40,Int_Rate_Param,2,FALSE))))</f>
        <v>1.8450000000000001E-2</v>
      </c>
      <c r="AT40" s="94">
        <f>IF($B40&gt;20,IF(EIOPA_RFR!AT45*(1%+VLOOKUP($B$27,Int_Rate_Param,2,FALSE))&lt;1%+EIOPA_RFR!AT45,1%+EIOPA_RFR!AT45,EIOPA_RFR!AT45*(1%+VLOOKUP($B$27,Int_Rate_Param,2,FALSE))),IF(EIOPA_RFR!AT45*(1%+VLOOKUP($B40,Int_Rate_Param,2,FALSE))&lt;1%+EIOPA_RFR!AT45,1%+EIOPA_RFR!AT45,EIOPA_RFR!AT45*(1%+VLOOKUP($B40,Int_Rate_Param,2,FALSE))))</f>
        <v>5.355E-2</v>
      </c>
      <c r="AU40" s="94">
        <f>IF($B40&gt;20,IF(EIOPA_RFR!AU45*(1%+VLOOKUP($B$27,Int_Rate_Param,2,FALSE))&lt;1%+EIOPA_RFR!AU45,1%+EIOPA_RFR!AU45,EIOPA_RFR!AU45*(1%+VLOOKUP($B$27,Int_Rate_Param,2,FALSE))),IF(EIOPA_RFR!AU45*(1%+VLOOKUP($B40,Int_Rate_Param,2,FALSE))&lt;1%+EIOPA_RFR!AU45,1%+EIOPA_RFR!AU45,EIOPA_RFR!AU45*(1%+VLOOKUP($B40,Int_Rate_Param,2,FALSE))))</f>
        <v>8.4069999999999992E-2</v>
      </c>
      <c r="AV40" s="94">
        <f>IF($B40&gt;20,IF(EIOPA_RFR!AV45*(1%+VLOOKUP($B$27,Int_Rate_Param,2,FALSE))&lt;1%+EIOPA_RFR!AV45,1%+EIOPA_RFR!AV45,EIOPA_RFR!AV45*(1%+VLOOKUP($B$27,Int_Rate_Param,2,FALSE))),IF(EIOPA_RFR!AV45*(1%+VLOOKUP($B40,Int_Rate_Param,2,FALSE))&lt;1%+EIOPA_RFR!AV45,1%+EIOPA_RFR!AV45,EIOPA_RFR!AV45*(1%+VLOOKUP($B40,Int_Rate_Param,2,FALSE))))</f>
        <v>5.169E-2</v>
      </c>
      <c r="AW40" s="94">
        <f>IF($B40&gt;20,IF(EIOPA_RFR!AW45*(1%+VLOOKUP($B$27,Int_Rate_Param,2,FALSE))&lt;1%+EIOPA_RFR!AW45,1%+EIOPA_RFR!AW45,EIOPA_RFR!AW45*(1%+VLOOKUP($B$27,Int_Rate_Param,2,FALSE))),IF(EIOPA_RFR!AW45*(1%+VLOOKUP($B40,Int_Rate_Param,2,FALSE))&lt;1%+EIOPA_RFR!AW45,1%+EIOPA_RFR!AW45,EIOPA_RFR!AW45*(1%+VLOOKUP($B40,Int_Rate_Param,2,FALSE))))</f>
        <v>4.0719999999999999E-2</v>
      </c>
      <c r="AX40" s="94">
        <f>IF($B40&gt;20,IF(EIOPA_RFR!AX45*(1%+VLOOKUP($B$27,Int_Rate_Param,2,FALSE))&lt;1%+EIOPA_RFR!AX45,1%+EIOPA_RFR!AX45,EIOPA_RFR!AX45*(1%+VLOOKUP($B$27,Int_Rate_Param,2,FALSE))),IF(EIOPA_RFR!AX45*(1%+VLOOKUP($B40,Int_Rate_Param,2,FALSE))&lt;1%+EIOPA_RFR!AX45,1%+EIOPA_RFR!AX45,EIOPA_RFR!AX45*(1%+VLOOKUP($B40,Int_Rate_Param,2,FALSE))))</f>
        <v>8.3830000000000002E-2</v>
      </c>
      <c r="AY40" s="94">
        <f>IF($B40&gt;20,IF(EIOPA_RFR!AY45*(1%+VLOOKUP($B$27,Int_Rate_Param,2,FALSE))&lt;1%+EIOPA_RFR!AY45,1%+EIOPA_RFR!AY45,EIOPA_RFR!AY45*(1%+VLOOKUP($B$27,Int_Rate_Param,2,FALSE))),IF(EIOPA_RFR!AY45*(1%+VLOOKUP($B40,Int_Rate_Param,2,FALSE))&lt;1%+EIOPA_RFR!AY45,1%+EIOPA_RFR!AY45,EIOPA_RFR!AY45*(1%+VLOOKUP($B40,Int_Rate_Param,2,FALSE))))</f>
        <v>3.4140000000000004E-2</v>
      </c>
      <c r="AZ40" s="94">
        <f>IF($B40&gt;20,IF(EIOPA_RFR!AZ45*(1%+VLOOKUP($B$27,Int_Rate_Param,2,FALSE))&lt;1%+EIOPA_RFR!AZ45,1%+EIOPA_RFR!AZ45,EIOPA_RFR!AZ45*(1%+VLOOKUP($B$27,Int_Rate_Param,2,FALSE))),IF(EIOPA_RFR!AZ45*(1%+VLOOKUP($B40,Int_Rate_Param,2,FALSE))&lt;1%+EIOPA_RFR!AZ45,1%+EIOPA_RFR!AZ45,EIOPA_RFR!AZ45*(1%+VLOOKUP($B40,Int_Rate_Param,2,FALSE))))</f>
        <v>3.6650000000000002E-2</v>
      </c>
      <c r="BA40" s="94">
        <f>IF($B40&gt;20,IF(EIOPA_RFR!BA45*(1%+VLOOKUP($B$27,Int_Rate_Param,2,FALSE))&lt;1%+EIOPA_RFR!BA45,1%+EIOPA_RFR!BA45,EIOPA_RFR!BA45*(1%+VLOOKUP($B$27,Int_Rate_Param,2,FALSE))),IF(EIOPA_RFR!BA45*(1%+VLOOKUP($B40,Int_Rate_Param,2,FALSE))&lt;1%+EIOPA_RFR!BA45,1%+EIOPA_RFR!BA45,EIOPA_RFR!BA45*(1%+VLOOKUP($B40,Int_Rate_Param,2,FALSE))))</f>
        <v>4.3700000000000003E-2</v>
      </c>
      <c r="BB40" s="94">
        <f>IF($B40&gt;20,IF(EIOPA_RFR!BB45*(1%+VLOOKUP($B$27,Int_Rate_Param,2,FALSE))&lt;1%+EIOPA_RFR!BB45,1%+EIOPA_RFR!BB45,EIOPA_RFR!BB45*(1%+VLOOKUP($B$27,Int_Rate_Param,2,FALSE))),IF(EIOPA_RFR!BB45*(1%+VLOOKUP($B40,Int_Rate_Param,2,FALSE))&lt;1%+EIOPA_RFR!BB45,1%+EIOPA_RFR!BB45,EIOPA_RFR!BB45*(1%+VLOOKUP($B40,Int_Rate_Param,2,FALSE))))</f>
        <v>8.8149999999999992E-2</v>
      </c>
      <c r="BC40" s="94">
        <f>IF($B40&gt;20,IF(EIOPA_RFR!BC45*(1%+VLOOKUP($B$27,Int_Rate_Param,2,FALSE))&lt;1%+EIOPA_RFR!BC45,1%+EIOPA_RFR!BC45,EIOPA_RFR!BC45*(1%+VLOOKUP($B$27,Int_Rate_Param,2,FALSE))),IF(EIOPA_RFR!BC45*(1%+VLOOKUP($B40,Int_Rate_Param,2,FALSE))&lt;1%+EIOPA_RFR!BC45,1%+EIOPA_RFR!BC45,EIOPA_RFR!BC45*(1%+VLOOKUP($B40,Int_Rate_Param,2,FALSE))))</f>
        <v>3.5400000000000001E-2</v>
      </c>
    </row>
    <row r="41" spans="1:55" x14ac:dyDescent="0.25">
      <c r="A41">
        <f t="shared" si="0"/>
        <v>36</v>
      </c>
      <c r="B41" s="95">
        <v>34</v>
      </c>
      <c r="C41" s="94">
        <f>IF($B41&gt;20,IF(EIOPA_RFR!C46*(1%+VLOOKUP($B$27,Int_Rate_Param,2,FALSE))&lt;1%+EIOPA_RFR!C46,1%+EIOPA_RFR!C46,EIOPA_RFR!C46*(1%+VLOOKUP($B$27,Int_Rate_Param,2,FALSE))),IF(EIOPA_RFR!C46*(1%+VLOOKUP($B41,Int_Rate_Param,2,FALSE))&lt;1%+EIOPA_RFR!C46,1%+EIOPA_RFR!C46,EIOPA_RFR!C46*(1%+VLOOKUP($B41,Int_Rate_Param,2,FALSE))))</f>
        <v>3.0949999999999998E-2</v>
      </c>
      <c r="D41" s="94">
        <f>IF($B41&gt;20,IF(EIOPA_RFR!D46*(1%+VLOOKUP($B$27,Int_Rate_Param,2,FALSE))&lt;1%+EIOPA_RFR!D46,1%+EIOPA_RFR!D46,EIOPA_RFR!D46*(1%+VLOOKUP($B$27,Int_Rate_Param,2,FALSE))),IF(EIOPA_RFR!D46*(1%+VLOOKUP($B41,Int_Rate_Param,2,FALSE))&lt;1%+EIOPA_RFR!D46,1%+EIOPA_RFR!D46,EIOPA_RFR!D46*(1%+VLOOKUP($B41,Int_Rate_Param,2,FALSE))))</f>
        <v>3.0949999999999998E-2</v>
      </c>
      <c r="E41" s="94">
        <f>IF($B41&gt;20,IF(EIOPA_RFR!E46*(1%+VLOOKUP($B$27,Int_Rate_Param,2,FALSE))&lt;1%+EIOPA_RFR!E46,1%+EIOPA_RFR!E46,EIOPA_RFR!E46*(1%+VLOOKUP($B$27,Int_Rate_Param,2,FALSE))),IF(EIOPA_RFR!E46*(1%+VLOOKUP($B41,Int_Rate_Param,2,FALSE))&lt;1%+EIOPA_RFR!E46,1%+EIOPA_RFR!E46,EIOPA_RFR!E46*(1%+VLOOKUP($B41,Int_Rate_Param,2,FALSE))))</f>
        <v>3.0949999999999998E-2</v>
      </c>
      <c r="F41" s="94">
        <f>IF($B41&gt;20,IF(EIOPA_RFR!F46*(1%+VLOOKUP($B$27,Int_Rate_Param,2,FALSE))&lt;1%+EIOPA_RFR!F46,1%+EIOPA_RFR!F46,EIOPA_RFR!F46*(1%+VLOOKUP($B$27,Int_Rate_Param,2,FALSE))),IF(EIOPA_RFR!F46*(1%+VLOOKUP($B41,Int_Rate_Param,2,FALSE))&lt;1%+EIOPA_RFR!F46,1%+EIOPA_RFR!F46,EIOPA_RFR!F46*(1%+VLOOKUP($B41,Int_Rate_Param,2,FALSE))))</f>
        <v>3.0580000000000003E-2</v>
      </c>
      <c r="G41" s="94">
        <f>IF($B41&gt;20,IF(EIOPA_RFR!G46*(1%+VLOOKUP($B$27,Int_Rate_Param,2,FALSE))&lt;1%+EIOPA_RFR!G46,1%+EIOPA_RFR!G46,EIOPA_RFR!G46*(1%+VLOOKUP($B$27,Int_Rate_Param,2,FALSE))),IF(EIOPA_RFR!G46*(1%+VLOOKUP($B41,Int_Rate_Param,2,FALSE))&lt;1%+EIOPA_RFR!G46,1%+EIOPA_RFR!G46,EIOPA_RFR!G46*(1%+VLOOKUP($B41,Int_Rate_Param,2,FALSE))))</f>
        <v>4.6450000000000005E-2</v>
      </c>
      <c r="H41" s="94">
        <f>IF($B41&gt;20,IF(EIOPA_RFR!H46*(1%+VLOOKUP($B$27,Int_Rate_Param,2,FALSE))&lt;1%+EIOPA_RFR!H46,1%+EIOPA_RFR!H46,EIOPA_RFR!H46*(1%+VLOOKUP($B$27,Int_Rate_Param,2,FALSE))),IF(EIOPA_RFR!H46*(1%+VLOOKUP($B41,Int_Rate_Param,2,FALSE))&lt;1%+EIOPA_RFR!H46,1%+EIOPA_RFR!H46,EIOPA_RFR!H46*(1%+VLOOKUP($B41,Int_Rate_Param,2,FALSE))))</f>
        <v>3.0949999999999998E-2</v>
      </c>
      <c r="I41" s="94">
        <f>IF($B41&gt;20,IF(EIOPA_RFR!I46*(1%+VLOOKUP($B$27,Int_Rate_Param,2,FALSE))&lt;1%+EIOPA_RFR!I46,1%+EIOPA_RFR!I46,EIOPA_RFR!I46*(1%+VLOOKUP($B$27,Int_Rate_Param,2,FALSE))),IF(EIOPA_RFR!I46*(1%+VLOOKUP($B41,Int_Rate_Param,2,FALSE))&lt;1%+EIOPA_RFR!I46,1%+EIOPA_RFR!I46,EIOPA_RFR!I46*(1%+VLOOKUP($B41,Int_Rate_Param,2,FALSE))))</f>
        <v>3.4950000000000002E-2</v>
      </c>
      <c r="J41" s="94">
        <f>IF($B41&gt;20,IF(EIOPA_RFR!J46*(1%+VLOOKUP($B$27,Int_Rate_Param,2,FALSE))&lt;1%+EIOPA_RFR!J46,1%+EIOPA_RFR!J46,EIOPA_RFR!J46*(1%+VLOOKUP($B$27,Int_Rate_Param,2,FALSE))),IF(EIOPA_RFR!J46*(1%+VLOOKUP($B41,Int_Rate_Param,2,FALSE))&lt;1%+EIOPA_RFR!J46,1%+EIOPA_RFR!J46,EIOPA_RFR!J46*(1%+VLOOKUP($B41,Int_Rate_Param,2,FALSE))))</f>
        <v>3.0879999999999998E-2</v>
      </c>
      <c r="K41" s="94">
        <f>IF($B41&gt;20,IF(EIOPA_RFR!K46*(1%+VLOOKUP($B$27,Int_Rate_Param,2,FALSE))&lt;1%+EIOPA_RFR!K46,1%+EIOPA_RFR!K46,EIOPA_RFR!K46*(1%+VLOOKUP($B$27,Int_Rate_Param,2,FALSE))),IF(EIOPA_RFR!K46*(1%+VLOOKUP($B41,Int_Rate_Param,2,FALSE))&lt;1%+EIOPA_RFR!K46,1%+EIOPA_RFR!K46,EIOPA_RFR!K46*(1%+VLOOKUP($B41,Int_Rate_Param,2,FALSE))))</f>
        <v>3.0949999999999998E-2</v>
      </c>
      <c r="L41" s="94">
        <f>IF($B41&gt;20,IF(EIOPA_RFR!L46*(1%+VLOOKUP($B$27,Int_Rate_Param,2,FALSE))&lt;1%+EIOPA_RFR!L46,1%+EIOPA_RFR!L46,EIOPA_RFR!L46*(1%+VLOOKUP($B$27,Int_Rate_Param,2,FALSE))),IF(EIOPA_RFR!L46*(1%+VLOOKUP($B41,Int_Rate_Param,2,FALSE))&lt;1%+EIOPA_RFR!L46,1%+EIOPA_RFR!L46,EIOPA_RFR!L46*(1%+VLOOKUP($B41,Int_Rate_Param,2,FALSE))))</f>
        <v>3.0949999999999998E-2</v>
      </c>
      <c r="M41" s="94">
        <f>IF($B41&gt;20,IF(EIOPA_RFR!M46*(1%+VLOOKUP($B$27,Int_Rate_Param,2,FALSE))&lt;1%+EIOPA_RFR!M46,1%+EIOPA_RFR!M46,EIOPA_RFR!M46*(1%+VLOOKUP($B$27,Int_Rate_Param,2,FALSE))),IF(EIOPA_RFR!M46*(1%+VLOOKUP($B41,Int_Rate_Param,2,FALSE))&lt;1%+EIOPA_RFR!M46,1%+EIOPA_RFR!M46,EIOPA_RFR!M46*(1%+VLOOKUP($B41,Int_Rate_Param,2,FALSE))))</f>
        <v>3.0949999999999998E-2</v>
      </c>
      <c r="N41" s="94">
        <f>IF($B41&gt;20,IF(EIOPA_RFR!N46*(1%+VLOOKUP($B$27,Int_Rate_Param,2,FALSE))&lt;1%+EIOPA_RFR!N46,1%+EIOPA_RFR!N46,EIOPA_RFR!N46*(1%+VLOOKUP($B$27,Int_Rate_Param,2,FALSE))),IF(EIOPA_RFR!N46*(1%+VLOOKUP($B41,Int_Rate_Param,2,FALSE))&lt;1%+EIOPA_RFR!N46,1%+EIOPA_RFR!N46,EIOPA_RFR!N46*(1%+VLOOKUP($B41,Int_Rate_Param,2,FALSE))))</f>
        <v>3.0949999999999998E-2</v>
      </c>
      <c r="O41" s="94">
        <f>IF($B41&gt;20,IF(EIOPA_RFR!O46*(1%+VLOOKUP($B$27,Int_Rate_Param,2,FALSE))&lt;1%+EIOPA_RFR!O46,1%+EIOPA_RFR!O46,EIOPA_RFR!O46*(1%+VLOOKUP($B$27,Int_Rate_Param,2,FALSE))),IF(EIOPA_RFR!O46*(1%+VLOOKUP($B41,Int_Rate_Param,2,FALSE))&lt;1%+EIOPA_RFR!O46,1%+EIOPA_RFR!O46,EIOPA_RFR!O46*(1%+VLOOKUP($B41,Int_Rate_Param,2,FALSE))))</f>
        <v>3.0949999999999998E-2</v>
      </c>
      <c r="P41" s="94">
        <f>IF($B41&gt;20,IF(EIOPA_RFR!P46*(1%+VLOOKUP($B$27,Int_Rate_Param,2,FALSE))&lt;1%+EIOPA_RFR!P46,1%+EIOPA_RFR!P46,EIOPA_RFR!P46*(1%+VLOOKUP($B$27,Int_Rate_Param,2,FALSE))),IF(EIOPA_RFR!P46*(1%+VLOOKUP($B41,Int_Rate_Param,2,FALSE))&lt;1%+EIOPA_RFR!P46,1%+EIOPA_RFR!P46,EIOPA_RFR!P46*(1%+VLOOKUP($B41,Int_Rate_Param,2,FALSE))))</f>
        <v>5.3460000000000001E-2</v>
      </c>
      <c r="Q41" s="94">
        <f>IF($B41&gt;20,IF(EIOPA_RFR!Q46*(1%+VLOOKUP($B$27,Int_Rate_Param,2,FALSE))&lt;1%+EIOPA_RFR!Q46,1%+EIOPA_RFR!Q46,EIOPA_RFR!Q46*(1%+VLOOKUP($B$27,Int_Rate_Param,2,FALSE))),IF(EIOPA_RFR!Q46*(1%+VLOOKUP($B41,Int_Rate_Param,2,FALSE))&lt;1%+EIOPA_RFR!Q46,1%+EIOPA_RFR!Q46,EIOPA_RFR!Q46*(1%+VLOOKUP($B41,Int_Rate_Param,2,FALSE))))</f>
        <v>5.5150000000000005E-2</v>
      </c>
      <c r="R41" s="94">
        <f>IF($B41&gt;20,IF(EIOPA_RFR!R46*(1%+VLOOKUP($B$27,Int_Rate_Param,2,FALSE))&lt;1%+EIOPA_RFR!R46,1%+EIOPA_RFR!R46,EIOPA_RFR!R46*(1%+VLOOKUP($B$27,Int_Rate_Param,2,FALSE))),IF(EIOPA_RFR!R46*(1%+VLOOKUP($B41,Int_Rate_Param,2,FALSE))&lt;1%+EIOPA_RFR!R46,1%+EIOPA_RFR!R46,EIOPA_RFR!R46*(1%+VLOOKUP($B41,Int_Rate_Param,2,FALSE))))</f>
        <v>3.0949999999999998E-2</v>
      </c>
      <c r="S41" s="94">
        <f>IF($B41&gt;20,IF(EIOPA_RFR!S46*(1%+VLOOKUP($B$27,Int_Rate_Param,2,FALSE))&lt;1%+EIOPA_RFR!S46,1%+EIOPA_RFR!S46,EIOPA_RFR!S46*(1%+VLOOKUP($B$27,Int_Rate_Param,2,FALSE))),IF(EIOPA_RFR!S46*(1%+VLOOKUP($B41,Int_Rate_Param,2,FALSE))&lt;1%+EIOPA_RFR!S46,1%+EIOPA_RFR!S46,EIOPA_RFR!S46*(1%+VLOOKUP($B41,Int_Rate_Param,2,FALSE))))</f>
        <v>3.0949999999999998E-2</v>
      </c>
      <c r="T41" s="94">
        <f>IF($B41&gt;20,IF(EIOPA_RFR!T46*(1%+VLOOKUP($B$27,Int_Rate_Param,2,FALSE))&lt;1%+EIOPA_RFR!T46,1%+EIOPA_RFR!T46,EIOPA_RFR!T46*(1%+VLOOKUP($B$27,Int_Rate_Param,2,FALSE))),IF(EIOPA_RFR!T46*(1%+VLOOKUP($B41,Int_Rate_Param,2,FALSE))&lt;1%+EIOPA_RFR!T46,1%+EIOPA_RFR!T46,EIOPA_RFR!T46*(1%+VLOOKUP($B41,Int_Rate_Param,2,FALSE))))</f>
        <v>3.0949999999999998E-2</v>
      </c>
      <c r="U41" s="94">
        <f>IF($B41&gt;20,IF(EIOPA_RFR!U46*(1%+VLOOKUP($B$27,Int_Rate_Param,2,FALSE))&lt;1%+EIOPA_RFR!U46,1%+EIOPA_RFR!U46,EIOPA_RFR!U46*(1%+VLOOKUP($B$27,Int_Rate_Param,2,FALSE))),IF(EIOPA_RFR!U46*(1%+VLOOKUP($B41,Int_Rate_Param,2,FALSE))&lt;1%+EIOPA_RFR!U46,1%+EIOPA_RFR!U46,EIOPA_RFR!U46*(1%+VLOOKUP($B41,Int_Rate_Param,2,FALSE))))</f>
        <v>1.9029999999999998E-2</v>
      </c>
      <c r="V41" s="94">
        <f>IF($B41&gt;20,IF(EIOPA_RFR!V46*(1%+VLOOKUP($B$27,Int_Rate_Param,2,FALSE))&lt;1%+EIOPA_RFR!V46,1%+EIOPA_RFR!V46,EIOPA_RFR!V46*(1%+VLOOKUP($B$27,Int_Rate_Param,2,FALSE))),IF(EIOPA_RFR!V46*(1%+VLOOKUP($B41,Int_Rate_Param,2,FALSE))&lt;1%+EIOPA_RFR!V46,1%+EIOPA_RFR!V46,EIOPA_RFR!V46*(1%+VLOOKUP($B41,Int_Rate_Param,2,FALSE))))</f>
        <v>3.0949999999999998E-2</v>
      </c>
      <c r="W41" s="94">
        <f>IF($B41&gt;20,IF(EIOPA_RFR!W46*(1%+VLOOKUP($B$27,Int_Rate_Param,2,FALSE))&lt;1%+EIOPA_RFR!W46,1%+EIOPA_RFR!W46,EIOPA_RFR!W46*(1%+VLOOKUP($B$27,Int_Rate_Param,2,FALSE))),IF(EIOPA_RFR!W46*(1%+VLOOKUP($B41,Int_Rate_Param,2,FALSE))&lt;1%+EIOPA_RFR!W46,1%+EIOPA_RFR!W46,EIOPA_RFR!W46*(1%+VLOOKUP($B41,Int_Rate_Param,2,FALSE))))</f>
        <v>3.0949999999999998E-2</v>
      </c>
      <c r="X41" s="94">
        <f>IF($B41&gt;20,IF(EIOPA_RFR!X46*(1%+VLOOKUP($B$27,Int_Rate_Param,2,FALSE))&lt;1%+EIOPA_RFR!X46,1%+EIOPA_RFR!X46,EIOPA_RFR!X46*(1%+VLOOKUP($B$27,Int_Rate_Param,2,FALSE))),IF(EIOPA_RFR!X46*(1%+VLOOKUP($B41,Int_Rate_Param,2,FALSE))&lt;1%+EIOPA_RFR!X46,1%+EIOPA_RFR!X46,EIOPA_RFR!X46*(1%+VLOOKUP($B41,Int_Rate_Param,2,FALSE))))</f>
        <v>3.0949999999999998E-2</v>
      </c>
      <c r="Y41" s="94">
        <f>IF($B41&gt;20,IF(EIOPA_RFR!Y46*(1%+VLOOKUP($B$27,Int_Rate_Param,2,FALSE))&lt;1%+EIOPA_RFR!Y46,1%+EIOPA_RFR!Y46,EIOPA_RFR!Y46*(1%+VLOOKUP($B$27,Int_Rate_Param,2,FALSE))),IF(EIOPA_RFR!Y46*(1%+VLOOKUP($B41,Int_Rate_Param,2,FALSE))&lt;1%+EIOPA_RFR!Y46,1%+EIOPA_RFR!Y46,EIOPA_RFR!Y46*(1%+VLOOKUP($B41,Int_Rate_Param,2,FALSE))))</f>
        <v>3.0949999999999998E-2</v>
      </c>
      <c r="Z41" s="94">
        <f>IF($B41&gt;20,IF(EIOPA_RFR!Z46*(1%+VLOOKUP($B$27,Int_Rate_Param,2,FALSE))&lt;1%+EIOPA_RFR!Z46,1%+EIOPA_RFR!Z46,EIOPA_RFR!Z46*(1%+VLOOKUP($B$27,Int_Rate_Param,2,FALSE))),IF(EIOPA_RFR!Z46*(1%+VLOOKUP($B41,Int_Rate_Param,2,FALSE))&lt;1%+EIOPA_RFR!Z46,1%+EIOPA_RFR!Z46,EIOPA_RFR!Z46*(1%+VLOOKUP($B41,Int_Rate_Param,2,FALSE))))</f>
        <v>4.0739999999999998E-2</v>
      </c>
      <c r="AA41" s="94">
        <f>IF($B41&gt;20,IF(EIOPA_RFR!AA46*(1%+VLOOKUP($B$27,Int_Rate_Param,2,FALSE))&lt;1%+EIOPA_RFR!AA46,1%+EIOPA_RFR!AA46,EIOPA_RFR!AA46*(1%+VLOOKUP($B$27,Int_Rate_Param,2,FALSE))),IF(EIOPA_RFR!AA46*(1%+VLOOKUP($B41,Int_Rate_Param,2,FALSE))&lt;1%+EIOPA_RFR!AA46,1%+EIOPA_RFR!AA46,EIOPA_RFR!AA46*(1%+VLOOKUP($B41,Int_Rate_Param,2,FALSE))))</f>
        <v>5.049E-2</v>
      </c>
      <c r="AB41" s="94">
        <f>IF($B41&gt;20,IF(EIOPA_RFR!AB46*(1%+VLOOKUP($B$27,Int_Rate_Param,2,FALSE))&lt;1%+EIOPA_RFR!AB46,1%+EIOPA_RFR!AB46,EIOPA_RFR!AB46*(1%+VLOOKUP($B$27,Int_Rate_Param,2,FALSE))),IF(EIOPA_RFR!AB46*(1%+VLOOKUP($B41,Int_Rate_Param,2,FALSE))&lt;1%+EIOPA_RFR!AB46,1%+EIOPA_RFR!AB46,EIOPA_RFR!AB46*(1%+VLOOKUP($B41,Int_Rate_Param,2,FALSE))))</f>
        <v>3.0949999999999998E-2</v>
      </c>
      <c r="AC41" s="94">
        <f>IF($B41&gt;20,IF(EIOPA_RFR!AC46*(1%+VLOOKUP($B$27,Int_Rate_Param,2,FALSE))&lt;1%+EIOPA_RFR!AC46,1%+EIOPA_RFR!AC46,EIOPA_RFR!AC46*(1%+VLOOKUP($B$27,Int_Rate_Param,2,FALSE))),IF(EIOPA_RFR!AC46*(1%+VLOOKUP($B41,Int_Rate_Param,2,FALSE))&lt;1%+EIOPA_RFR!AC46,1%+EIOPA_RFR!AC46,EIOPA_RFR!AC46*(1%+VLOOKUP($B41,Int_Rate_Param,2,FALSE))))</f>
        <v>5.3870000000000001E-2</v>
      </c>
      <c r="AD41" s="94">
        <f>IF($B41&gt;20,IF(EIOPA_RFR!AD46*(1%+VLOOKUP($B$27,Int_Rate_Param,2,FALSE))&lt;1%+EIOPA_RFR!AD46,1%+EIOPA_RFR!AD46,EIOPA_RFR!AD46*(1%+VLOOKUP($B$27,Int_Rate_Param,2,FALSE))),IF(EIOPA_RFR!AD46*(1%+VLOOKUP($B41,Int_Rate_Param,2,FALSE))&lt;1%+EIOPA_RFR!AD46,1%+EIOPA_RFR!AD46,EIOPA_RFR!AD46*(1%+VLOOKUP($B41,Int_Rate_Param,2,FALSE))))</f>
        <v>6.8970000000000004E-2</v>
      </c>
      <c r="AE41" s="94">
        <f>IF($B41&gt;20,IF(EIOPA_RFR!AE46*(1%+VLOOKUP($B$27,Int_Rate_Param,2,FALSE))&lt;1%+EIOPA_RFR!AE46,1%+EIOPA_RFR!AE46,EIOPA_RFR!AE46*(1%+VLOOKUP($B$27,Int_Rate_Param,2,FALSE))),IF(EIOPA_RFR!AE46*(1%+VLOOKUP($B41,Int_Rate_Param,2,FALSE))&lt;1%+EIOPA_RFR!AE46,1%+EIOPA_RFR!AE46,EIOPA_RFR!AE46*(1%+VLOOKUP($B41,Int_Rate_Param,2,FALSE))))</f>
        <v>3.0949999999999998E-2</v>
      </c>
      <c r="AF41" s="94">
        <f>IF($B41&gt;20,IF(EIOPA_RFR!AF46*(1%+VLOOKUP($B$27,Int_Rate_Param,2,FALSE))&lt;1%+EIOPA_RFR!AF46,1%+EIOPA_RFR!AF46,EIOPA_RFR!AF46*(1%+VLOOKUP($B$27,Int_Rate_Param,2,FALSE))),IF(EIOPA_RFR!AF46*(1%+VLOOKUP($B41,Int_Rate_Param,2,FALSE))&lt;1%+EIOPA_RFR!AF46,1%+EIOPA_RFR!AF46,EIOPA_RFR!AF46*(1%+VLOOKUP($B41,Int_Rate_Param,2,FALSE))))</f>
        <v>3.0949999999999998E-2</v>
      </c>
      <c r="AG41" s="94">
        <f>IF($B41&gt;20,IF(EIOPA_RFR!AG46*(1%+VLOOKUP($B$27,Int_Rate_Param,2,FALSE))&lt;1%+EIOPA_RFR!AG46,1%+EIOPA_RFR!AG46,EIOPA_RFR!AG46*(1%+VLOOKUP($B$27,Int_Rate_Param,2,FALSE))),IF(EIOPA_RFR!AG46*(1%+VLOOKUP($B41,Int_Rate_Param,2,FALSE))&lt;1%+EIOPA_RFR!AG46,1%+EIOPA_RFR!AG46,EIOPA_RFR!AG46*(1%+VLOOKUP($B41,Int_Rate_Param,2,FALSE))))</f>
        <v>3.0949999999999998E-2</v>
      </c>
      <c r="AH41" s="94">
        <f>IF($B41&gt;20,IF(EIOPA_RFR!AH46*(1%+VLOOKUP($B$27,Int_Rate_Param,2,FALSE))&lt;1%+EIOPA_RFR!AH46,1%+EIOPA_RFR!AH46,EIOPA_RFR!AH46*(1%+VLOOKUP($B$27,Int_Rate_Param,2,FALSE))),IF(EIOPA_RFR!AH46*(1%+VLOOKUP($B41,Int_Rate_Param,2,FALSE))&lt;1%+EIOPA_RFR!AH46,1%+EIOPA_RFR!AH46,EIOPA_RFR!AH46*(1%+VLOOKUP($B41,Int_Rate_Param,2,FALSE))))</f>
        <v>4.156E-2</v>
      </c>
      <c r="AI41" s="94">
        <f>IF($B41&gt;20,IF(EIOPA_RFR!AI46*(1%+VLOOKUP($B$27,Int_Rate_Param,2,FALSE))&lt;1%+EIOPA_RFR!AI46,1%+EIOPA_RFR!AI46,EIOPA_RFR!AI46*(1%+VLOOKUP($B$27,Int_Rate_Param,2,FALSE))),IF(EIOPA_RFR!AI46*(1%+VLOOKUP($B41,Int_Rate_Param,2,FALSE))&lt;1%+EIOPA_RFR!AI46,1%+EIOPA_RFR!AI46,EIOPA_RFR!AI46*(1%+VLOOKUP($B41,Int_Rate_Param,2,FALSE))))</f>
        <v>1.9029999999999998E-2</v>
      </c>
      <c r="AJ41" s="94">
        <f>IF($B41&gt;20,IF(EIOPA_RFR!AJ46*(1%+VLOOKUP($B$27,Int_Rate_Param,2,FALSE))&lt;1%+EIOPA_RFR!AJ46,1%+EIOPA_RFR!AJ46,EIOPA_RFR!AJ46*(1%+VLOOKUP($B$27,Int_Rate_Param,2,FALSE))),IF(EIOPA_RFR!AJ46*(1%+VLOOKUP($B41,Int_Rate_Param,2,FALSE))&lt;1%+EIOPA_RFR!AJ46,1%+EIOPA_RFR!AJ46,EIOPA_RFR!AJ46*(1%+VLOOKUP($B41,Int_Rate_Param,2,FALSE))))</f>
        <v>2.231E-2</v>
      </c>
      <c r="AK41" s="94">
        <f>IF($B41&gt;20,IF(EIOPA_RFR!AK46*(1%+VLOOKUP($B$27,Int_Rate_Param,2,FALSE))&lt;1%+EIOPA_RFR!AK46,1%+EIOPA_RFR!AK46,EIOPA_RFR!AK46*(1%+VLOOKUP($B$27,Int_Rate_Param,2,FALSE))),IF(EIOPA_RFR!AK46*(1%+VLOOKUP($B41,Int_Rate_Param,2,FALSE))&lt;1%+EIOPA_RFR!AK46,1%+EIOPA_RFR!AK46,EIOPA_RFR!AK46*(1%+VLOOKUP($B41,Int_Rate_Param,2,FALSE))))</f>
        <v>4.3450000000000003E-2</v>
      </c>
      <c r="AL41" s="94">
        <f>IF($B41&gt;20,IF(EIOPA_RFR!AL46*(1%+VLOOKUP($B$27,Int_Rate_Param,2,FALSE))&lt;1%+EIOPA_RFR!AL46,1%+EIOPA_RFR!AL46,EIOPA_RFR!AL46*(1%+VLOOKUP($B$27,Int_Rate_Param,2,FALSE))),IF(EIOPA_RFR!AL46*(1%+VLOOKUP($B41,Int_Rate_Param,2,FALSE))&lt;1%+EIOPA_RFR!AL46,1%+EIOPA_RFR!AL46,EIOPA_RFR!AL46*(1%+VLOOKUP($B41,Int_Rate_Param,2,FALSE))))</f>
        <v>8.4919999999999995E-2</v>
      </c>
      <c r="AM41" s="94">
        <f>IF($B41&gt;20,IF(EIOPA_RFR!AM46*(1%+VLOOKUP($B$27,Int_Rate_Param,2,FALSE))&lt;1%+EIOPA_RFR!AM46,1%+EIOPA_RFR!AM46,EIOPA_RFR!AM46*(1%+VLOOKUP($B$27,Int_Rate_Param,2,FALSE))),IF(EIOPA_RFR!AM46*(1%+VLOOKUP($B41,Int_Rate_Param,2,FALSE))&lt;1%+EIOPA_RFR!AM46,1%+EIOPA_RFR!AM46,EIOPA_RFR!AM46*(1%+VLOOKUP($B41,Int_Rate_Param,2,FALSE))))</f>
        <v>3.32E-2</v>
      </c>
      <c r="AN41" s="94">
        <f>IF($B41&gt;20,IF(EIOPA_RFR!AN46*(1%+VLOOKUP($B$27,Int_Rate_Param,2,FALSE))&lt;1%+EIOPA_RFR!AN46,1%+EIOPA_RFR!AN46,EIOPA_RFR!AN46*(1%+VLOOKUP($B$27,Int_Rate_Param,2,FALSE))),IF(EIOPA_RFR!AN46*(1%+VLOOKUP($B41,Int_Rate_Param,2,FALSE))&lt;1%+EIOPA_RFR!AN46,1%+EIOPA_RFR!AN46,EIOPA_RFR!AN46*(1%+VLOOKUP($B41,Int_Rate_Param,2,FALSE))))</f>
        <v>5.2569999999999999E-2</v>
      </c>
      <c r="AO41" s="94">
        <f>IF($B41&gt;20,IF(EIOPA_RFR!AO46*(1%+VLOOKUP($B$27,Int_Rate_Param,2,FALSE))&lt;1%+EIOPA_RFR!AO46,1%+EIOPA_RFR!AO46,EIOPA_RFR!AO46*(1%+VLOOKUP($B$27,Int_Rate_Param,2,FALSE))),IF(EIOPA_RFR!AO46*(1%+VLOOKUP($B41,Int_Rate_Param,2,FALSE))&lt;1%+EIOPA_RFR!AO46,1%+EIOPA_RFR!AO46,EIOPA_RFR!AO46*(1%+VLOOKUP($B41,Int_Rate_Param,2,FALSE))))</f>
        <v>5.4030000000000002E-2</v>
      </c>
      <c r="AP41" s="94">
        <f>IF($B41&gt;20,IF(EIOPA_RFR!AP46*(1%+VLOOKUP($B$27,Int_Rate_Param,2,FALSE))&lt;1%+EIOPA_RFR!AP46,1%+EIOPA_RFR!AP46,EIOPA_RFR!AP46*(1%+VLOOKUP($B$27,Int_Rate_Param,2,FALSE))),IF(EIOPA_RFR!AP46*(1%+VLOOKUP($B41,Int_Rate_Param,2,FALSE))&lt;1%+EIOPA_RFR!AP46,1%+EIOPA_RFR!AP46,EIOPA_RFR!AP46*(1%+VLOOKUP($B41,Int_Rate_Param,2,FALSE))))</f>
        <v>6.4979999999999996E-2</v>
      </c>
      <c r="AQ41" s="94">
        <f>IF($B41&gt;20,IF(EIOPA_RFR!AQ46*(1%+VLOOKUP($B$27,Int_Rate_Param,2,FALSE))&lt;1%+EIOPA_RFR!AQ46,1%+EIOPA_RFR!AQ46,EIOPA_RFR!AQ46*(1%+VLOOKUP($B$27,Int_Rate_Param,2,FALSE))),IF(EIOPA_RFR!AQ46*(1%+VLOOKUP($B41,Int_Rate_Param,2,FALSE))&lt;1%+EIOPA_RFR!AQ46,1%+EIOPA_RFR!AQ46,EIOPA_RFR!AQ46*(1%+VLOOKUP($B41,Int_Rate_Param,2,FALSE))))</f>
        <v>4.1250000000000002E-2</v>
      </c>
      <c r="AR41" s="94">
        <f>IF($B41&gt;20,IF(EIOPA_RFR!AR46*(1%+VLOOKUP($B$27,Int_Rate_Param,2,FALSE))&lt;1%+EIOPA_RFR!AR46,1%+EIOPA_RFR!AR46,EIOPA_RFR!AR46*(1%+VLOOKUP($B$27,Int_Rate_Param,2,FALSE))),IF(EIOPA_RFR!AR46*(1%+VLOOKUP($B41,Int_Rate_Param,2,FALSE))&lt;1%+EIOPA_RFR!AR46,1%+EIOPA_RFR!AR46,EIOPA_RFR!AR46*(1%+VLOOKUP($B41,Int_Rate_Param,2,FALSE))))</f>
        <v>7.2669999999999998E-2</v>
      </c>
      <c r="AS41" s="94">
        <f>IF($B41&gt;20,IF(EIOPA_RFR!AS46*(1%+VLOOKUP($B$27,Int_Rate_Param,2,FALSE))&lt;1%+EIOPA_RFR!AS46,1%+EIOPA_RFR!AS46,EIOPA_RFR!AS46*(1%+VLOOKUP($B$27,Int_Rate_Param,2,FALSE))),IF(EIOPA_RFR!AS46*(1%+VLOOKUP($B41,Int_Rate_Param,2,FALSE))&lt;1%+EIOPA_RFR!AS46,1%+EIOPA_RFR!AS46,EIOPA_RFR!AS46*(1%+VLOOKUP($B41,Int_Rate_Param,2,FALSE))))</f>
        <v>1.881E-2</v>
      </c>
      <c r="AT41" s="94">
        <f>IF($B41&gt;20,IF(EIOPA_RFR!AT46*(1%+VLOOKUP($B$27,Int_Rate_Param,2,FALSE))&lt;1%+EIOPA_RFR!AT46,1%+EIOPA_RFR!AT46,EIOPA_RFR!AT46*(1%+VLOOKUP($B$27,Int_Rate_Param,2,FALSE))),IF(EIOPA_RFR!AT46*(1%+VLOOKUP($B41,Int_Rate_Param,2,FALSE))&lt;1%+EIOPA_RFR!AT46,1%+EIOPA_RFR!AT46,EIOPA_RFR!AT46*(1%+VLOOKUP($B41,Int_Rate_Param,2,FALSE))))</f>
        <v>5.3530000000000001E-2</v>
      </c>
      <c r="AU41" s="94">
        <f>IF($B41&gt;20,IF(EIOPA_RFR!AU46*(1%+VLOOKUP($B$27,Int_Rate_Param,2,FALSE))&lt;1%+EIOPA_RFR!AU46,1%+EIOPA_RFR!AU46,EIOPA_RFR!AU46*(1%+VLOOKUP($B$27,Int_Rate_Param,2,FALSE))),IF(EIOPA_RFR!AU46*(1%+VLOOKUP($B41,Int_Rate_Param,2,FALSE))&lt;1%+EIOPA_RFR!AU46,1%+EIOPA_RFR!AU46,EIOPA_RFR!AU46*(1%+VLOOKUP($B41,Int_Rate_Param,2,FALSE))))</f>
        <v>8.3559999999999995E-2</v>
      </c>
      <c r="AV41" s="94">
        <f>IF($B41&gt;20,IF(EIOPA_RFR!AV46*(1%+VLOOKUP($B$27,Int_Rate_Param,2,FALSE))&lt;1%+EIOPA_RFR!AV46,1%+EIOPA_RFR!AV46,EIOPA_RFR!AV46*(1%+VLOOKUP($B$27,Int_Rate_Param,2,FALSE))),IF(EIOPA_RFR!AV46*(1%+VLOOKUP($B41,Int_Rate_Param,2,FALSE))&lt;1%+EIOPA_RFR!AV46,1%+EIOPA_RFR!AV46,EIOPA_RFR!AV46*(1%+VLOOKUP($B41,Int_Rate_Param,2,FALSE))))</f>
        <v>5.1740000000000001E-2</v>
      </c>
      <c r="AW41" s="94">
        <f>IF($B41&gt;20,IF(EIOPA_RFR!AW46*(1%+VLOOKUP($B$27,Int_Rate_Param,2,FALSE))&lt;1%+EIOPA_RFR!AW46,1%+EIOPA_RFR!AW46,EIOPA_RFR!AW46*(1%+VLOOKUP($B$27,Int_Rate_Param,2,FALSE))),IF(EIOPA_RFR!AW46*(1%+VLOOKUP($B41,Int_Rate_Param,2,FALSE))&lt;1%+EIOPA_RFR!AW46,1%+EIOPA_RFR!AW46,EIOPA_RFR!AW46*(1%+VLOOKUP($B41,Int_Rate_Param,2,FALSE))))</f>
        <v>4.0989999999999999E-2</v>
      </c>
      <c r="AX41" s="94">
        <f>IF($B41&gt;20,IF(EIOPA_RFR!AX46*(1%+VLOOKUP($B$27,Int_Rate_Param,2,FALSE))&lt;1%+EIOPA_RFR!AX46,1%+EIOPA_RFR!AX46,EIOPA_RFR!AX46*(1%+VLOOKUP($B$27,Int_Rate_Param,2,FALSE))),IF(EIOPA_RFR!AX46*(1%+VLOOKUP($B41,Int_Rate_Param,2,FALSE))&lt;1%+EIOPA_RFR!AX46,1%+EIOPA_RFR!AX46,EIOPA_RFR!AX46*(1%+VLOOKUP($B41,Int_Rate_Param,2,FALSE))))</f>
        <v>8.3279999999999993E-2</v>
      </c>
      <c r="AY41" s="94">
        <f>IF($B41&gt;20,IF(EIOPA_RFR!AY46*(1%+VLOOKUP($B$27,Int_Rate_Param,2,FALSE))&lt;1%+EIOPA_RFR!AY46,1%+EIOPA_RFR!AY46,EIOPA_RFR!AY46*(1%+VLOOKUP($B$27,Int_Rate_Param,2,FALSE))),IF(EIOPA_RFR!AY46*(1%+VLOOKUP($B41,Int_Rate_Param,2,FALSE))&lt;1%+EIOPA_RFR!AY46,1%+EIOPA_RFR!AY46,EIOPA_RFR!AY46*(1%+VLOOKUP($B41,Int_Rate_Param,2,FALSE))))</f>
        <v>3.4570000000000004E-2</v>
      </c>
      <c r="AZ41" s="94">
        <f>IF($B41&gt;20,IF(EIOPA_RFR!AZ46*(1%+VLOOKUP($B$27,Int_Rate_Param,2,FALSE))&lt;1%+EIOPA_RFR!AZ46,1%+EIOPA_RFR!AZ46,EIOPA_RFR!AZ46*(1%+VLOOKUP($B$27,Int_Rate_Param,2,FALSE))),IF(EIOPA_RFR!AZ46*(1%+VLOOKUP($B41,Int_Rate_Param,2,FALSE))&lt;1%+EIOPA_RFR!AZ46,1%+EIOPA_RFR!AZ46,EIOPA_RFR!AZ46*(1%+VLOOKUP($B41,Int_Rate_Param,2,FALSE))))</f>
        <v>3.7040000000000003E-2</v>
      </c>
      <c r="BA41" s="94">
        <f>IF($B41&gt;20,IF(EIOPA_RFR!BA46*(1%+VLOOKUP($B$27,Int_Rate_Param,2,FALSE))&lt;1%+EIOPA_RFR!BA46,1%+EIOPA_RFR!BA46,EIOPA_RFR!BA46*(1%+VLOOKUP($B$27,Int_Rate_Param,2,FALSE))),IF(EIOPA_RFR!BA46*(1%+VLOOKUP($B41,Int_Rate_Param,2,FALSE))&lt;1%+EIOPA_RFR!BA46,1%+EIOPA_RFR!BA46,EIOPA_RFR!BA46*(1%+VLOOKUP($B41,Int_Rate_Param,2,FALSE))))</f>
        <v>4.3900000000000002E-2</v>
      </c>
      <c r="BB41" s="94">
        <f>IF($B41&gt;20,IF(EIOPA_RFR!BB46*(1%+VLOOKUP($B$27,Int_Rate_Param,2,FALSE))&lt;1%+EIOPA_RFR!BB46,1%+EIOPA_RFR!BB46,EIOPA_RFR!BB46*(1%+VLOOKUP($B$27,Int_Rate_Param,2,FALSE))),IF(EIOPA_RFR!BB46*(1%+VLOOKUP($B41,Int_Rate_Param,2,FALSE))&lt;1%+EIOPA_RFR!BB46,1%+EIOPA_RFR!BB46,EIOPA_RFR!BB46*(1%+VLOOKUP($B41,Int_Rate_Param,2,FALSE))))</f>
        <v>8.7459999999999996E-2</v>
      </c>
      <c r="BC41" s="94">
        <f>IF($B41&gt;20,IF(EIOPA_RFR!BC46*(1%+VLOOKUP($B$27,Int_Rate_Param,2,FALSE))&lt;1%+EIOPA_RFR!BC46,1%+EIOPA_RFR!BC46,EIOPA_RFR!BC46*(1%+VLOOKUP($B$27,Int_Rate_Param,2,FALSE))),IF(EIOPA_RFR!BC46*(1%+VLOOKUP($B41,Int_Rate_Param,2,FALSE))&lt;1%+EIOPA_RFR!BC46,1%+EIOPA_RFR!BC46,EIOPA_RFR!BC46*(1%+VLOOKUP($B41,Int_Rate_Param,2,FALSE))))</f>
        <v>3.5389999999999998E-2</v>
      </c>
    </row>
    <row r="42" spans="1:55" x14ac:dyDescent="0.25">
      <c r="A42">
        <f t="shared" si="0"/>
        <v>37</v>
      </c>
      <c r="B42" s="95">
        <v>35</v>
      </c>
      <c r="C42" s="94">
        <f>IF($B42&gt;20,IF(EIOPA_RFR!C47*(1%+VLOOKUP($B$27,Int_Rate_Param,2,FALSE))&lt;1%+EIOPA_RFR!C47,1%+EIOPA_RFR!C47,EIOPA_RFR!C47*(1%+VLOOKUP($B$27,Int_Rate_Param,2,FALSE))),IF(EIOPA_RFR!C47*(1%+VLOOKUP($B42,Int_Rate_Param,2,FALSE))&lt;1%+EIOPA_RFR!C47,1%+EIOPA_RFR!C47,EIOPA_RFR!C47*(1%+VLOOKUP($B42,Int_Rate_Param,2,FALSE))))</f>
        <v>3.1469999999999998E-2</v>
      </c>
      <c r="D42" s="94">
        <f>IF($B42&gt;20,IF(EIOPA_RFR!D47*(1%+VLOOKUP($B$27,Int_Rate_Param,2,FALSE))&lt;1%+EIOPA_RFR!D47,1%+EIOPA_RFR!D47,EIOPA_RFR!D47*(1%+VLOOKUP($B$27,Int_Rate_Param,2,FALSE))),IF(EIOPA_RFR!D47*(1%+VLOOKUP($B42,Int_Rate_Param,2,FALSE))&lt;1%+EIOPA_RFR!D47,1%+EIOPA_RFR!D47,EIOPA_RFR!D47*(1%+VLOOKUP($B42,Int_Rate_Param,2,FALSE))))</f>
        <v>3.1469999999999998E-2</v>
      </c>
      <c r="E42" s="94">
        <f>IF($B42&gt;20,IF(EIOPA_RFR!E47*(1%+VLOOKUP($B$27,Int_Rate_Param,2,FALSE))&lt;1%+EIOPA_RFR!E47,1%+EIOPA_RFR!E47,EIOPA_RFR!E47*(1%+VLOOKUP($B$27,Int_Rate_Param,2,FALSE))),IF(EIOPA_RFR!E47*(1%+VLOOKUP($B42,Int_Rate_Param,2,FALSE))&lt;1%+EIOPA_RFR!E47,1%+EIOPA_RFR!E47,EIOPA_RFR!E47*(1%+VLOOKUP($B42,Int_Rate_Param,2,FALSE))))</f>
        <v>3.1469999999999998E-2</v>
      </c>
      <c r="F42" s="94">
        <f>IF($B42&gt;20,IF(EIOPA_RFR!F47*(1%+VLOOKUP($B$27,Int_Rate_Param,2,FALSE))&lt;1%+EIOPA_RFR!F47,1%+EIOPA_RFR!F47,EIOPA_RFR!F47*(1%+VLOOKUP($B$27,Int_Rate_Param,2,FALSE))),IF(EIOPA_RFR!F47*(1%+VLOOKUP($B42,Int_Rate_Param,2,FALSE))&lt;1%+EIOPA_RFR!F47,1%+EIOPA_RFR!F47,EIOPA_RFR!F47*(1%+VLOOKUP($B42,Int_Rate_Param,2,FALSE))))</f>
        <v>3.1109999999999999E-2</v>
      </c>
      <c r="G42" s="94">
        <f>IF($B42&gt;20,IF(EIOPA_RFR!G47*(1%+VLOOKUP($B$27,Int_Rate_Param,2,FALSE))&lt;1%+EIOPA_RFR!G47,1%+EIOPA_RFR!G47,EIOPA_RFR!G47*(1%+VLOOKUP($B$27,Int_Rate_Param,2,FALSE))),IF(EIOPA_RFR!G47*(1%+VLOOKUP($B42,Int_Rate_Param,2,FALSE))&lt;1%+EIOPA_RFR!G47,1%+EIOPA_RFR!G47,EIOPA_RFR!G47*(1%+VLOOKUP($B42,Int_Rate_Param,2,FALSE))))</f>
        <v>4.6589999999999999E-2</v>
      </c>
      <c r="H42" s="94">
        <f>IF($B42&gt;20,IF(EIOPA_RFR!H47*(1%+VLOOKUP($B$27,Int_Rate_Param,2,FALSE))&lt;1%+EIOPA_RFR!H47,1%+EIOPA_RFR!H47,EIOPA_RFR!H47*(1%+VLOOKUP($B$27,Int_Rate_Param,2,FALSE))),IF(EIOPA_RFR!H47*(1%+VLOOKUP($B42,Int_Rate_Param,2,FALSE))&lt;1%+EIOPA_RFR!H47,1%+EIOPA_RFR!H47,EIOPA_RFR!H47*(1%+VLOOKUP($B42,Int_Rate_Param,2,FALSE))))</f>
        <v>3.1469999999999998E-2</v>
      </c>
      <c r="I42" s="94">
        <f>IF($B42&gt;20,IF(EIOPA_RFR!I47*(1%+VLOOKUP($B$27,Int_Rate_Param,2,FALSE))&lt;1%+EIOPA_RFR!I47,1%+EIOPA_RFR!I47,EIOPA_RFR!I47*(1%+VLOOKUP($B$27,Int_Rate_Param,2,FALSE))),IF(EIOPA_RFR!I47*(1%+VLOOKUP($B42,Int_Rate_Param,2,FALSE))&lt;1%+EIOPA_RFR!I47,1%+EIOPA_RFR!I47,EIOPA_RFR!I47*(1%+VLOOKUP($B42,Int_Rate_Param,2,FALSE))))</f>
        <v>3.5380000000000002E-2</v>
      </c>
      <c r="J42" s="94">
        <f>IF($B42&gt;20,IF(EIOPA_RFR!J47*(1%+VLOOKUP($B$27,Int_Rate_Param,2,FALSE))&lt;1%+EIOPA_RFR!J47,1%+EIOPA_RFR!J47,EIOPA_RFR!J47*(1%+VLOOKUP($B$27,Int_Rate_Param,2,FALSE))),IF(EIOPA_RFR!J47*(1%+VLOOKUP($B42,Int_Rate_Param,2,FALSE))&lt;1%+EIOPA_RFR!J47,1%+EIOPA_RFR!J47,EIOPA_RFR!J47*(1%+VLOOKUP($B42,Int_Rate_Param,2,FALSE))))</f>
        <v>3.1399999999999997E-2</v>
      </c>
      <c r="K42" s="94">
        <f>IF($B42&gt;20,IF(EIOPA_RFR!K47*(1%+VLOOKUP($B$27,Int_Rate_Param,2,FALSE))&lt;1%+EIOPA_RFR!K47,1%+EIOPA_RFR!K47,EIOPA_RFR!K47*(1%+VLOOKUP($B$27,Int_Rate_Param,2,FALSE))),IF(EIOPA_RFR!K47*(1%+VLOOKUP($B42,Int_Rate_Param,2,FALSE))&lt;1%+EIOPA_RFR!K47,1%+EIOPA_RFR!K47,EIOPA_RFR!K47*(1%+VLOOKUP($B42,Int_Rate_Param,2,FALSE))))</f>
        <v>3.1469999999999998E-2</v>
      </c>
      <c r="L42" s="94">
        <f>IF($B42&gt;20,IF(EIOPA_RFR!L47*(1%+VLOOKUP($B$27,Int_Rate_Param,2,FALSE))&lt;1%+EIOPA_RFR!L47,1%+EIOPA_RFR!L47,EIOPA_RFR!L47*(1%+VLOOKUP($B$27,Int_Rate_Param,2,FALSE))),IF(EIOPA_RFR!L47*(1%+VLOOKUP($B42,Int_Rate_Param,2,FALSE))&lt;1%+EIOPA_RFR!L47,1%+EIOPA_RFR!L47,EIOPA_RFR!L47*(1%+VLOOKUP($B42,Int_Rate_Param,2,FALSE))))</f>
        <v>3.1469999999999998E-2</v>
      </c>
      <c r="M42" s="94">
        <f>IF($B42&gt;20,IF(EIOPA_RFR!M47*(1%+VLOOKUP($B$27,Int_Rate_Param,2,FALSE))&lt;1%+EIOPA_RFR!M47,1%+EIOPA_RFR!M47,EIOPA_RFR!M47*(1%+VLOOKUP($B$27,Int_Rate_Param,2,FALSE))),IF(EIOPA_RFR!M47*(1%+VLOOKUP($B42,Int_Rate_Param,2,FALSE))&lt;1%+EIOPA_RFR!M47,1%+EIOPA_RFR!M47,EIOPA_RFR!M47*(1%+VLOOKUP($B42,Int_Rate_Param,2,FALSE))))</f>
        <v>3.1469999999999998E-2</v>
      </c>
      <c r="N42" s="94">
        <f>IF($B42&gt;20,IF(EIOPA_RFR!N47*(1%+VLOOKUP($B$27,Int_Rate_Param,2,FALSE))&lt;1%+EIOPA_RFR!N47,1%+EIOPA_RFR!N47,EIOPA_RFR!N47*(1%+VLOOKUP($B$27,Int_Rate_Param,2,FALSE))),IF(EIOPA_RFR!N47*(1%+VLOOKUP($B42,Int_Rate_Param,2,FALSE))&lt;1%+EIOPA_RFR!N47,1%+EIOPA_RFR!N47,EIOPA_RFR!N47*(1%+VLOOKUP($B42,Int_Rate_Param,2,FALSE))))</f>
        <v>3.1469999999999998E-2</v>
      </c>
      <c r="O42" s="94">
        <f>IF($B42&gt;20,IF(EIOPA_RFR!O47*(1%+VLOOKUP($B$27,Int_Rate_Param,2,FALSE))&lt;1%+EIOPA_RFR!O47,1%+EIOPA_RFR!O47,EIOPA_RFR!O47*(1%+VLOOKUP($B$27,Int_Rate_Param,2,FALSE))),IF(EIOPA_RFR!O47*(1%+VLOOKUP($B42,Int_Rate_Param,2,FALSE))&lt;1%+EIOPA_RFR!O47,1%+EIOPA_RFR!O47,EIOPA_RFR!O47*(1%+VLOOKUP($B42,Int_Rate_Param,2,FALSE))))</f>
        <v>3.1469999999999998E-2</v>
      </c>
      <c r="P42" s="94">
        <f>IF($B42&gt;20,IF(EIOPA_RFR!P47*(1%+VLOOKUP($B$27,Int_Rate_Param,2,FALSE))&lt;1%+EIOPA_RFR!P47,1%+EIOPA_RFR!P47,EIOPA_RFR!P47*(1%+VLOOKUP($B$27,Int_Rate_Param,2,FALSE))),IF(EIOPA_RFR!P47*(1%+VLOOKUP($B42,Int_Rate_Param,2,FALSE))&lt;1%+EIOPA_RFR!P47,1%+EIOPA_RFR!P47,EIOPA_RFR!P47*(1%+VLOOKUP($B42,Int_Rate_Param,2,FALSE))))</f>
        <v>5.3460000000000001E-2</v>
      </c>
      <c r="Q42" s="94">
        <f>IF($B42&gt;20,IF(EIOPA_RFR!Q47*(1%+VLOOKUP($B$27,Int_Rate_Param,2,FALSE))&lt;1%+EIOPA_RFR!Q47,1%+EIOPA_RFR!Q47,EIOPA_RFR!Q47*(1%+VLOOKUP($B$27,Int_Rate_Param,2,FALSE))),IF(EIOPA_RFR!Q47*(1%+VLOOKUP($B42,Int_Rate_Param,2,FALSE))&lt;1%+EIOPA_RFR!Q47,1%+EIOPA_RFR!Q47,EIOPA_RFR!Q47*(1%+VLOOKUP($B42,Int_Rate_Param,2,FALSE))))</f>
        <v>5.5080000000000004E-2</v>
      </c>
      <c r="R42" s="94">
        <f>IF($B42&gt;20,IF(EIOPA_RFR!R47*(1%+VLOOKUP($B$27,Int_Rate_Param,2,FALSE))&lt;1%+EIOPA_RFR!R47,1%+EIOPA_RFR!R47,EIOPA_RFR!R47*(1%+VLOOKUP($B$27,Int_Rate_Param,2,FALSE))),IF(EIOPA_RFR!R47*(1%+VLOOKUP($B42,Int_Rate_Param,2,FALSE))&lt;1%+EIOPA_RFR!R47,1%+EIOPA_RFR!R47,EIOPA_RFR!R47*(1%+VLOOKUP($B42,Int_Rate_Param,2,FALSE))))</f>
        <v>3.1469999999999998E-2</v>
      </c>
      <c r="S42" s="94">
        <f>IF($B42&gt;20,IF(EIOPA_RFR!S47*(1%+VLOOKUP($B$27,Int_Rate_Param,2,FALSE))&lt;1%+EIOPA_RFR!S47,1%+EIOPA_RFR!S47,EIOPA_RFR!S47*(1%+VLOOKUP($B$27,Int_Rate_Param,2,FALSE))),IF(EIOPA_RFR!S47*(1%+VLOOKUP($B42,Int_Rate_Param,2,FALSE))&lt;1%+EIOPA_RFR!S47,1%+EIOPA_RFR!S47,EIOPA_RFR!S47*(1%+VLOOKUP($B42,Int_Rate_Param,2,FALSE))))</f>
        <v>3.1469999999999998E-2</v>
      </c>
      <c r="T42" s="94">
        <f>IF($B42&gt;20,IF(EIOPA_RFR!T47*(1%+VLOOKUP($B$27,Int_Rate_Param,2,FALSE))&lt;1%+EIOPA_RFR!T47,1%+EIOPA_RFR!T47,EIOPA_RFR!T47*(1%+VLOOKUP($B$27,Int_Rate_Param,2,FALSE))),IF(EIOPA_RFR!T47*(1%+VLOOKUP($B42,Int_Rate_Param,2,FALSE))&lt;1%+EIOPA_RFR!T47,1%+EIOPA_RFR!T47,EIOPA_RFR!T47*(1%+VLOOKUP($B42,Int_Rate_Param,2,FALSE))))</f>
        <v>3.1469999999999998E-2</v>
      </c>
      <c r="U42" s="94">
        <f>IF($B42&gt;20,IF(EIOPA_RFR!U47*(1%+VLOOKUP($B$27,Int_Rate_Param,2,FALSE))&lt;1%+EIOPA_RFR!U47,1%+EIOPA_RFR!U47,EIOPA_RFR!U47*(1%+VLOOKUP($B$27,Int_Rate_Param,2,FALSE))),IF(EIOPA_RFR!U47*(1%+VLOOKUP($B42,Int_Rate_Param,2,FALSE))&lt;1%+EIOPA_RFR!U47,1%+EIOPA_RFR!U47,EIOPA_RFR!U47*(1%+VLOOKUP($B42,Int_Rate_Param,2,FALSE))))</f>
        <v>1.9529999999999999E-2</v>
      </c>
      <c r="V42" s="94">
        <f>IF($B42&gt;20,IF(EIOPA_RFR!V47*(1%+VLOOKUP($B$27,Int_Rate_Param,2,FALSE))&lt;1%+EIOPA_RFR!V47,1%+EIOPA_RFR!V47,EIOPA_RFR!V47*(1%+VLOOKUP($B$27,Int_Rate_Param,2,FALSE))),IF(EIOPA_RFR!V47*(1%+VLOOKUP($B42,Int_Rate_Param,2,FALSE))&lt;1%+EIOPA_RFR!V47,1%+EIOPA_RFR!V47,EIOPA_RFR!V47*(1%+VLOOKUP($B42,Int_Rate_Param,2,FALSE))))</f>
        <v>3.1469999999999998E-2</v>
      </c>
      <c r="W42" s="94">
        <f>IF($B42&gt;20,IF(EIOPA_RFR!W47*(1%+VLOOKUP($B$27,Int_Rate_Param,2,FALSE))&lt;1%+EIOPA_RFR!W47,1%+EIOPA_RFR!W47,EIOPA_RFR!W47*(1%+VLOOKUP($B$27,Int_Rate_Param,2,FALSE))),IF(EIOPA_RFR!W47*(1%+VLOOKUP($B42,Int_Rate_Param,2,FALSE))&lt;1%+EIOPA_RFR!W47,1%+EIOPA_RFR!W47,EIOPA_RFR!W47*(1%+VLOOKUP($B42,Int_Rate_Param,2,FALSE))))</f>
        <v>3.1469999999999998E-2</v>
      </c>
      <c r="X42" s="94">
        <f>IF($B42&gt;20,IF(EIOPA_RFR!X47*(1%+VLOOKUP($B$27,Int_Rate_Param,2,FALSE))&lt;1%+EIOPA_RFR!X47,1%+EIOPA_RFR!X47,EIOPA_RFR!X47*(1%+VLOOKUP($B$27,Int_Rate_Param,2,FALSE))),IF(EIOPA_RFR!X47*(1%+VLOOKUP($B42,Int_Rate_Param,2,FALSE))&lt;1%+EIOPA_RFR!X47,1%+EIOPA_RFR!X47,EIOPA_RFR!X47*(1%+VLOOKUP($B42,Int_Rate_Param,2,FALSE))))</f>
        <v>3.1469999999999998E-2</v>
      </c>
      <c r="Y42" s="94">
        <f>IF($B42&gt;20,IF(EIOPA_RFR!Y47*(1%+VLOOKUP($B$27,Int_Rate_Param,2,FALSE))&lt;1%+EIOPA_RFR!Y47,1%+EIOPA_RFR!Y47,EIOPA_RFR!Y47*(1%+VLOOKUP($B$27,Int_Rate_Param,2,FALSE))),IF(EIOPA_RFR!Y47*(1%+VLOOKUP($B42,Int_Rate_Param,2,FALSE))&lt;1%+EIOPA_RFR!Y47,1%+EIOPA_RFR!Y47,EIOPA_RFR!Y47*(1%+VLOOKUP($B42,Int_Rate_Param,2,FALSE))))</f>
        <v>3.1469999999999998E-2</v>
      </c>
      <c r="Z42" s="94">
        <f>IF($B42&gt;20,IF(EIOPA_RFR!Z47*(1%+VLOOKUP($B$27,Int_Rate_Param,2,FALSE))&lt;1%+EIOPA_RFR!Z47,1%+EIOPA_RFR!Z47,EIOPA_RFR!Z47*(1%+VLOOKUP($B$27,Int_Rate_Param,2,FALSE))),IF(EIOPA_RFR!Z47*(1%+VLOOKUP($B42,Int_Rate_Param,2,FALSE))&lt;1%+EIOPA_RFR!Z47,1%+EIOPA_RFR!Z47,EIOPA_RFR!Z47*(1%+VLOOKUP($B42,Int_Rate_Param,2,FALSE))))</f>
        <v>4.1020000000000001E-2</v>
      </c>
      <c r="AA42" s="94">
        <f>IF($B42&gt;20,IF(EIOPA_RFR!AA47*(1%+VLOOKUP($B$27,Int_Rate_Param,2,FALSE))&lt;1%+EIOPA_RFR!AA47,1%+EIOPA_RFR!AA47,EIOPA_RFR!AA47*(1%+VLOOKUP($B$27,Int_Rate_Param,2,FALSE))),IF(EIOPA_RFR!AA47*(1%+VLOOKUP($B42,Int_Rate_Param,2,FALSE))&lt;1%+EIOPA_RFR!AA47,1%+EIOPA_RFR!AA47,EIOPA_RFR!AA47*(1%+VLOOKUP($B42,Int_Rate_Param,2,FALSE))))</f>
        <v>5.0540000000000002E-2</v>
      </c>
      <c r="AB42" s="94">
        <f>IF($B42&gt;20,IF(EIOPA_RFR!AB47*(1%+VLOOKUP($B$27,Int_Rate_Param,2,FALSE))&lt;1%+EIOPA_RFR!AB47,1%+EIOPA_RFR!AB47,EIOPA_RFR!AB47*(1%+VLOOKUP($B$27,Int_Rate_Param,2,FALSE))),IF(EIOPA_RFR!AB47*(1%+VLOOKUP($B42,Int_Rate_Param,2,FALSE))&lt;1%+EIOPA_RFR!AB47,1%+EIOPA_RFR!AB47,EIOPA_RFR!AB47*(1%+VLOOKUP($B42,Int_Rate_Param,2,FALSE))))</f>
        <v>3.1469999999999998E-2</v>
      </c>
      <c r="AC42" s="94">
        <f>IF($B42&gt;20,IF(EIOPA_RFR!AC47*(1%+VLOOKUP($B$27,Int_Rate_Param,2,FALSE))&lt;1%+EIOPA_RFR!AC47,1%+EIOPA_RFR!AC47,EIOPA_RFR!AC47*(1%+VLOOKUP($B$27,Int_Rate_Param,2,FALSE))),IF(EIOPA_RFR!AC47*(1%+VLOOKUP($B42,Int_Rate_Param,2,FALSE))&lt;1%+EIOPA_RFR!AC47,1%+EIOPA_RFR!AC47,EIOPA_RFR!AC47*(1%+VLOOKUP($B42,Int_Rate_Param,2,FALSE))))</f>
        <v>5.3850000000000002E-2</v>
      </c>
      <c r="AD42" s="94">
        <f>IF($B42&gt;20,IF(EIOPA_RFR!AD47*(1%+VLOOKUP($B$27,Int_Rate_Param,2,FALSE))&lt;1%+EIOPA_RFR!AD47,1%+EIOPA_RFR!AD47,EIOPA_RFR!AD47*(1%+VLOOKUP($B$27,Int_Rate_Param,2,FALSE))),IF(EIOPA_RFR!AD47*(1%+VLOOKUP($B42,Int_Rate_Param,2,FALSE))&lt;1%+EIOPA_RFR!AD47,1%+EIOPA_RFR!AD47,EIOPA_RFR!AD47*(1%+VLOOKUP($B42,Int_Rate_Param,2,FALSE))))</f>
        <v>6.8540000000000004E-2</v>
      </c>
      <c r="AE42" s="94">
        <f>IF($B42&gt;20,IF(EIOPA_RFR!AE47*(1%+VLOOKUP($B$27,Int_Rate_Param,2,FALSE))&lt;1%+EIOPA_RFR!AE47,1%+EIOPA_RFR!AE47,EIOPA_RFR!AE47*(1%+VLOOKUP($B$27,Int_Rate_Param,2,FALSE))),IF(EIOPA_RFR!AE47*(1%+VLOOKUP($B42,Int_Rate_Param,2,FALSE))&lt;1%+EIOPA_RFR!AE47,1%+EIOPA_RFR!AE47,EIOPA_RFR!AE47*(1%+VLOOKUP($B42,Int_Rate_Param,2,FALSE))))</f>
        <v>3.1469999999999998E-2</v>
      </c>
      <c r="AF42" s="94">
        <f>IF($B42&gt;20,IF(EIOPA_RFR!AF47*(1%+VLOOKUP($B$27,Int_Rate_Param,2,FALSE))&lt;1%+EIOPA_RFR!AF47,1%+EIOPA_RFR!AF47,EIOPA_RFR!AF47*(1%+VLOOKUP($B$27,Int_Rate_Param,2,FALSE))),IF(EIOPA_RFR!AF47*(1%+VLOOKUP($B42,Int_Rate_Param,2,FALSE))&lt;1%+EIOPA_RFR!AF47,1%+EIOPA_RFR!AF47,EIOPA_RFR!AF47*(1%+VLOOKUP($B42,Int_Rate_Param,2,FALSE))))</f>
        <v>3.1469999999999998E-2</v>
      </c>
      <c r="AG42" s="94">
        <f>IF($B42&gt;20,IF(EIOPA_RFR!AG47*(1%+VLOOKUP($B$27,Int_Rate_Param,2,FALSE))&lt;1%+EIOPA_RFR!AG47,1%+EIOPA_RFR!AG47,EIOPA_RFR!AG47*(1%+VLOOKUP($B$27,Int_Rate_Param,2,FALSE))),IF(EIOPA_RFR!AG47*(1%+VLOOKUP($B42,Int_Rate_Param,2,FALSE))&lt;1%+EIOPA_RFR!AG47,1%+EIOPA_RFR!AG47,EIOPA_RFR!AG47*(1%+VLOOKUP($B42,Int_Rate_Param,2,FALSE))))</f>
        <v>3.1469999999999998E-2</v>
      </c>
      <c r="AH42" s="94">
        <f>IF($B42&gt;20,IF(EIOPA_RFR!AH47*(1%+VLOOKUP($B$27,Int_Rate_Param,2,FALSE))&lt;1%+EIOPA_RFR!AH47,1%+EIOPA_RFR!AH47,EIOPA_RFR!AH47*(1%+VLOOKUP($B$27,Int_Rate_Param,2,FALSE))),IF(EIOPA_RFR!AH47*(1%+VLOOKUP($B42,Int_Rate_Param,2,FALSE))&lt;1%+EIOPA_RFR!AH47,1%+EIOPA_RFR!AH47,EIOPA_RFR!AH47*(1%+VLOOKUP($B42,Int_Rate_Param,2,FALSE))))</f>
        <v>4.1860000000000001E-2</v>
      </c>
      <c r="AI42" s="94">
        <f>IF($B42&gt;20,IF(EIOPA_RFR!AI47*(1%+VLOOKUP($B$27,Int_Rate_Param,2,FALSE))&lt;1%+EIOPA_RFR!AI47,1%+EIOPA_RFR!AI47,EIOPA_RFR!AI47*(1%+VLOOKUP($B$27,Int_Rate_Param,2,FALSE))),IF(EIOPA_RFR!AI47*(1%+VLOOKUP($B42,Int_Rate_Param,2,FALSE))&lt;1%+EIOPA_RFR!AI47,1%+EIOPA_RFR!AI47,EIOPA_RFR!AI47*(1%+VLOOKUP($B42,Int_Rate_Param,2,FALSE))))</f>
        <v>1.9529999999999999E-2</v>
      </c>
      <c r="AJ42" s="94">
        <f>IF($B42&gt;20,IF(EIOPA_RFR!AJ47*(1%+VLOOKUP($B$27,Int_Rate_Param,2,FALSE))&lt;1%+EIOPA_RFR!AJ47,1%+EIOPA_RFR!AJ47,EIOPA_RFR!AJ47*(1%+VLOOKUP($B$27,Int_Rate_Param,2,FALSE))),IF(EIOPA_RFR!AJ47*(1%+VLOOKUP($B42,Int_Rate_Param,2,FALSE))&lt;1%+EIOPA_RFR!AJ47,1%+EIOPA_RFR!AJ47,EIOPA_RFR!AJ47*(1%+VLOOKUP($B42,Int_Rate_Param,2,FALSE))))</f>
        <v>2.2200000000000001E-2</v>
      </c>
      <c r="AK42" s="94">
        <f>IF($B42&gt;20,IF(EIOPA_RFR!AK47*(1%+VLOOKUP($B$27,Int_Rate_Param,2,FALSE))&lt;1%+EIOPA_RFR!AK47,1%+EIOPA_RFR!AK47,EIOPA_RFR!AK47*(1%+VLOOKUP($B$27,Int_Rate_Param,2,FALSE))),IF(EIOPA_RFR!AK47*(1%+VLOOKUP($B42,Int_Rate_Param,2,FALSE))&lt;1%+EIOPA_RFR!AK47,1%+EIOPA_RFR!AK47,EIOPA_RFR!AK47*(1%+VLOOKUP($B42,Int_Rate_Param,2,FALSE))))</f>
        <v>4.3550000000000005E-2</v>
      </c>
      <c r="AL42" s="94">
        <f>IF($B42&gt;20,IF(EIOPA_RFR!AL47*(1%+VLOOKUP($B$27,Int_Rate_Param,2,FALSE))&lt;1%+EIOPA_RFR!AL47,1%+EIOPA_RFR!AL47,EIOPA_RFR!AL47*(1%+VLOOKUP($B$27,Int_Rate_Param,2,FALSE))),IF(EIOPA_RFR!AL47*(1%+VLOOKUP($B42,Int_Rate_Param,2,FALSE))&lt;1%+EIOPA_RFR!AL47,1%+EIOPA_RFR!AL47,EIOPA_RFR!AL47*(1%+VLOOKUP($B42,Int_Rate_Param,2,FALSE))))</f>
        <v>8.4329999999999988E-2</v>
      </c>
      <c r="AM42" s="94">
        <f>IF($B42&gt;20,IF(EIOPA_RFR!AM47*(1%+VLOOKUP($B$27,Int_Rate_Param,2,FALSE))&lt;1%+EIOPA_RFR!AM47,1%+EIOPA_RFR!AM47,EIOPA_RFR!AM47*(1%+VLOOKUP($B$27,Int_Rate_Param,2,FALSE))),IF(EIOPA_RFR!AM47*(1%+VLOOKUP($B42,Int_Rate_Param,2,FALSE))&lt;1%+EIOPA_RFR!AM47,1%+EIOPA_RFR!AM47,EIOPA_RFR!AM47*(1%+VLOOKUP($B42,Int_Rate_Param,2,FALSE))))</f>
        <v>3.3489999999999999E-2</v>
      </c>
      <c r="AN42" s="94">
        <f>IF($B42&gt;20,IF(EIOPA_RFR!AN47*(1%+VLOOKUP($B$27,Int_Rate_Param,2,FALSE))&lt;1%+EIOPA_RFR!AN47,1%+EIOPA_RFR!AN47,EIOPA_RFR!AN47*(1%+VLOOKUP($B$27,Int_Rate_Param,2,FALSE))),IF(EIOPA_RFR!AN47*(1%+VLOOKUP($B42,Int_Rate_Param,2,FALSE))&lt;1%+EIOPA_RFR!AN47,1%+EIOPA_RFR!AN47,EIOPA_RFR!AN47*(1%+VLOOKUP($B42,Int_Rate_Param,2,FALSE))))</f>
        <v>5.2569999999999999E-2</v>
      </c>
      <c r="AO42" s="94">
        <f>IF($B42&gt;20,IF(EIOPA_RFR!AO47*(1%+VLOOKUP($B$27,Int_Rate_Param,2,FALSE))&lt;1%+EIOPA_RFR!AO47,1%+EIOPA_RFR!AO47,EIOPA_RFR!AO47*(1%+VLOOKUP($B$27,Int_Rate_Param,2,FALSE))),IF(EIOPA_RFR!AO47*(1%+VLOOKUP($B42,Int_Rate_Param,2,FALSE))&lt;1%+EIOPA_RFR!AO47,1%+EIOPA_RFR!AO47,EIOPA_RFR!AO47*(1%+VLOOKUP($B42,Int_Rate_Param,2,FALSE))))</f>
        <v>5.3990000000000003E-2</v>
      </c>
      <c r="AP42" s="94">
        <f>IF($B42&gt;20,IF(EIOPA_RFR!AP47*(1%+VLOOKUP($B$27,Int_Rate_Param,2,FALSE))&lt;1%+EIOPA_RFR!AP47,1%+EIOPA_RFR!AP47,EIOPA_RFR!AP47*(1%+VLOOKUP($B$27,Int_Rate_Param,2,FALSE))),IF(EIOPA_RFR!AP47*(1%+VLOOKUP($B42,Int_Rate_Param,2,FALSE))&lt;1%+EIOPA_RFR!AP47,1%+EIOPA_RFR!AP47,EIOPA_RFR!AP47*(1%+VLOOKUP($B42,Int_Rate_Param,2,FALSE))))</f>
        <v>6.4659999999999995E-2</v>
      </c>
      <c r="AQ42" s="94">
        <f>IF($B42&gt;20,IF(EIOPA_RFR!AQ47*(1%+VLOOKUP($B$27,Int_Rate_Param,2,FALSE))&lt;1%+EIOPA_RFR!AQ47,1%+EIOPA_RFR!AQ47,EIOPA_RFR!AQ47*(1%+VLOOKUP($B$27,Int_Rate_Param,2,FALSE))),IF(EIOPA_RFR!AQ47*(1%+VLOOKUP($B42,Int_Rate_Param,2,FALSE))&lt;1%+EIOPA_RFR!AQ47,1%+EIOPA_RFR!AQ47,EIOPA_RFR!AQ47*(1%+VLOOKUP($B42,Int_Rate_Param,2,FALSE))))</f>
        <v>4.1510000000000005E-2</v>
      </c>
      <c r="AR42" s="94">
        <f>IF($B42&gt;20,IF(EIOPA_RFR!AR47*(1%+VLOOKUP($B$27,Int_Rate_Param,2,FALSE))&lt;1%+EIOPA_RFR!AR47,1%+EIOPA_RFR!AR47,EIOPA_RFR!AR47*(1%+VLOOKUP($B$27,Int_Rate_Param,2,FALSE))),IF(EIOPA_RFR!AR47*(1%+VLOOKUP($B42,Int_Rate_Param,2,FALSE))&lt;1%+EIOPA_RFR!AR47,1%+EIOPA_RFR!AR47,EIOPA_RFR!AR47*(1%+VLOOKUP($B42,Int_Rate_Param,2,FALSE))))</f>
        <v>7.2410000000000002E-2</v>
      </c>
      <c r="AS42" s="94">
        <f>IF($B42&gt;20,IF(EIOPA_RFR!AS47*(1%+VLOOKUP($B$27,Int_Rate_Param,2,FALSE))&lt;1%+EIOPA_RFR!AS47,1%+EIOPA_RFR!AS47,EIOPA_RFR!AS47*(1%+VLOOKUP($B$27,Int_Rate_Param,2,FALSE))),IF(EIOPA_RFR!AS47*(1%+VLOOKUP($B42,Int_Rate_Param,2,FALSE))&lt;1%+EIOPA_RFR!AS47,1%+EIOPA_RFR!AS47,EIOPA_RFR!AS47*(1%+VLOOKUP($B42,Int_Rate_Param,2,FALSE))))</f>
        <v>1.9189999999999999E-2</v>
      </c>
      <c r="AT42" s="94">
        <f>IF($B42&gt;20,IF(EIOPA_RFR!AT47*(1%+VLOOKUP($B$27,Int_Rate_Param,2,FALSE))&lt;1%+EIOPA_RFR!AT47,1%+EIOPA_RFR!AT47,EIOPA_RFR!AT47*(1%+VLOOKUP($B$27,Int_Rate_Param,2,FALSE))),IF(EIOPA_RFR!AT47*(1%+VLOOKUP($B42,Int_Rate_Param,2,FALSE))&lt;1%+EIOPA_RFR!AT47,1%+EIOPA_RFR!AT47,EIOPA_RFR!AT47*(1%+VLOOKUP($B42,Int_Rate_Param,2,FALSE))))</f>
        <v>5.3510000000000002E-2</v>
      </c>
      <c r="AU42" s="94">
        <f>IF($B42&gt;20,IF(EIOPA_RFR!AU47*(1%+VLOOKUP($B$27,Int_Rate_Param,2,FALSE))&lt;1%+EIOPA_RFR!AU47,1%+EIOPA_RFR!AU47,EIOPA_RFR!AU47*(1%+VLOOKUP($B$27,Int_Rate_Param,2,FALSE))),IF(EIOPA_RFR!AU47*(1%+VLOOKUP($B42,Int_Rate_Param,2,FALSE))&lt;1%+EIOPA_RFR!AU47,1%+EIOPA_RFR!AU47,EIOPA_RFR!AU47*(1%+VLOOKUP($B42,Int_Rate_Param,2,FALSE))))</f>
        <v>8.3059999999999995E-2</v>
      </c>
      <c r="AV42" s="94">
        <f>IF($B42&gt;20,IF(EIOPA_RFR!AV47*(1%+VLOOKUP($B$27,Int_Rate_Param,2,FALSE))&lt;1%+EIOPA_RFR!AV47,1%+EIOPA_RFR!AV47,EIOPA_RFR!AV47*(1%+VLOOKUP($B$27,Int_Rate_Param,2,FALSE))),IF(EIOPA_RFR!AV47*(1%+VLOOKUP($B42,Int_Rate_Param,2,FALSE))&lt;1%+EIOPA_RFR!AV47,1%+EIOPA_RFR!AV47,EIOPA_RFR!AV47*(1%+VLOOKUP($B42,Int_Rate_Param,2,FALSE))))</f>
        <v>5.178E-2</v>
      </c>
      <c r="AW42" s="94">
        <f>IF($B42&gt;20,IF(EIOPA_RFR!AW47*(1%+VLOOKUP($B$27,Int_Rate_Param,2,FALSE))&lt;1%+EIOPA_RFR!AW47,1%+EIOPA_RFR!AW47,EIOPA_RFR!AW47*(1%+VLOOKUP($B$27,Int_Rate_Param,2,FALSE))),IF(EIOPA_RFR!AW47*(1%+VLOOKUP($B42,Int_Rate_Param,2,FALSE))&lt;1%+EIOPA_RFR!AW47,1%+EIOPA_RFR!AW47,EIOPA_RFR!AW47*(1%+VLOOKUP($B42,Int_Rate_Param,2,FALSE))))</f>
        <v>4.1250000000000002E-2</v>
      </c>
      <c r="AX42" s="94">
        <f>IF($B42&gt;20,IF(EIOPA_RFR!AX47*(1%+VLOOKUP($B$27,Int_Rate_Param,2,FALSE))&lt;1%+EIOPA_RFR!AX47,1%+EIOPA_RFR!AX47,EIOPA_RFR!AX47*(1%+VLOOKUP($B$27,Int_Rate_Param,2,FALSE))),IF(EIOPA_RFR!AX47*(1%+VLOOKUP($B42,Int_Rate_Param,2,FALSE))&lt;1%+EIOPA_RFR!AX47,1%+EIOPA_RFR!AX47,EIOPA_RFR!AX47*(1%+VLOOKUP($B42,Int_Rate_Param,2,FALSE))))</f>
        <v>8.274999999999999E-2</v>
      </c>
      <c r="AY42" s="94">
        <f>IF($B42&gt;20,IF(EIOPA_RFR!AY47*(1%+VLOOKUP($B$27,Int_Rate_Param,2,FALSE))&lt;1%+EIOPA_RFR!AY47,1%+EIOPA_RFR!AY47,EIOPA_RFR!AY47*(1%+VLOOKUP($B$27,Int_Rate_Param,2,FALSE))),IF(EIOPA_RFR!AY47*(1%+VLOOKUP($B42,Int_Rate_Param,2,FALSE))&lt;1%+EIOPA_RFR!AY47,1%+EIOPA_RFR!AY47,EIOPA_RFR!AY47*(1%+VLOOKUP($B42,Int_Rate_Param,2,FALSE))))</f>
        <v>3.499E-2</v>
      </c>
      <c r="AZ42" s="94">
        <f>IF($B42&gt;20,IF(EIOPA_RFR!AZ47*(1%+VLOOKUP($B$27,Int_Rate_Param,2,FALSE))&lt;1%+EIOPA_RFR!AZ47,1%+EIOPA_RFR!AZ47,EIOPA_RFR!AZ47*(1%+VLOOKUP($B$27,Int_Rate_Param,2,FALSE))),IF(EIOPA_RFR!AZ47*(1%+VLOOKUP($B42,Int_Rate_Param,2,FALSE))&lt;1%+EIOPA_RFR!AZ47,1%+EIOPA_RFR!AZ47,EIOPA_RFR!AZ47*(1%+VLOOKUP($B42,Int_Rate_Param,2,FALSE))))</f>
        <v>3.7420000000000002E-2</v>
      </c>
      <c r="BA42" s="94">
        <f>IF($B42&gt;20,IF(EIOPA_RFR!BA47*(1%+VLOOKUP($B$27,Int_Rate_Param,2,FALSE))&lt;1%+EIOPA_RFR!BA47,1%+EIOPA_RFR!BA47,EIOPA_RFR!BA47*(1%+VLOOKUP($B$27,Int_Rate_Param,2,FALSE))),IF(EIOPA_RFR!BA47*(1%+VLOOKUP($B42,Int_Rate_Param,2,FALSE))&lt;1%+EIOPA_RFR!BA47,1%+EIOPA_RFR!BA47,EIOPA_RFR!BA47*(1%+VLOOKUP($B42,Int_Rate_Param,2,FALSE))))</f>
        <v>4.41E-2</v>
      </c>
      <c r="BB42" s="94">
        <f>IF($B42&gt;20,IF(EIOPA_RFR!BB47*(1%+VLOOKUP($B$27,Int_Rate_Param,2,FALSE))&lt;1%+EIOPA_RFR!BB47,1%+EIOPA_RFR!BB47,EIOPA_RFR!BB47*(1%+VLOOKUP($B$27,Int_Rate_Param,2,FALSE))),IF(EIOPA_RFR!BB47*(1%+VLOOKUP($B42,Int_Rate_Param,2,FALSE))&lt;1%+EIOPA_RFR!BB47,1%+EIOPA_RFR!BB47,EIOPA_RFR!BB47*(1%+VLOOKUP($B42,Int_Rate_Param,2,FALSE))))</f>
        <v>8.6789999999999992E-2</v>
      </c>
      <c r="BC42" s="94">
        <f>IF($B42&gt;20,IF(EIOPA_RFR!BC47*(1%+VLOOKUP($B$27,Int_Rate_Param,2,FALSE))&lt;1%+EIOPA_RFR!BC47,1%+EIOPA_RFR!BC47,EIOPA_RFR!BC47*(1%+VLOOKUP($B$27,Int_Rate_Param,2,FALSE))),IF(EIOPA_RFR!BC47*(1%+VLOOKUP($B42,Int_Rate_Param,2,FALSE))&lt;1%+EIOPA_RFR!BC47,1%+EIOPA_RFR!BC47,EIOPA_RFR!BC47*(1%+VLOOKUP($B42,Int_Rate_Param,2,FALSE))))</f>
        <v>3.5369999999999999E-2</v>
      </c>
    </row>
    <row r="43" spans="1:55" x14ac:dyDescent="0.25">
      <c r="A43">
        <f t="shared" si="0"/>
        <v>38</v>
      </c>
      <c r="B43" s="95">
        <v>36</v>
      </c>
      <c r="C43" s="94">
        <f>IF($B43&gt;20,IF(EIOPA_RFR!C48*(1%+VLOOKUP($B$27,Int_Rate_Param,2,FALSE))&lt;1%+EIOPA_RFR!C48,1%+EIOPA_RFR!C48,EIOPA_RFR!C48*(1%+VLOOKUP($B$27,Int_Rate_Param,2,FALSE))),IF(EIOPA_RFR!C48*(1%+VLOOKUP($B43,Int_Rate_Param,2,FALSE))&lt;1%+EIOPA_RFR!C48,1%+EIOPA_RFR!C48,EIOPA_RFR!C48*(1%+VLOOKUP($B43,Int_Rate_Param,2,FALSE))))</f>
        <v>3.1969999999999998E-2</v>
      </c>
      <c r="D43" s="94">
        <f>IF($B43&gt;20,IF(EIOPA_RFR!D48*(1%+VLOOKUP($B$27,Int_Rate_Param,2,FALSE))&lt;1%+EIOPA_RFR!D48,1%+EIOPA_RFR!D48,EIOPA_RFR!D48*(1%+VLOOKUP($B$27,Int_Rate_Param,2,FALSE))),IF(EIOPA_RFR!D48*(1%+VLOOKUP($B43,Int_Rate_Param,2,FALSE))&lt;1%+EIOPA_RFR!D48,1%+EIOPA_RFR!D48,EIOPA_RFR!D48*(1%+VLOOKUP($B43,Int_Rate_Param,2,FALSE))))</f>
        <v>3.1969999999999998E-2</v>
      </c>
      <c r="E43" s="94">
        <f>IF($B43&gt;20,IF(EIOPA_RFR!E48*(1%+VLOOKUP($B$27,Int_Rate_Param,2,FALSE))&lt;1%+EIOPA_RFR!E48,1%+EIOPA_RFR!E48,EIOPA_RFR!E48*(1%+VLOOKUP($B$27,Int_Rate_Param,2,FALSE))),IF(EIOPA_RFR!E48*(1%+VLOOKUP($B43,Int_Rate_Param,2,FALSE))&lt;1%+EIOPA_RFR!E48,1%+EIOPA_RFR!E48,EIOPA_RFR!E48*(1%+VLOOKUP($B43,Int_Rate_Param,2,FALSE))))</f>
        <v>3.1969999999999998E-2</v>
      </c>
      <c r="F43" s="94">
        <f>IF($B43&gt;20,IF(EIOPA_RFR!F48*(1%+VLOOKUP($B$27,Int_Rate_Param,2,FALSE))&lt;1%+EIOPA_RFR!F48,1%+EIOPA_RFR!F48,EIOPA_RFR!F48*(1%+VLOOKUP($B$27,Int_Rate_Param,2,FALSE))),IF(EIOPA_RFR!F48*(1%+VLOOKUP($B43,Int_Rate_Param,2,FALSE))&lt;1%+EIOPA_RFR!F48,1%+EIOPA_RFR!F48,EIOPA_RFR!F48*(1%+VLOOKUP($B43,Int_Rate_Param,2,FALSE))))</f>
        <v>3.1609999999999999E-2</v>
      </c>
      <c r="G43" s="94">
        <f>IF($B43&gt;20,IF(EIOPA_RFR!G48*(1%+VLOOKUP($B$27,Int_Rate_Param,2,FALSE))&lt;1%+EIOPA_RFR!G48,1%+EIOPA_RFR!G48,EIOPA_RFR!G48*(1%+VLOOKUP($B$27,Int_Rate_Param,2,FALSE))),IF(EIOPA_RFR!G48*(1%+VLOOKUP($B43,Int_Rate_Param,2,FALSE))&lt;1%+EIOPA_RFR!G48,1%+EIOPA_RFR!G48,EIOPA_RFR!G48*(1%+VLOOKUP($B43,Int_Rate_Param,2,FALSE))))</f>
        <v>4.6720000000000005E-2</v>
      </c>
      <c r="H43" s="94">
        <f>IF($B43&gt;20,IF(EIOPA_RFR!H48*(1%+VLOOKUP($B$27,Int_Rate_Param,2,FALSE))&lt;1%+EIOPA_RFR!H48,1%+EIOPA_RFR!H48,EIOPA_RFR!H48*(1%+VLOOKUP($B$27,Int_Rate_Param,2,FALSE))),IF(EIOPA_RFR!H48*(1%+VLOOKUP($B43,Int_Rate_Param,2,FALSE))&lt;1%+EIOPA_RFR!H48,1%+EIOPA_RFR!H48,EIOPA_RFR!H48*(1%+VLOOKUP($B43,Int_Rate_Param,2,FALSE))))</f>
        <v>3.1969999999999998E-2</v>
      </c>
      <c r="I43" s="94">
        <f>IF($B43&gt;20,IF(EIOPA_RFR!I48*(1%+VLOOKUP($B$27,Int_Rate_Param,2,FALSE))&lt;1%+EIOPA_RFR!I48,1%+EIOPA_RFR!I48,EIOPA_RFR!I48*(1%+VLOOKUP($B$27,Int_Rate_Param,2,FALSE))),IF(EIOPA_RFR!I48*(1%+VLOOKUP($B43,Int_Rate_Param,2,FALSE))&lt;1%+EIOPA_RFR!I48,1%+EIOPA_RFR!I48,EIOPA_RFR!I48*(1%+VLOOKUP($B43,Int_Rate_Param,2,FALSE))))</f>
        <v>3.5790000000000002E-2</v>
      </c>
      <c r="J43" s="94">
        <f>IF($B43&gt;20,IF(EIOPA_RFR!J48*(1%+VLOOKUP($B$27,Int_Rate_Param,2,FALSE))&lt;1%+EIOPA_RFR!J48,1%+EIOPA_RFR!J48,EIOPA_RFR!J48*(1%+VLOOKUP($B$27,Int_Rate_Param,2,FALSE))),IF(EIOPA_RFR!J48*(1%+VLOOKUP($B43,Int_Rate_Param,2,FALSE))&lt;1%+EIOPA_RFR!J48,1%+EIOPA_RFR!J48,EIOPA_RFR!J48*(1%+VLOOKUP($B43,Int_Rate_Param,2,FALSE))))</f>
        <v>3.1899999999999998E-2</v>
      </c>
      <c r="K43" s="94">
        <f>IF($B43&gt;20,IF(EIOPA_RFR!K48*(1%+VLOOKUP($B$27,Int_Rate_Param,2,FALSE))&lt;1%+EIOPA_RFR!K48,1%+EIOPA_RFR!K48,EIOPA_RFR!K48*(1%+VLOOKUP($B$27,Int_Rate_Param,2,FALSE))),IF(EIOPA_RFR!K48*(1%+VLOOKUP($B43,Int_Rate_Param,2,FALSE))&lt;1%+EIOPA_RFR!K48,1%+EIOPA_RFR!K48,EIOPA_RFR!K48*(1%+VLOOKUP($B43,Int_Rate_Param,2,FALSE))))</f>
        <v>3.1969999999999998E-2</v>
      </c>
      <c r="L43" s="94">
        <f>IF($B43&gt;20,IF(EIOPA_RFR!L48*(1%+VLOOKUP($B$27,Int_Rate_Param,2,FALSE))&lt;1%+EIOPA_RFR!L48,1%+EIOPA_RFR!L48,EIOPA_RFR!L48*(1%+VLOOKUP($B$27,Int_Rate_Param,2,FALSE))),IF(EIOPA_RFR!L48*(1%+VLOOKUP($B43,Int_Rate_Param,2,FALSE))&lt;1%+EIOPA_RFR!L48,1%+EIOPA_RFR!L48,EIOPA_RFR!L48*(1%+VLOOKUP($B43,Int_Rate_Param,2,FALSE))))</f>
        <v>3.1969999999999998E-2</v>
      </c>
      <c r="M43" s="94">
        <f>IF($B43&gt;20,IF(EIOPA_RFR!M48*(1%+VLOOKUP($B$27,Int_Rate_Param,2,FALSE))&lt;1%+EIOPA_RFR!M48,1%+EIOPA_RFR!M48,EIOPA_RFR!M48*(1%+VLOOKUP($B$27,Int_Rate_Param,2,FALSE))),IF(EIOPA_RFR!M48*(1%+VLOOKUP($B43,Int_Rate_Param,2,FALSE))&lt;1%+EIOPA_RFR!M48,1%+EIOPA_RFR!M48,EIOPA_RFR!M48*(1%+VLOOKUP($B43,Int_Rate_Param,2,FALSE))))</f>
        <v>3.1969999999999998E-2</v>
      </c>
      <c r="N43" s="94">
        <f>IF($B43&gt;20,IF(EIOPA_RFR!N48*(1%+VLOOKUP($B$27,Int_Rate_Param,2,FALSE))&lt;1%+EIOPA_RFR!N48,1%+EIOPA_RFR!N48,EIOPA_RFR!N48*(1%+VLOOKUP($B$27,Int_Rate_Param,2,FALSE))),IF(EIOPA_RFR!N48*(1%+VLOOKUP($B43,Int_Rate_Param,2,FALSE))&lt;1%+EIOPA_RFR!N48,1%+EIOPA_RFR!N48,EIOPA_RFR!N48*(1%+VLOOKUP($B43,Int_Rate_Param,2,FALSE))))</f>
        <v>3.1969999999999998E-2</v>
      </c>
      <c r="O43" s="94">
        <f>IF($B43&gt;20,IF(EIOPA_RFR!O48*(1%+VLOOKUP($B$27,Int_Rate_Param,2,FALSE))&lt;1%+EIOPA_RFR!O48,1%+EIOPA_RFR!O48,EIOPA_RFR!O48*(1%+VLOOKUP($B$27,Int_Rate_Param,2,FALSE))),IF(EIOPA_RFR!O48*(1%+VLOOKUP($B43,Int_Rate_Param,2,FALSE))&lt;1%+EIOPA_RFR!O48,1%+EIOPA_RFR!O48,EIOPA_RFR!O48*(1%+VLOOKUP($B43,Int_Rate_Param,2,FALSE))))</f>
        <v>3.1969999999999998E-2</v>
      </c>
      <c r="P43" s="94">
        <f>IF($B43&gt;20,IF(EIOPA_RFR!P48*(1%+VLOOKUP($B$27,Int_Rate_Param,2,FALSE))&lt;1%+EIOPA_RFR!P48,1%+EIOPA_RFR!P48,EIOPA_RFR!P48*(1%+VLOOKUP($B$27,Int_Rate_Param,2,FALSE))),IF(EIOPA_RFR!P48*(1%+VLOOKUP($B43,Int_Rate_Param,2,FALSE))&lt;1%+EIOPA_RFR!P48,1%+EIOPA_RFR!P48,EIOPA_RFR!P48*(1%+VLOOKUP($B43,Int_Rate_Param,2,FALSE))))</f>
        <v>5.3460000000000001E-2</v>
      </c>
      <c r="Q43" s="94">
        <f>IF($B43&gt;20,IF(EIOPA_RFR!Q48*(1%+VLOOKUP($B$27,Int_Rate_Param,2,FALSE))&lt;1%+EIOPA_RFR!Q48,1%+EIOPA_RFR!Q48,EIOPA_RFR!Q48*(1%+VLOOKUP($B$27,Int_Rate_Param,2,FALSE))),IF(EIOPA_RFR!Q48*(1%+VLOOKUP($B43,Int_Rate_Param,2,FALSE))&lt;1%+EIOPA_RFR!Q48,1%+EIOPA_RFR!Q48,EIOPA_RFR!Q48*(1%+VLOOKUP($B43,Int_Rate_Param,2,FALSE))))</f>
        <v>5.5019999999999999E-2</v>
      </c>
      <c r="R43" s="94">
        <f>IF($B43&gt;20,IF(EIOPA_RFR!R48*(1%+VLOOKUP($B$27,Int_Rate_Param,2,FALSE))&lt;1%+EIOPA_RFR!R48,1%+EIOPA_RFR!R48,EIOPA_RFR!R48*(1%+VLOOKUP($B$27,Int_Rate_Param,2,FALSE))),IF(EIOPA_RFR!R48*(1%+VLOOKUP($B43,Int_Rate_Param,2,FALSE))&lt;1%+EIOPA_RFR!R48,1%+EIOPA_RFR!R48,EIOPA_RFR!R48*(1%+VLOOKUP($B43,Int_Rate_Param,2,FALSE))))</f>
        <v>3.1969999999999998E-2</v>
      </c>
      <c r="S43" s="94">
        <f>IF($B43&gt;20,IF(EIOPA_RFR!S48*(1%+VLOOKUP($B$27,Int_Rate_Param,2,FALSE))&lt;1%+EIOPA_RFR!S48,1%+EIOPA_RFR!S48,EIOPA_RFR!S48*(1%+VLOOKUP($B$27,Int_Rate_Param,2,FALSE))),IF(EIOPA_RFR!S48*(1%+VLOOKUP($B43,Int_Rate_Param,2,FALSE))&lt;1%+EIOPA_RFR!S48,1%+EIOPA_RFR!S48,EIOPA_RFR!S48*(1%+VLOOKUP($B43,Int_Rate_Param,2,FALSE))))</f>
        <v>3.1969999999999998E-2</v>
      </c>
      <c r="T43" s="94">
        <f>IF($B43&gt;20,IF(EIOPA_RFR!T48*(1%+VLOOKUP($B$27,Int_Rate_Param,2,FALSE))&lt;1%+EIOPA_RFR!T48,1%+EIOPA_RFR!T48,EIOPA_RFR!T48*(1%+VLOOKUP($B$27,Int_Rate_Param,2,FALSE))),IF(EIOPA_RFR!T48*(1%+VLOOKUP($B43,Int_Rate_Param,2,FALSE))&lt;1%+EIOPA_RFR!T48,1%+EIOPA_RFR!T48,EIOPA_RFR!T48*(1%+VLOOKUP($B43,Int_Rate_Param,2,FALSE))))</f>
        <v>3.1969999999999998E-2</v>
      </c>
      <c r="U43" s="94">
        <f>IF($B43&gt;20,IF(EIOPA_RFR!U48*(1%+VLOOKUP($B$27,Int_Rate_Param,2,FALSE))&lt;1%+EIOPA_RFR!U48,1%+EIOPA_RFR!U48,EIOPA_RFR!U48*(1%+VLOOKUP($B$27,Int_Rate_Param,2,FALSE))),IF(EIOPA_RFR!U48*(1%+VLOOKUP($B43,Int_Rate_Param,2,FALSE))&lt;1%+EIOPA_RFR!U48,1%+EIOPA_RFR!U48,EIOPA_RFR!U48*(1%+VLOOKUP($B43,Int_Rate_Param,2,FALSE))))</f>
        <v>2.002E-2</v>
      </c>
      <c r="V43" s="94">
        <f>IF($B43&gt;20,IF(EIOPA_RFR!V48*(1%+VLOOKUP($B$27,Int_Rate_Param,2,FALSE))&lt;1%+EIOPA_RFR!V48,1%+EIOPA_RFR!V48,EIOPA_RFR!V48*(1%+VLOOKUP($B$27,Int_Rate_Param,2,FALSE))),IF(EIOPA_RFR!V48*(1%+VLOOKUP($B43,Int_Rate_Param,2,FALSE))&lt;1%+EIOPA_RFR!V48,1%+EIOPA_RFR!V48,EIOPA_RFR!V48*(1%+VLOOKUP($B43,Int_Rate_Param,2,FALSE))))</f>
        <v>3.1969999999999998E-2</v>
      </c>
      <c r="W43" s="94">
        <f>IF($B43&gt;20,IF(EIOPA_RFR!W48*(1%+VLOOKUP($B$27,Int_Rate_Param,2,FALSE))&lt;1%+EIOPA_RFR!W48,1%+EIOPA_RFR!W48,EIOPA_RFR!W48*(1%+VLOOKUP($B$27,Int_Rate_Param,2,FALSE))),IF(EIOPA_RFR!W48*(1%+VLOOKUP($B43,Int_Rate_Param,2,FALSE))&lt;1%+EIOPA_RFR!W48,1%+EIOPA_RFR!W48,EIOPA_RFR!W48*(1%+VLOOKUP($B43,Int_Rate_Param,2,FALSE))))</f>
        <v>3.1969999999999998E-2</v>
      </c>
      <c r="X43" s="94">
        <f>IF($B43&gt;20,IF(EIOPA_RFR!X48*(1%+VLOOKUP($B$27,Int_Rate_Param,2,FALSE))&lt;1%+EIOPA_RFR!X48,1%+EIOPA_RFR!X48,EIOPA_RFR!X48*(1%+VLOOKUP($B$27,Int_Rate_Param,2,FALSE))),IF(EIOPA_RFR!X48*(1%+VLOOKUP($B43,Int_Rate_Param,2,FALSE))&lt;1%+EIOPA_RFR!X48,1%+EIOPA_RFR!X48,EIOPA_RFR!X48*(1%+VLOOKUP($B43,Int_Rate_Param,2,FALSE))))</f>
        <v>3.1969999999999998E-2</v>
      </c>
      <c r="Y43" s="94">
        <f>IF($B43&gt;20,IF(EIOPA_RFR!Y48*(1%+VLOOKUP($B$27,Int_Rate_Param,2,FALSE))&lt;1%+EIOPA_RFR!Y48,1%+EIOPA_RFR!Y48,EIOPA_RFR!Y48*(1%+VLOOKUP($B$27,Int_Rate_Param,2,FALSE))),IF(EIOPA_RFR!Y48*(1%+VLOOKUP($B43,Int_Rate_Param,2,FALSE))&lt;1%+EIOPA_RFR!Y48,1%+EIOPA_RFR!Y48,EIOPA_RFR!Y48*(1%+VLOOKUP($B43,Int_Rate_Param,2,FALSE))))</f>
        <v>3.1969999999999998E-2</v>
      </c>
      <c r="Z43" s="94">
        <f>IF($B43&gt;20,IF(EIOPA_RFR!Z48*(1%+VLOOKUP($B$27,Int_Rate_Param,2,FALSE))&lt;1%+EIOPA_RFR!Z48,1%+EIOPA_RFR!Z48,EIOPA_RFR!Z48*(1%+VLOOKUP($B$27,Int_Rate_Param,2,FALSE))),IF(EIOPA_RFR!Z48*(1%+VLOOKUP($B43,Int_Rate_Param,2,FALSE))&lt;1%+EIOPA_RFR!Z48,1%+EIOPA_RFR!Z48,EIOPA_RFR!Z48*(1%+VLOOKUP($B43,Int_Rate_Param,2,FALSE))))</f>
        <v>4.129E-2</v>
      </c>
      <c r="AA43" s="94">
        <f>IF($B43&gt;20,IF(EIOPA_RFR!AA48*(1%+VLOOKUP($B$27,Int_Rate_Param,2,FALSE))&lt;1%+EIOPA_RFR!AA48,1%+EIOPA_RFR!AA48,EIOPA_RFR!AA48*(1%+VLOOKUP($B$27,Int_Rate_Param,2,FALSE))),IF(EIOPA_RFR!AA48*(1%+VLOOKUP($B43,Int_Rate_Param,2,FALSE))&lt;1%+EIOPA_RFR!AA48,1%+EIOPA_RFR!AA48,EIOPA_RFR!AA48*(1%+VLOOKUP($B43,Int_Rate_Param,2,FALSE))))</f>
        <v>5.0599999999999999E-2</v>
      </c>
      <c r="AB43" s="94">
        <f>IF($B43&gt;20,IF(EIOPA_RFR!AB48*(1%+VLOOKUP($B$27,Int_Rate_Param,2,FALSE))&lt;1%+EIOPA_RFR!AB48,1%+EIOPA_RFR!AB48,EIOPA_RFR!AB48*(1%+VLOOKUP($B$27,Int_Rate_Param,2,FALSE))),IF(EIOPA_RFR!AB48*(1%+VLOOKUP($B43,Int_Rate_Param,2,FALSE))&lt;1%+EIOPA_RFR!AB48,1%+EIOPA_RFR!AB48,EIOPA_RFR!AB48*(1%+VLOOKUP($B43,Int_Rate_Param,2,FALSE))))</f>
        <v>3.1969999999999998E-2</v>
      </c>
      <c r="AC43" s="94">
        <f>IF($B43&gt;20,IF(EIOPA_RFR!AC48*(1%+VLOOKUP($B$27,Int_Rate_Param,2,FALSE))&lt;1%+EIOPA_RFR!AC48,1%+EIOPA_RFR!AC48,EIOPA_RFR!AC48*(1%+VLOOKUP($B$27,Int_Rate_Param,2,FALSE))),IF(EIOPA_RFR!AC48*(1%+VLOOKUP($B43,Int_Rate_Param,2,FALSE))&lt;1%+EIOPA_RFR!AC48,1%+EIOPA_RFR!AC48,EIOPA_RFR!AC48*(1%+VLOOKUP($B43,Int_Rate_Param,2,FALSE))))</f>
        <v>5.3830000000000003E-2</v>
      </c>
      <c r="AD43" s="94">
        <f>IF($B43&gt;20,IF(EIOPA_RFR!AD48*(1%+VLOOKUP($B$27,Int_Rate_Param,2,FALSE))&lt;1%+EIOPA_RFR!AD48,1%+EIOPA_RFR!AD48,EIOPA_RFR!AD48*(1%+VLOOKUP($B$27,Int_Rate_Param,2,FALSE))),IF(EIOPA_RFR!AD48*(1%+VLOOKUP($B43,Int_Rate_Param,2,FALSE))&lt;1%+EIOPA_RFR!AD48,1%+EIOPA_RFR!AD48,EIOPA_RFR!AD48*(1%+VLOOKUP($B43,Int_Rate_Param,2,FALSE))))</f>
        <v>6.8129999999999996E-2</v>
      </c>
      <c r="AE43" s="94">
        <f>IF($B43&gt;20,IF(EIOPA_RFR!AE48*(1%+VLOOKUP($B$27,Int_Rate_Param,2,FALSE))&lt;1%+EIOPA_RFR!AE48,1%+EIOPA_RFR!AE48,EIOPA_RFR!AE48*(1%+VLOOKUP($B$27,Int_Rate_Param,2,FALSE))),IF(EIOPA_RFR!AE48*(1%+VLOOKUP($B43,Int_Rate_Param,2,FALSE))&lt;1%+EIOPA_RFR!AE48,1%+EIOPA_RFR!AE48,EIOPA_RFR!AE48*(1%+VLOOKUP($B43,Int_Rate_Param,2,FALSE))))</f>
        <v>3.1969999999999998E-2</v>
      </c>
      <c r="AF43" s="94">
        <f>IF($B43&gt;20,IF(EIOPA_RFR!AF48*(1%+VLOOKUP($B$27,Int_Rate_Param,2,FALSE))&lt;1%+EIOPA_RFR!AF48,1%+EIOPA_RFR!AF48,EIOPA_RFR!AF48*(1%+VLOOKUP($B$27,Int_Rate_Param,2,FALSE))),IF(EIOPA_RFR!AF48*(1%+VLOOKUP($B43,Int_Rate_Param,2,FALSE))&lt;1%+EIOPA_RFR!AF48,1%+EIOPA_RFR!AF48,EIOPA_RFR!AF48*(1%+VLOOKUP($B43,Int_Rate_Param,2,FALSE))))</f>
        <v>3.1969999999999998E-2</v>
      </c>
      <c r="AG43" s="94">
        <f>IF($B43&gt;20,IF(EIOPA_RFR!AG48*(1%+VLOOKUP($B$27,Int_Rate_Param,2,FALSE))&lt;1%+EIOPA_RFR!AG48,1%+EIOPA_RFR!AG48,EIOPA_RFR!AG48*(1%+VLOOKUP($B$27,Int_Rate_Param,2,FALSE))),IF(EIOPA_RFR!AG48*(1%+VLOOKUP($B43,Int_Rate_Param,2,FALSE))&lt;1%+EIOPA_RFR!AG48,1%+EIOPA_RFR!AG48,EIOPA_RFR!AG48*(1%+VLOOKUP($B43,Int_Rate_Param,2,FALSE))))</f>
        <v>3.1969999999999998E-2</v>
      </c>
      <c r="AH43" s="94">
        <f>IF($B43&gt;20,IF(EIOPA_RFR!AH48*(1%+VLOOKUP($B$27,Int_Rate_Param,2,FALSE))&lt;1%+EIOPA_RFR!AH48,1%+EIOPA_RFR!AH48,EIOPA_RFR!AH48*(1%+VLOOKUP($B$27,Int_Rate_Param,2,FALSE))),IF(EIOPA_RFR!AH48*(1%+VLOOKUP($B43,Int_Rate_Param,2,FALSE))&lt;1%+EIOPA_RFR!AH48,1%+EIOPA_RFR!AH48,EIOPA_RFR!AH48*(1%+VLOOKUP($B43,Int_Rate_Param,2,FALSE))))</f>
        <v>4.2140000000000004E-2</v>
      </c>
      <c r="AI43" s="94">
        <f>IF($B43&gt;20,IF(EIOPA_RFR!AI48*(1%+VLOOKUP($B$27,Int_Rate_Param,2,FALSE))&lt;1%+EIOPA_RFR!AI48,1%+EIOPA_RFR!AI48,EIOPA_RFR!AI48*(1%+VLOOKUP($B$27,Int_Rate_Param,2,FALSE))),IF(EIOPA_RFR!AI48*(1%+VLOOKUP($B43,Int_Rate_Param,2,FALSE))&lt;1%+EIOPA_RFR!AI48,1%+EIOPA_RFR!AI48,EIOPA_RFR!AI48*(1%+VLOOKUP($B43,Int_Rate_Param,2,FALSE))))</f>
        <v>2.002E-2</v>
      </c>
      <c r="AJ43" s="94">
        <f>IF($B43&gt;20,IF(EIOPA_RFR!AJ48*(1%+VLOOKUP($B$27,Int_Rate_Param,2,FALSE))&lt;1%+EIOPA_RFR!AJ48,1%+EIOPA_RFR!AJ48,EIOPA_RFR!AJ48*(1%+VLOOKUP($B$27,Int_Rate_Param,2,FALSE))),IF(EIOPA_RFR!AJ48*(1%+VLOOKUP($B43,Int_Rate_Param,2,FALSE))&lt;1%+EIOPA_RFR!AJ48,1%+EIOPA_RFR!AJ48,EIOPA_RFR!AJ48*(1%+VLOOKUP($B43,Int_Rate_Param,2,FALSE))))</f>
        <v>2.206E-2</v>
      </c>
      <c r="AK43" s="94">
        <f>IF($B43&gt;20,IF(EIOPA_RFR!AK48*(1%+VLOOKUP($B$27,Int_Rate_Param,2,FALSE))&lt;1%+EIOPA_RFR!AK48,1%+EIOPA_RFR!AK48,EIOPA_RFR!AK48*(1%+VLOOKUP($B$27,Int_Rate_Param,2,FALSE))),IF(EIOPA_RFR!AK48*(1%+VLOOKUP($B43,Int_Rate_Param,2,FALSE))&lt;1%+EIOPA_RFR!AK48,1%+EIOPA_RFR!AK48,EIOPA_RFR!AK48*(1%+VLOOKUP($B43,Int_Rate_Param,2,FALSE))))</f>
        <v>4.3650000000000001E-2</v>
      </c>
      <c r="AL43" s="94">
        <f>IF($B43&gt;20,IF(EIOPA_RFR!AL48*(1%+VLOOKUP($B$27,Int_Rate_Param,2,FALSE))&lt;1%+EIOPA_RFR!AL48,1%+EIOPA_RFR!AL48,EIOPA_RFR!AL48*(1%+VLOOKUP($B$27,Int_Rate_Param,2,FALSE))),IF(EIOPA_RFR!AL48*(1%+VLOOKUP($B43,Int_Rate_Param,2,FALSE))&lt;1%+EIOPA_RFR!AL48,1%+EIOPA_RFR!AL48,EIOPA_RFR!AL48*(1%+VLOOKUP($B43,Int_Rate_Param,2,FALSE))))</f>
        <v>8.3769999999999997E-2</v>
      </c>
      <c r="AM43" s="94">
        <f>IF($B43&gt;20,IF(EIOPA_RFR!AM48*(1%+VLOOKUP($B$27,Int_Rate_Param,2,FALSE))&lt;1%+EIOPA_RFR!AM48,1%+EIOPA_RFR!AM48,EIOPA_RFR!AM48*(1%+VLOOKUP($B$27,Int_Rate_Param,2,FALSE))),IF(EIOPA_RFR!AM48*(1%+VLOOKUP($B43,Int_Rate_Param,2,FALSE))&lt;1%+EIOPA_RFR!AM48,1%+EIOPA_RFR!AM48,EIOPA_RFR!AM48*(1%+VLOOKUP($B43,Int_Rate_Param,2,FALSE))))</f>
        <v>3.3800000000000004E-2</v>
      </c>
      <c r="AN43" s="94">
        <f>IF($B43&gt;20,IF(EIOPA_RFR!AN48*(1%+VLOOKUP($B$27,Int_Rate_Param,2,FALSE))&lt;1%+EIOPA_RFR!AN48,1%+EIOPA_RFR!AN48,EIOPA_RFR!AN48*(1%+VLOOKUP($B$27,Int_Rate_Param,2,FALSE))),IF(EIOPA_RFR!AN48*(1%+VLOOKUP($B43,Int_Rate_Param,2,FALSE))&lt;1%+EIOPA_RFR!AN48,1%+EIOPA_RFR!AN48,EIOPA_RFR!AN48*(1%+VLOOKUP($B43,Int_Rate_Param,2,FALSE))))</f>
        <v>5.2569999999999999E-2</v>
      </c>
      <c r="AO43" s="94">
        <f>IF($B43&gt;20,IF(EIOPA_RFR!AO48*(1%+VLOOKUP($B$27,Int_Rate_Param,2,FALSE))&lt;1%+EIOPA_RFR!AO48,1%+EIOPA_RFR!AO48,EIOPA_RFR!AO48*(1%+VLOOKUP($B$27,Int_Rate_Param,2,FALSE))),IF(EIOPA_RFR!AO48*(1%+VLOOKUP($B43,Int_Rate_Param,2,FALSE))&lt;1%+EIOPA_RFR!AO48,1%+EIOPA_RFR!AO48,EIOPA_RFR!AO48*(1%+VLOOKUP($B43,Int_Rate_Param,2,FALSE))))</f>
        <v>5.3960000000000001E-2</v>
      </c>
      <c r="AP43" s="94">
        <f>IF($B43&gt;20,IF(EIOPA_RFR!AP48*(1%+VLOOKUP($B$27,Int_Rate_Param,2,FALSE))&lt;1%+EIOPA_RFR!AP48,1%+EIOPA_RFR!AP48,EIOPA_RFR!AP48*(1%+VLOOKUP($B$27,Int_Rate_Param,2,FALSE))),IF(EIOPA_RFR!AP48*(1%+VLOOKUP($B43,Int_Rate_Param,2,FALSE))&lt;1%+EIOPA_RFR!AP48,1%+EIOPA_RFR!AP48,EIOPA_RFR!AP48*(1%+VLOOKUP($B43,Int_Rate_Param,2,FALSE))))</f>
        <v>6.4360000000000001E-2</v>
      </c>
      <c r="AQ43" s="94">
        <f>IF($B43&gt;20,IF(EIOPA_RFR!AQ48*(1%+VLOOKUP($B$27,Int_Rate_Param,2,FALSE))&lt;1%+EIOPA_RFR!AQ48,1%+EIOPA_RFR!AQ48,EIOPA_RFR!AQ48*(1%+VLOOKUP($B$27,Int_Rate_Param,2,FALSE))),IF(EIOPA_RFR!AQ48*(1%+VLOOKUP($B43,Int_Rate_Param,2,FALSE))&lt;1%+EIOPA_RFR!AQ48,1%+EIOPA_RFR!AQ48,EIOPA_RFR!AQ48*(1%+VLOOKUP($B43,Int_Rate_Param,2,FALSE))))</f>
        <v>4.1759999999999999E-2</v>
      </c>
      <c r="AR43" s="94">
        <f>IF($B43&gt;20,IF(EIOPA_RFR!AR48*(1%+VLOOKUP($B$27,Int_Rate_Param,2,FALSE))&lt;1%+EIOPA_RFR!AR48,1%+EIOPA_RFR!AR48,EIOPA_RFR!AR48*(1%+VLOOKUP($B$27,Int_Rate_Param,2,FALSE))),IF(EIOPA_RFR!AR48*(1%+VLOOKUP($B43,Int_Rate_Param,2,FALSE))&lt;1%+EIOPA_RFR!AR48,1%+EIOPA_RFR!AR48,EIOPA_RFR!AR48*(1%+VLOOKUP($B43,Int_Rate_Param,2,FALSE))))</f>
        <v>7.2169999999999998E-2</v>
      </c>
      <c r="AS43" s="94">
        <f>IF($B43&gt;20,IF(EIOPA_RFR!AS48*(1%+VLOOKUP($B$27,Int_Rate_Param,2,FALSE))&lt;1%+EIOPA_RFR!AS48,1%+EIOPA_RFR!AS48,EIOPA_RFR!AS48*(1%+VLOOKUP($B$27,Int_Rate_Param,2,FALSE))),IF(EIOPA_RFR!AS48*(1%+VLOOKUP($B43,Int_Rate_Param,2,FALSE))&lt;1%+EIOPA_RFR!AS48,1%+EIOPA_RFR!AS48,EIOPA_RFR!AS48*(1%+VLOOKUP($B43,Int_Rate_Param,2,FALSE))))</f>
        <v>1.959E-2</v>
      </c>
      <c r="AT43" s="94">
        <f>IF($B43&gt;20,IF(EIOPA_RFR!AT48*(1%+VLOOKUP($B$27,Int_Rate_Param,2,FALSE))&lt;1%+EIOPA_RFR!AT48,1%+EIOPA_RFR!AT48,EIOPA_RFR!AT48*(1%+VLOOKUP($B$27,Int_Rate_Param,2,FALSE))),IF(EIOPA_RFR!AT48*(1%+VLOOKUP($B43,Int_Rate_Param,2,FALSE))&lt;1%+EIOPA_RFR!AT48,1%+EIOPA_RFR!AT48,EIOPA_RFR!AT48*(1%+VLOOKUP($B43,Int_Rate_Param,2,FALSE))))</f>
        <v>5.3490000000000003E-2</v>
      </c>
      <c r="AU43" s="94">
        <f>IF($B43&gt;20,IF(EIOPA_RFR!AU48*(1%+VLOOKUP($B$27,Int_Rate_Param,2,FALSE))&lt;1%+EIOPA_RFR!AU48,1%+EIOPA_RFR!AU48,EIOPA_RFR!AU48*(1%+VLOOKUP($B$27,Int_Rate_Param,2,FALSE))),IF(EIOPA_RFR!AU48*(1%+VLOOKUP($B43,Int_Rate_Param,2,FALSE))&lt;1%+EIOPA_RFR!AU48,1%+EIOPA_RFR!AU48,EIOPA_RFR!AU48*(1%+VLOOKUP($B43,Int_Rate_Param,2,FALSE))))</f>
        <v>8.2569999999999991E-2</v>
      </c>
      <c r="AV43" s="94">
        <f>IF($B43&gt;20,IF(EIOPA_RFR!AV48*(1%+VLOOKUP($B$27,Int_Rate_Param,2,FALSE))&lt;1%+EIOPA_RFR!AV48,1%+EIOPA_RFR!AV48,EIOPA_RFR!AV48*(1%+VLOOKUP($B$27,Int_Rate_Param,2,FALSE))),IF(EIOPA_RFR!AV48*(1%+VLOOKUP($B43,Int_Rate_Param,2,FALSE))&lt;1%+EIOPA_RFR!AV48,1%+EIOPA_RFR!AV48,EIOPA_RFR!AV48*(1%+VLOOKUP($B43,Int_Rate_Param,2,FALSE))))</f>
        <v>5.1820000000000005E-2</v>
      </c>
      <c r="AW43" s="94">
        <f>IF($B43&gt;20,IF(EIOPA_RFR!AW48*(1%+VLOOKUP($B$27,Int_Rate_Param,2,FALSE))&lt;1%+EIOPA_RFR!AW48,1%+EIOPA_RFR!AW48,EIOPA_RFR!AW48*(1%+VLOOKUP($B$27,Int_Rate_Param,2,FALSE))),IF(EIOPA_RFR!AW48*(1%+VLOOKUP($B43,Int_Rate_Param,2,FALSE))&lt;1%+EIOPA_RFR!AW48,1%+EIOPA_RFR!AW48,EIOPA_RFR!AW48*(1%+VLOOKUP($B43,Int_Rate_Param,2,FALSE))))</f>
        <v>4.1500000000000002E-2</v>
      </c>
      <c r="AX43" s="94">
        <f>IF($B43&gt;20,IF(EIOPA_RFR!AX48*(1%+VLOOKUP($B$27,Int_Rate_Param,2,FALSE))&lt;1%+EIOPA_RFR!AX48,1%+EIOPA_RFR!AX48,EIOPA_RFR!AX48*(1%+VLOOKUP($B$27,Int_Rate_Param,2,FALSE))),IF(EIOPA_RFR!AX48*(1%+VLOOKUP($B43,Int_Rate_Param,2,FALSE))&lt;1%+EIOPA_RFR!AX48,1%+EIOPA_RFR!AX48,EIOPA_RFR!AX48*(1%+VLOOKUP($B43,Int_Rate_Param,2,FALSE))))</f>
        <v>8.2239999999999994E-2</v>
      </c>
      <c r="AY43" s="94">
        <f>IF($B43&gt;20,IF(EIOPA_RFR!AY48*(1%+VLOOKUP($B$27,Int_Rate_Param,2,FALSE))&lt;1%+EIOPA_RFR!AY48,1%+EIOPA_RFR!AY48,EIOPA_RFR!AY48*(1%+VLOOKUP($B$27,Int_Rate_Param,2,FALSE))),IF(EIOPA_RFR!AY48*(1%+VLOOKUP($B43,Int_Rate_Param,2,FALSE))&lt;1%+EIOPA_RFR!AY48,1%+EIOPA_RFR!AY48,EIOPA_RFR!AY48*(1%+VLOOKUP($B43,Int_Rate_Param,2,FALSE))))</f>
        <v>3.5400000000000001E-2</v>
      </c>
      <c r="AZ43" s="94">
        <f>IF($B43&gt;20,IF(EIOPA_RFR!AZ48*(1%+VLOOKUP($B$27,Int_Rate_Param,2,FALSE))&lt;1%+EIOPA_RFR!AZ48,1%+EIOPA_RFR!AZ48,EIOPA_RFR!AZ48*(1%+VLOOKUP($B$27,Int_Rate_Param,2,FALSE))),IF(EIOPA_RFR!AZ48*(1%+VLOOKUP($B43,Int_Rate_Param,2,FALSE))&lt;1%+EIOPA_RFR!AZ48,1%+EIOPA_RFR!AZ48,EIOPA_RFR!AZ48*(1%+VLOOKUP($B43,Int_Rate_Param,2,FALSE))))</f>
        <v>3.7789999999999997E-2</v>
      </c>
      <c r="BA43" s="94">
        <f>IF($B43&gt;20,IF(EIOPA_RFR!BA48*(1%+VLOOKUP($B$27,Int_Rate_Param,2,FALSE))&lt;1%+EIOPA_RFR!BA48,1%+EIOPA_RFR!BA48,EIOPA_RFR!BA48*(1%+VLOOKUP($B$27,Int_Rate_Param,2,FALSE))),IF(EIOPA_RFR!BA48*(1%+VLOOKUP($B43,Int_Rate_Param,2,FALSE))&lt;1%+EIOPA_RFR!BA48,1%+EIOPA_RFR!BA48,EIOPA_RFR!BA48*(1%+VLOOKUP($B43,Int_Rate_Param,2,FALSE))))</f>
        <v>4.4290000000000003E-2</v>
      </c>
      <c r="BB43" s="94">
        <f>IF($B43&gt;20,IF(EIOPA_RFR!BB48*(1%+VLOOKUP($B$27,Int_Rate_Param,2,FALSE))&lt;1%+EIOPA_RFR!BB48,1%+EIOPA_RFR!BB48,EIOPA_RFR!BB48*(1%+VLOOKUP($B$27,Int_Rate_Param,2,FALSE))),IF(EIOPA_RFR!BB48*(1%+VLOOKUP($B43,Int_Rate_Param,2,FALSE))&lt;1%+EIOPA_RFR!BB48,1%+EIOPA_RFR!BB48,EIOPA_RFR!BB48*(1%+VLOOKUP($B43,Int_Rate_Param,2,FALSE))))</f>
        <v>8.616E-2</v>
      </c>
      <c r="BC43" s="94">
        <f>IF($B43&gt;20,IF(EIOPA_RFR!BC48*(1%+VLOOKUP($B$27,Int_Rate_Param,2,FALSE))&lt;1%+EIOPA_RFR!BC48,1%+EIOPA_RFR!BC48,EIOPA_RFR!BC48*(1%+VLOOKUP($B$27,Int_Rate_Param,2,FALSE))),IF(EIOPA_RFR!BC48*(1%+VLOOKUP($B43,Int_Rate_Param,2,FALSE))&lt;1%+EIOPA_RFR!BC48,1%+EIOPA_RFR!BC48,EIOPA_RFR!BC48*(1%+VLOOKUP($B43,Int_Rate_Param,2,FALSE))))</f>
        <v>3.5340000000000003E-2</v>
      </c>
    </row>
    <row r="44" spans="1:55" x14ac:dyDescent="0.25">
      <c r="A44">
        <f t="shared" si="0"/>
        <v>39</v>
      </c>
      <c r="B44" s="95">
        <v>37</v>
      </c>
      <c r="C44" s="94">
        <f>IF($B44&gt;20,IF(EIOPA_RFR!C49*(1%+VLOOKUP($B$27,Int_Rate_Param,2,FALSE))&lt;1%+EIOPA_RFR!C49,1%+EIOPA_RFR!C49,EIOPA_RFR!C49*(1%+VLOOKUP($B$27,Int_Rate_Param,2,FALSE))),IF(EIOPA_RFR!C49*(1%+VLOOKUP($B44,Int_Rate_Param,2,FALSE))&lt;1%+EIOPA_RFR!C49,1%+EIOPA_RFR!C49,EIOPA_RFR!C49*(1%+VLOOKUP($B44,Int_Rate_Param,2,FALSE))))</f>
        <v>3.2440000000000004E-2</v>
      </c>
      <c r="D44" s="94">
        <f>IF($B44&gt;20,IF(EIOPA_RFR!D49*(1%+VLOOKUP($B$27,Int_Rate_Param,2,FALSE))&lt;1%+EIOPA_RFR!D49,1%+EIOPA_RFR!D49,EIOPA_RFR!D49*(1%+VLOOKUP($B$27,Int_Rate_Param,2,FALSE))),IF(EIOPA_RFR!D49*(1%+VLOOKUP($B44,Int_Rate_Param,2,FALSE))&lt;1%+EIOPA_RFR!D49,1%+EIOPA_RFR!D49,EIOPA_RFR!D49*(1%+VLOOKUP($B44,Int_Rate_Param,2,FALSE))))</f>
        <v>3.2440000000000004E-2</v>
      </c>
      <c r="E44" s="94">
        <f>IF($B44&gt;20,IF(EIOPA_RFR!E49*(1%+VLOOKUP($B$27,Int_Rate_Param,2,FALSE))&lt;1%+EIOPA_RFR!E49,1%+EIOPA_RFR!E49,EIOPA_RFR!E49*(1%+VLOOKUP($B$27,Int_Rate_Param,2,FALSE))),IF(EIOPA_RFR!E49*(1%+VLOOKUP($B44,Int_Rate_Param,2,FALSE))&lt;1%+EIOPA_RFR!E49,1%+EIOPA_RFR!E49,EIOPA_RFR!E49*(1%+VLOOKUP($B44,Int_Rate_Param,2,FALSE))))</f>
        <v>3.2440000000000004E-2</v>
      </c>
      <c r="F44" s="94">
        <f>IF($B44&gt;20,IF(EIOPA_RFR!F49*(1%+VLOOKUP($B$27,Int_Rate_Param,2,FALSE))&lt;1%+EIOPA_RFR!F49,1%+EIOPA_RFR!F49,EIOPA_RFR!F49*(1%+VLOOKUP($B$27,Int_Rate_Param,2,FALSE))),IF(EIOPA_RFR!F49*(1%+VLOOKUP($B44,Int_Rate_Param,2,FALSE))&lt;1%+EIOPA_RFR!F49,1%+EIOPA_RFR!F49,EIOPA_RFR!F49*(1%+VLOOKUP($B44,Int_Rate_Param,2,FALSE))))</f>
        <v>3.2100000000000004E-2</v>
      </c>
      <c r="G44" s="94">
        <f>IF($B44&gt;20,IF(EIOPA_RFR!G49*(1%+VLOOKUP($B$27,Int_Rate_Param,2,FALSE))&lt;1%+EIOPA_RFR!G49,1%+EIOPA_RFR!G49,EIOPA_RFR!G49*(1%+VLOOKUP($B$27,Int_Rate_Param,2,FALSE))),IF(EIOPA_RFR!G49*(1%+VLOOKUP($B44,Int_Rate_Param,2,FALSE))&lt;1%+EIOPA_RFR!G49,1%+EIOPA_RFR!G49,EIOPA_RFR!G49*(1%+VLOOKUP($B44,Int_Rate_Param,2,FALSE))))</f>
        <v>4.684E-2</v>
      </c>
      <c r="H44" s="94">
        <f>IF($B44&gt;20,IF(EIOPA_RFR!H49*(1%+VLOOKUP($B$27,Int_Rate_Param,2,FALSE))&lt;1%+EIOPA_RFR!H49,1%+EIOPA_RFR!H49,EIOPA_RFR!H49*(1%+VLOOKUP($B$27,Int_Rate_Param,2,FALSE))),IF(EIOPA_RFR!H49*(1%+VLOOKUP($B44,Int_Rate_Param,2,FALSE))&lt;1%+EIOPA_RFR!H49,1%+EIOPA_RFR!H49,EIOPA_RFR!H49*(1%+VLOOKUP($B44,Int_Rate_Param,2,FALSE))))</f>
        <v>3.2440000000000004E-2</v>
      </c>
      <c r="I44" s="94">
        <f>IF($B44&gt;20,IF(EIOPA_RFR!I49*(1%+VLOOKUP($B$27,Int_Rate_Param,2,FALSE))&lt;1%+EIOPA_RFR!I49,1%+EIOPA_RFR!I49,EIOPA_RFR!I49*(1%+VLOOKUP($B$27,Int_Rate_Param,2,FALSE))),IF(EIOPA_RFR!I49*(1%+VLOOKUP($B44,Int_Rate_Param,2,FALSE))&lt;1%+EIOPA_RFR!I49,1%+EIOPA_RFR!I49,EIOPA_RFR!I49*(1%+VLOOKUP($B44,Int_Rate_Param,2,FALSE))))</f>
        <v>3.619E-2</v>
      </c>
      <c r="J44" s="94">
        <f>IF($B44&gt;20,IF(EIOPA_RFR!J49*(1%+VLOOKUP($B$27,Int_Rate_Param,2,FALSE))&lt;1%+EIOPA_RFR!J49,1%+EIOPA_RFR!J49,EIOPA_RFR!J49*(1%+VLOOKUP($B$27,Int_Rate_Param,2,FALSE))),IF(EIOPA_RFR!J49*(1%+VLOOKUP($B44,Int_Rate_Param,2,FALSE))&lt;1%+EIOPA_RFR!J49,1%+EIOPA_RFR!J49,EIOPA_RFR!J49*(1%+VLOOKUP($B44,Int_Rate_Param,2,FALSE))))</f>
        <v>3.2379999999999999E-2</v>
      </c>
      <c r="K44" s="94">
        <f>IF($B44&gt;20,IF(EIOPA_RFR!K49*(1%+VLOOKUP($B$27,Int_Rate_Param,2,FALSE))&lt;1%+EIOPA_RFR!K49,1%+EIOPA_RFR!K49,EIOPA_RFR!K49*(1%+VLOOKUP($B$27,Int_Rate_Param,2,FALSE))),IF(EIOPA_RFR!K49*(1%+VLOOKUP($B44,Int_Rate_Param,2,FALSE))&lt;1%+EIOPA_RFR!K49,1%+EIOPA_RFR!K49,EIOPA_RFR!K49*(1%+VLOOKUP($B44,Int_Rate_Param,2,FALSE))))</f>
        <v>3.2440000000000004E-2</v>
      </c>
      <c r="L44" s="94">
        <f>IF($B44&gt;20,IF(EIOPA_RFR!L49*(1%+VLOOKUP($B$27,Int_Rate_Param,2,FALSE))&lt;1%+EIOPA_RFR!L49,1%+EIOPA_RFR!L49,EIOPA_RFR!L49*(1%+VLOOKUP($B$27,Int_Rate_Param,2,FALSE))),IF(EIOPA_RFR!L49*(1%+VLOOKUP($B44,Int_Rate_Param,2,FALSE))&lt;1%+EIOPA_RFR!L49,1%+EIOPA_RFR!L49,EIOPA_RFR!L49*(1%+VLOOKUP($B44,Int_Rate_Param,2,FALSE))))</f>
        <v>3.2440000000000004E-2</v>
      </c>
      <c r="M44" s="94">
        <f>IF($B44&gt;20,IF(EIOPA_RFR!M49*(1%+VLOOKUP($B$27,Int_Rate_Param,2,FALSE))&lt;1%+EIOPA_RFR!M49,1%+EIOPA_RFR!M49,EIOPA_RFR!M49*(1%+VLOOKUP($B$27,Int_Rate_Param,2,FALSE))),IF(EIOPA_RFR!M49*(1%+VLOOKUP($B44,Int_Rate_Param,2,FALSE))&lt;1%+EIOPA_RFR!M49,1%+EIOPA_RFR!M49,EIOPA_RFR!M49*(1%+VLOOKUP($B44,Int_Rate_Param,2,FALSE))))</f>
        <v>3.2440000000000004E-2</v>
      </c>
      <c r="N44" s="94">
        <f>IF($B44&gt;20,IF(EIOPA_RFR!N49*(1%+VLOOKUP($B$27,Int_Rate_Param,2,FALSE))&lt;1%+EIOPA_RFR!N49,1%+EIOPA_RFR!N49,EIOPA_RFR!N49*(1%+VLOOKUP($B$27,Int_Rate_Param,2,FALSE))),IF(EIOPA_RFR!N49*(1%+VLOOKUP($B44,Int_Rate_Param,2,FALSE))&lt;1%+EIOPA_RFR!N49,1%+EIOPA_RFR!N49,EIOPA_RFR!N49*(1%+VLOOKUP($B44,Int_Rate_Param,2,FALSE))))</f>
        <v>3.2440000000000004E-2</v>
      </c>
      <c r="O44" s="94">
        <f>IF($B44&gt;20,IF(EIOPA_RFR!O49*(1%+VLOOKUP($B$27,Int_Rate_Param,2,FALSE))&lt;1%+EIOPA_RFR!O49,1%+EIOPA_RFR!O49,EIOPA_RFR!O49*(1%+VLOOKUP($B$27,Int_Rate_Param,2,FALSE))),IF(EIOPA_RFR!O49*(1%+VLOOKUP($B44,Int_Rate_Param,2,FALSE))&lt;1%+EIOPA_RFR!O49,1%+EIOPA_RFR!O49,EIOPA_RFR!O49*(1%+VLOOKUP($B44,Int_Rate_Param,2,FALSE))))</f>
        <v>3.2440000000000004E-2</v>
      </c>
      <c r="P44" s="94">
        <f>IF($B44&gt;20,IF(EIOPA_RFR!P49*(1%+VLOOKUP($B$27,Int_Rate_Param,2,FALSE))&lt;1%+EIOPA_RFR!P49,1%+EIOPA_RFR!P49,EIOPA_RFR!P49*(1%+VLOOKUP($B$27,Int_Rate_Param,2,FALSE))),IF(EIOPA_RFR!P49*(1%+VLOOKUP($B44,Int_Rate_Param,2,FALSE))&lt;1%+EIOPA_RFR!P49,1%+EIOPA_RFR!P49,EIOPA_RFR!P49*(1%+VLOOKUP($B44,Int_Rate_Param,2,FALSE))))</f>
        <v>5.3460000000000001E-2</v>
      </c>
      <c r="Q44" s="94">
        <f>IF($B44&gt;20,IF(EIOPA_RFR!Q49*(1%+VLOOKUP($B$27,Int_Rate_Param,2,FALSE))&lt;1%+EIOPA_RFR!Q49,1%+EIOPA_RFR!Q49,EIOPA_RFR!Q49*(1%+VLOOKUP($B$27,Int_Rate_Param,2,FALSE))),IF(EIOPA_RFR!Q49*(1%+VLOOKUP($B44,Int_Rate_Param,2,FALSE))&lt;1%+EIOPA_RFR!Q49,1%+EIOPA_RFR!Q49,EIOPA_RFR!Q49*(1%+VLOOKUP($B44,Int_Rate_Param,2,FALSE))))</f>
        <v>5.4949999999999999E-2</v>
      </c>
      <c r="R44" s="94">
        <f>IF($B44&gt;20,IF(EIOPA_RFR!R49*(1%+VLOOKUP($B$27,Int_Rate_Param,2,FALSE))&lt;1%+EIOPA_RFR!R49,1%+EIOPA_RFR!R49,EIOPA_RFR!R49*(1%+VLOOKUP($B$27,Int_Rate_Param,2,FALSE))),IF(EIOPA_RFR!R49*(1%+VLOOKUP($B44,Int_Rate_Param,2,FALSE))&lt;1%+EIOPA_RFR!R49,1%+EIOPA_RFR!R49,EIOPA_RFR!R49*(1%+VLOOKUP($B44,Int_Rate_Param,2,FALSE))))</f>
        <v>3.2440000000000004E-2</v>
      </c>
      <c r="S44" s="94">
        <f>IF($B44&gt;20,IF(EIOPA_RFR!S49*(1%+VLOOKUP($B$27,Int_Rate_Param,2,FALSE))&lt;1%+EIOPA_RFR!S49,1%+EIOPA_RFR!S49,EIOPA_RFR!S49*(1%+VLOOKUP($B$27,Int_Rate_Param,2,FALSE))),IF(EIOPA_RFR!S49*(1%+VLOOKUP($B44,Int_Rate_Param,2,FALSE))&lt;1%+EIOPA_RFR!S49,1%+EIOPA_RFR!S49,EIOPA_RFR!S49*(1%+VLOOKUP($B44,Int_Rate_Param,2,FALSE))))</f>
        <v>3.2440000000000004E-2</v>
      </c>
      <c r="T44" s="94">
        <f>IF($B44&gt;20,IF(EIOPA_RFR!T49*(1%+VLOOKUP($B$27,Int_Rate_Param,2,FALSE))&lt;1%+EIOPA_RFR!T49,1%+EIOPA_RFR!T49,EIOPA_RFR!T49*(1%+VLOOKUP($B$27,Int_Rate_Param,2,FALSE))),IF(EIOPA_RFR!T49*(1%+VLOOKUP($B44,Int_Rate_Param,2,FALSE))&lt;1%+EIOPA_RFR!T49,1%+EIOPA_RFR!T49,EIOPA_RFR!T49*(1%+VLOOKUP($B44,Int_Rate_Param,2,FALSE))))</f>
        <v>3.2440000000000004E-2</v>
      </c>
      <c r="U44" s="94">
        <f>IF($B44&gt;20,IF(EIOPA_RFR!U49*(1%+VLOOKUP($B$27,Int_Rate_Param,2,FALSE))&lt;1%+EIOPA_RFR!U49,1%+EIOPA_RFR!U49,EIOPA_RFR!U49*(1%+VLOOKUP($B$27,Int_Rate_Param,2,FALSE))),IF(EIOPA_RFR!U49*(1%+VLOOKUP($B44,Int_Rate_Param,2,FALSE))&lt;1%+EIOPA_RFR!U49,1%+EIOPA_RFR!U49,EIOPA_RFR!U49*(1%+VLOOKUP($B44,Int_Rate_Param,2,FALSE))))</f>
        <v>2.0500000000000001E-2</v>
      </c>
      <c r="V44" s="94">
        <f>IF($B44&gt;20,IF(EIOPA_RFR!V49*(1%+VLOOKUP($B$27,Int_Rate_Param,2,FALSE))&lt;1%+EIOPA_RFR!V49,1%+EIOPA_RFR!V49,EIOPA_RFR!V49*(1%+VLOOKUP($B$27,Int_Rate_Param,2,FALSE))),IF(EIOPA_RFR!V49*(1%+VLOOKUP($B44,Int_Rate_Param,2,FALSE))&lt;1%+EIOPA_RFR!V49,1%+EIOPA_RFR!V49,EIOPA_RFR!V49*(1%+VLOOKUP($B44,Int_Rate_Param,2,FALSE))))</f>
        <v>3.2440000000000004E-2</v>
      </c>
      <c r="W44" s="94">
        <f>IF($B44&gt;20,IF(EIOPA_RFR!W49*(1%+VLOOKUP($B$27,Int_Rate_Param,2,FALSE))&lt;1%+EIOPA_RFR!W49,1%+EIOPA_RFR!W49,EIOPA_RFR!W49*(1%+VLOOKUP($B$27,Int_Rate_Param,2,FALSE))),IF(EIOPA_RFR!W49*(1%+VLOOKUP($B44,Int_Rate_Param,2,FALSE))&lt;1%+EIOPA_RFR!W49,1%+EIOPA_RFR!W49,EIOPA_RFR!W49*(1%+VLOOKUP($B44,Int_Rate_Param,2,FALSE))))</f>
        <v>3.2440000000000004E-2</v>
      </c>
      <c r="X44" s="94">
        <f>IF($B44&gt;20,IF(EIOPA_RFR!X49*(1%+VLOOKUP($B$27,Int_Rate_Param,2,FALSE))&lt;1%+EIOPA_RFR!X49,1%+EIOPA_RFR!X49,EIOPA_RFR!X49*(1%+VLOOKUP($B$27,Int_Rate_Param,2,FALSE))),IF(EIOPA_RFR!X49*(1%+VLOOKUP($B44,Int_Rate_Param,2,FALSE))&lt;1%+EIOPA_RFR!X49,1%+EIOPA_RFR!X49,EIOPA_RFR!X49*(1%+VLOOKUP($B44,Int_Rate_Param,2,FALSE))))</f>
        <v>3.2440000000000004E-2</v>
      </c>
      <c r="Y44" s="94">
        <f>IF($B44&gt;20,IF(EIOPA_RFR!Y49*(1%+VLOOKUP($B$27,Int_Rate_Param,2,FALSE))&lt;1%+EIOPA_RFR!Y49,1%+EIOPA_RFR!Y49,EIOPA_RFR!Y49*(1%+VLOOKUP($B$27,Int_Rate_Param,2,FALSE))),IF(EIOPA_RFR!Y49*(1%+VLOOKUP($B44,Int_Rate_Param,2,FALSE))&lt;1%+EIOPA_RFR!Y49,1%+EIOPA_RFR!Y49,EIOPA_RFR!Y49*(1%+VLOOKUP($B44,Int_Rate_Param,2,FALSE))))</f>
        <v>3.2440000000000004E-2</v>
      </c>
      <c r="Z44" s="94">
        <f>IF($B44&gt;20,IF(EIOPA_RFR!Z49*(1%+VLOOKUP($B$27,Int_Rate_Param,2,FALSE))&lt;1%+EIOPA_RFR!Z49,1%+EIOPA_RFR!Z49,EIOPA_RFR!Z49*(1%+VLOOKUP($B$27,Int_Rate_Param,2,FALSE))),IF(EIOPA_RFR!Z49*(1%+VLOOKUP($B44,Int_Rate_Param,2,FALSE))&lt;1%+EIOPA_RFR!Z49,1%+EIOPA_RFR!Z49,EIOPA_RFR!Z49*(1%+VLOOKUP($B44,Int_Rate_Param,2,FALSE))))</f>
        <v>4.1550000000000004E-2</v>
      </c>
      <c r="AA44" s="94">
        <f>IF($B44&gt;20,IF(EIOPA_RFR!AA49*(1%+VLOOKUP($B$27,Int_Rate_Param,2,FALSE))&lt;1%+EIOPA_RFR!AA49,1%+EIOPA_RFR!AA49,EIOPA_RFR!AA49*(1%+VLOOKUP($B$27,Int_Rate_Param,2,FALSE))),IF(EIOPA_RFR!AA49*(1%+VLOOKUP($B44,Int_Rate_Param,2,FALSE))&lt;1%+EIOPA_RFR!AA49,1%+EIOPA_RFR!AA49,EIOPA_RFR!AA49*(1%+VLOOKUP($B44,Int_Rate_Param,2,FALSE))))</f>
        <v>5.0650000000000001E-2</v>
      </c>
      <c r="AB44" s="94">
        <f>IF($B44&gt;20,IF(EIOPA_RFR!AB49*(1%+VLOOKUP($B$27,Int_Rate_Param,2,FALSE))&lt;1%+EIOPA_RFR!AB49,1%+EIOPA_RFR!AB49,EIOPA_RFR!AB49*(1%+VLOOKUP($B$27,Int_Rate_Param,2,FALSE))),IF(EIOPA_RFR!AB49*(1%+VLOOKUP($B44,Int_Rate_Param,2,FALSE))&lt;1%+EIOPA_RFR!AB49,1%+EIOPA_RFR!AB49,EIOPA_RFR!AB49*(1%+VLOOKUP($B44,Int_Rate_Param,2,FALSE))))</f>
        <v>3.2440000000000004E-2</v>
      </c>
      <c r="AC44" s="94">
        <f>IF($B44&gt;20,IF(EIOPA_RFR!AC49*(1%+VLOOKUP($B$27,Int_Rate_Param,2,FALSE))&lt;1%+EIOPA_RFR!AC49,1%+EIOPA_RFR!AC49,EIOPA_RFR!AC49*(1%+VLOOKUP($B$27,Int_Rate_Param,2,FALSE))),IF(EIOPA_RFR!AC49*(1%+VLOOKUP($B44,Int_Rate_Param,2,FALSE))&lt;1%+EIOPA_RFR!AC49,1%+EIOPA_RFR!AC49,EIOPA_RFR!AC49*(1%+VLOOKUP($B44,Int_Rate_Param,2,FALSE))))</f>
        <v>5.3800000000000001E-2</v>
      </c>
      <c r="AD44" s="94">
        <f>IF($B44&gt;20,IF(EIOPA_RFR!AD49*(1%+VLOOKUP($B$27,Int_Rate_Param,2,FALSE))&lt;1%+EIOPA_RFR!AD49,1%+EIOPA_RFR!AD49,EIOPA_RFR!AD49*(1%+VLOOKUP($B$27,Int_Rate_Param,2,FALSE))),IF(EIOPA_RFR!AD49*(1%+VLOOKUP($B44,Int_Rate_Param,2,FALSE))&lt;1%+EIOPA_RFR!AD49,1%+EIOPA_RFR!AD49,EIOPA_RFR!AD49*(1%+VLOOKUP($B44,Int_Rate_Param,2,FALSE))))</f>
        <v>6.7729999999999999E-2</v>
      </c>
      <c r="AE44" s="94">
        <f>IF($B44&gt;20,IF(EIOPA_RFR!AE49*(1%+VLOOKUP($B$27,Int_Rate_Param,2,FALSE))&lt;1%+EIOPA_RFR!AE49,1%+EIOPA_RFR!AE49,EIOPA_RFR!AE49*(1%+VLOOKUP($B$27,Int_Rate_Param,2,FALSE))),IF(EIOPA_RFR!AE49*(1%+VLOOKUP($B44,Int_Rate_Param,2,FALSE))&lt;1%+EIOPA_RFR!AE49,1%+EIOPA_RFR!AE49,EIOPA_RFR!AE49*(1%+VLOOKUP($B44,Int_Rate_Param,2,FALSE))))</f>
        <v>3.2440000000000004E-2</v>
      </c>
      <c r="AF44" s="94">
        <f>IF($B44&gt;20,IF(EIOPA_RFR!AF49*(1%+VLOOKUP($B$27,Int_Rate_Param,2,FALSE))&lt;1%+EIOPA_RFR!AF49,1%+EIOPA_RFR!AF49,EIOPA_RFR!AF49*(1%+VLOOKUP($B$27,Int_Rate_Param,2,FALSE))),IF(EIOPA_RFR!AF49*(1%+VLOOKUP($B44,Int_Rate_Param,2,FALSE))&lt;1%+EIOPA_RFR!AF49,1%+EIOPA_RFR!AF49,EIOPA_RFR!AF49*(1%+VLOOKUP($B44,Int_Rate_Param,2,FALSE))))</f>
        <v>3.2440000000000004E-2</v>
      </c>
      <c r="AG44" s="94">
        <f>IF($B44&gt;20,IF(EIOPA_RFR!AG49*(1%+VLOOKUP($B$27,Int_Rate_Param,2,FALSE))&lt;1%+EIOPA_RFR!AG49,1%+EIOPA_RFR!AG49,EIOPA_RFR!AG49*(1%+VLOOKUP($B$27,Int_Rate_Param,2,FALSE))),IF(EIOPA_RFR!AG49*(1%+VLOOKUP($B44,Int_Rate_Param,2,FALSE))&lt;1%+EIOPA_RFR!AG49,1%+EIOPA_RFR!AG49,EIOPA_RFR!AG49*(1%+VLOOKUP($B44,Int_Rate_Param,2,FALSE))))</f>
        <v>3.2440000000000004E-2</v>
      </c>
      <c r="AH44" s="94">
        <f>IF($B44&gt;20,IF(EIOPA_RFR!AH49*(1%+VLOOKUP($B$27,Int_Rate_Param,2,FALSE))&lt;1%+EIOPA_RFR!AH49,1%+EIOPA_RFR!AH49,EIOPA_RFR!AH49*(1%+VLOOKUP($B$27,Int_Rate_Param,2,FALSE))),IF(EIOPA_RFR!AH49*(1%+VLOOKUP($B44,Int_Rate_Param,2,FALSE))&lt;1%+EIOPA_RFR!AH49,1%+EIOPA_RFR!AH49,EIOPA_RFR!AH49*(1%+VLOOKUP($B44,Int_Rate_Param,2,FALSE))))</f>
        <v>4.24E-2</v>
      </c>
      <c r="AI44" s="94">
        <f>IF($B44&gt;20,IF(EIOPA_RFR!AI49*(1%+VLOOKUP($B$27,Int_Rate_Param,2,FALSE))&lt;1%+EIOPA_RFR!AI49,1%+EIOPA_RFR!AI49,EIOPA_RFR!AI49*(1%+VLOOKUP($B$27,Int_Rate_Param,2,FALSE))),IF(EIOPA_RFR!AI49*(1%+VLOOKUP($B44,Int_Rate_Param,2,FALSE))&lt;1%+EIOPA_RFR!AI49,1%+EIOPA_RFR!AI49,EIOPA_RFR!AI49*(1%+VLOOKUP($B44,Int_Rate_Param,2,FALSE))))</f>
        <v>2.0500000000000001E-2</v>
      </c>
      <c r="AJ44" s="94">
        <f>IF($B44&gt;20,IF(EIOPA_RFR!AJ49*(1%+VLOOKUP($B$27,Int_Rate_Param,2,FALSE))&lt;1%+EIOPA_RFR!AJ49,1%+EIOPA_RFR!AJ49,EIOPA_RFR!AJ49*(1%+VLOOKUP($B$27,Int_Rate_Param,2,FALSE))),IF(EIOPA_RFR!AJ49*(1%+VLOOKUP($B44,Int_Rate_Param,2,FALSE))&lt;1%+EIOPA_RFR!AJ49,1%+EIOPA_RFR!AJ49,EIOPA_RFR!AJ49*(1%+VLOOKUP($B44,Int_Rate_Param,2,FALSE))))</f>
        <v>2.1900000000000003E-2</v>
      </c>
      <c r="AK44" s="94">
        <f>IF($B44&gt;20,IF(EIOPA_RFR!AK49*(1%+VLOOKUP($B$27,Int_Rate_Param,2,FALSE))&lt;1%+EIOPA_RFR!AK49,1%+EIOPA_RFR!AK49,EIOPA_RFR!AK49*(1%+VLOOKUP($B$27,Int_Rate_Param,2,FALSE))),IF(EIOPA_RFR!AK49*(1%+VLOOKUP($B44,Int_Rate_Param,2,FALSE))&lt;1%+EIOPA_RFR!AK49,1%+EIOPA_RFR!AK49,EIOPA_RFR!AK49*(1%+VLOOKUP($B44,Int_Rate_Param,2,FALSE))))</f>
        <v>4.3770000000000003E-2</v>
      </c>
      <c r="AL44" s="94">
        <f>IF($B44&gt;20,IF(EIOPA_RFR!AL49*(1%+VLOOKUP($B$27,Int_Rate_Param,2,FALSE))&lt;1%+EIOPA_RFR!AL49,1%+EIOPA_RFR!AL49,EIOPA_RFR!AL49*(1%+VLOOKUP($B$27,Int_Rate_Param,2,FALSE))),IF(EIOPA_RFR!AL49*(1%+VLOOKUP($B44,Int_Rate_Param,2,FALSE))&lt;1%+EIOPA_RFR!AL49,1%+EIOPA_RFR!AL49,EIOPA_RFR!AL49*(1%+VLOOKUP($B44,Int_Rate_Param,2,FALSE))))</f>
        <v>8.3229999999999998E-2</v>
      </c>
      <c r="AM44" s="94">
        <f>IF($B44&gt;20,IF(EIOPA_RFR!AM49*(1%+VLOOKUP($B$27,Int_Rate_Param,2,FALSE))&lt;1%+EIOPA_RFR!AM49,1%+EIOPA_RFR!AM49,EIOPA_RFR!AM49*(1%+VLOOKUP($B$27,Int_Rate_Param,2,FALSE))),IF(EIOPA_RFR!AM49*(1%+VLOOKUP($B44,Int_Rate_Param,2,FALSE))&lt;1%+EIOPA_RFR!AM49,1%+EIOPA_RFR!AM49,EIOPA_RFR!AM49*(1%+VLOOKUP($B44,Int_Rate_Param,2,FALSE))))</f>
        <v>3.4110000000000001E-2</v>
      </c>
      <c r="AN44" s="94">
        <f>IF($B44&gt;20,IF(EIOPA_RFR!AN49*(1%+VLOOKUP($B$27,Int_Rate_Param,2,FALSE))&lt;1%+EIOPA_RFR!AN49,1%+EIOPA_RFR!AN49,EIOPA_RFR!AN49*(1%+VLOOKUP($B$27,Int_Rate_Param,2,FALSE))),IF(EIOPA_RFR!AN49*(1%+VLOOKUP($B44,Int_Rate_Param,2,FALSE))&lt;1%+EIOPA_RFR!AN49,1%+EIOPA_RFR!AN49,EIOPA_RFR!AN49*(1%+VLOOKUP($B44,Int_Rate_Param,2,FALSE))))</f>
        <v>5.2569999999999999E-2</v>
      </c>
      <c r="AO44" s="94">
        <f>IF($B44&gt;20,IF(EIOPA_RFR!AO49*(1%+VLOOKUP($B$27,Int_Rate_Param,2,FALSE))&lt;1%+EIOPA_RFR!AO49,1%+EIOPA_RFR!AO49,EIOPA_RFR!AO49*(1%+VLOOKUP($B$27,Int_Rate_Param,2,FALSE))),IF(EIOPA_RFR!AO49*(1%+VLOOKUP($B44,Int_Rate_Param,2,FALSE))&lt;1%+EIOPA_RFR!AO49,1%+EIOPA_RFR!AO49,EIOPA_RFR!AO49*(1%+VLOOKUP($B44,Int_Rate_Param,2,FALSE))))</f>
        <v>5.3929999999999999E-2</v>
      </c>
      <c r="AP44" s="94">
        <f>IF($B44&gt;20,IF(EIOPA_RFR!AP49*(1%+VLOOKUP($B$27,Int_Rate_Param,2,FALSE))&lt;1%+EIOPA_RFR!AP49,1%+EIOPA_RFR!AP49,EIOPA_RFR!AP49*(1%+VLOOKUP($B$27,Int_Rate_Param,2,FALSE))),IF(EIOPA_RFR!AP49*(1%+VLOOKUP($B44,Int_Rate_Param,2,FALSE))&lt;1%+EIOPA_RFR!AP49,1%+EIOPA_RFR!AP49,EIOPA_RFR!AP49*(1%+VLOOKUP($B44,Int_Rate_Param,2,FALSE))))</f>
        <v>6.4059999999999992E-2</v>
      </c>
      <c r="AQ44" s="94">
        <f>IF($B44&gt;20,IF(EIOPA_RFR!AQ49*(1%+VLOOKUP($B$27,Int_Rate_Param,2,FALSE))&lt;1%+EIOPA_RFR!AQ49,1%+EIOPA_RFR!AQ49,EIOPA_RFR!AQ49*(1%+VLOOKUP($B$27,Int_Rate_Param,2,FALSE))),IF(EIOPA_RFR!AQ49*(1%+VLOOKUP($B44,Int_Rate_Param,2,FALSE))&lt;1%+EIOPA_RFR!AQ49,1%+EIOPA_RFR!AQ49,EIOPA_RFR!AQ49*(1%+VLOOKUP($B44,Int_Rate_Param,2,FALSE))))</f>
        <v>4.2009999999999999E-2</v>
      </c>
      <c r="AR44" s="94">
        <f>IF($B44&gt;20,IF(EIOPA_RFR!AR49*(1%+VLOOKUP($B$27,Int_Rate_Param,2,FALSE))&lt;1%+EIOPA_RFR!AR49,1%+EIOPA_RFR!AR49,EIOPA_RFR!AR49*(1%+VLOOKUP($B$27,Int_Rate_Param,2,FALSE))),IF(EIOPA_RFR!AR49*(1%+VLOOKUP($B44,Int_Rate_Param,2,FALSE))&lt;1%+EIOPA_RFR!AR49,1%+EIOPA_RFR!AR49,EIOPA_RFR!AR49*(1%+VLOOKUP($B44,Int_Rate_Param,2,FALSE))))</f>
        <v>7.1929999999999994E-2</v>
      </c>
      <c r="AS44" s="94">
        <f>IF($B44&gt;20,IF(EIOPA_RFR!AS49*(1%+VLOOKUP($B$27,Int_Rate_Param,2,FALSE))&lt;1%+EIOPA_RFR!AS49,1%+EIOPA_RFR!AS49,EIOPA_RFR!AS49*(1%+VLOOKUP($B$27,Int_Rate_Param,2,FALSE))),IF(EIOPA_RFR!AS49*(1%+VLOOKUP($B44,Int_Rate_Param,2,FALSE))&lt;1%+EIOPA_RFR!AS49,1%+EIOPA_RFR!AS49,EIOPA_RFR!AS49*(1%+VLOOKUP($B44,Int_Rate_Param,2,FALSE))))</f>
        <v>1.9990000000000001E-2</v>
      </c>
      <c r="AT44" s="94">
        <f>IF($B44&gt;20,IF(EIOPA_RFR!AT49*(1%+VLOOKUP($B$27,Int_Rate_Param,2,FALSE))&lt;1%+EIOPA_RFR!AT49,1%+EIOPA_RFR!AT49,EIOPA_RFR!AT49*(1%+VLOOKUP($B$27,Int_Rate_Param,2,FALSE))),IF(EIOPA_RFR!AT49*(1%+VLOOKUP($B44,Int_Rate_Param,2,FALSE))&lt;1%+EIOPA_RFR!AT49,1%+EIOPA_RFR!AT49,EIOPA_RFR!AT49*(1%+VLOOKUP($B44,Int_Rate_Param,2,FALSE))))</f>
        <v>5.3470000000000004E-2</v>
      </c>
      <c r="AU44" s="94">
        <f>IF($B44&gt;20,IF(EIOPA_RFR!AU49*(1%+VLOOKUP($B$27,Int_Rate_Param,2,FALSE))&lt;1%+EIOPA_RFR!AU49,1%+EIOPA_RFR!AU49,EIOPA_RFR!AU49*(1%+VLOOKUP($B$27,Int_Rate_Param,2,FALSE))),IF(EIOPA_RFR!AU49*(1%+VLOOKUP($B44,Int_Rate_Param,2,FALSE))&lt;1%+EIOPA_RFR!AU49,1%+EIOPA_RFR!AU49,EIOPA_RFR!AU49*(1%+VLOOKUP($B44,Int_Rate_Param,2,FALSE))))</f>
        <v>8.2099999999999992E-2</v>
      </c>
      <c r="AV44" s="94">
        <f>IF($B44&gt;20,IF(EIOPA_RFR!AV49*(1%+VLOOKUP($B$27,Int_Rate_Param,2,FALSE))&lt;1%+EIOPA_RFR!AV49,1%+EIOPA_RFR!AV49,EIOPA_RFR!AV49*(1%+VLOOKUP($B$27,Int_Rate_Param,2,FALSE))),IF(EIOPA_RFR!AV49*(1%+VLOOKUP($B44,Int_Rate_Param,2,FALSE))&lt;1%+EIOPA_RFR!AV49,1%+EIOPA_RFR!AV49,EIOPA_RFR!AV49*(1%+VLOOKUP($B44,Int_Rate_Param,2,FALSE))))</f>
        <v>5.185E-2</v>
      </c>
      <c r="AW44" s="94">
        <f>IF($B44&gt;20,IF(EIOPA_RFR!AW49*(1%+VLOOKUP($B$27,Int_Rate_Param,2,FALSE))&lt;1%+EIOPA_RFR!AW49,1%+EIOPA_RFR!AW49,EIOPA_RFR!AW49*(1%+VLOOKUP($B$27,Int_Rate_Param,2,FALSE))),IF(EIOPA_RFR!AW49*(1%+VLOOKUP($B44,Int_Rate_Param,2,FALSE))&lt;1%+EIOPA_RFR!AW49,1%+EIOPA_RFR!AW49,EIOPA_RFR!AW49*(1%+VLOOKUP($B44,Int_Rate_Param,2,FALSE))))</f>
        <v>4.1739999999999999E-2</v>
      </c>
      <c r="AX44" s="94">
        <f>IF($B44&gt;20,IF(EIOPA_RFR!AX49*(1%+VLOOKUP($B$27,Int_Rate_Param,2,FALSE))&lt;1%+EIOPA_RFR!AX49,1%+EIOPA_RFR!AX49,EIOPA_RFR!AX49*(1%+VLOOKUP($B$27,Int_Rate_Param,2,FALSE))),IF(EIOPA_RFR!AX49*(1%+VLOOKUP($B44,Int_Rate_Param,2,FALSE))&lt;1%+EIOPA_RFR!AX49,1%+EIOPA_RFR!AX49,EIOPA_RFR!AX49*(1%+VLOOKUP($B44,Int_Rate_Param,2,FALSE))))</f>
        <v>8.1749999999999989E-2</v>
      </c>
      <c r="AY44" s="94">
        <f>IF($B44&gt;20,IF(EIOPA_RFR!AY49*(1%+VLOOKUP($B$27,Int_Rate_Param,2,FALSE))&lt;1%+EIOPA_RFR!AY49,1%+EIOPA_RFR!AY49,EIOPA_RFR!AY49*(1%+VLOOKUP($B$27,Int_Rate_Param,2,FALSE))),IF(EIOPA_RFR!AY49*(1%+VLOOKUP($B44,Int_Rate_Param,2,FALSE))&lt;1%+EIOPA_RFR!AY49,1%+EIOPA_RFR!AY49,EIOPA_RFR!AY49*(1%+VLOOKUP($B44,Int_Rate_Param,2,FALSE))))</f>
        <v>3.5779999999999999E-2</v>
      </c>
      <c r="AZ44" s="94">
        <f>IF($B44&gt;20,IF(EIOPA_RFR!AZ49*(1%+VLOOKUP($B$27,Int_Rate_Param,2,FALSE))&lt;1%+EIOPA_RFR!AZ49,1%+EIOPA_RFR!AZ49,EIOPA_RFR!AZ49*(1%+VLOOKUP($B$27,Int_Rate_Param,2,FALSE))),IF(EIOPA_RFR!AZ49*(1%+VLOOKUP($B44,Int_Rate_Param,2,FALSE))&lt;1%+EIOPA_RFR!AZ49,1%+EIOPA_RFR!AZ49,EIOPA_RFR!AZ49*(1%+VLOOKUP($B44,Int_Rate_Param,2,FALSE))))</f>
        <v>3.814E-2</v>
      </c>
      <c r="BA44" s="94">
        <f>IF($B44&gt;20,IF(EIOPA_RFR!BA49*(1%+VLOOKUP($B$27,Int_Rate_Param,2,FALSE))&lt;1%+EIOPA_RFR!BA49,1%+EIOPA_RFR!BA49,EIOPA_RFR!BA49*(1%+VLOOKUP($B$27,Int_Rate_Param,2,FALSE))),IF(EIOPA_RFR!BA49*(1%+VLOOKUP($B44,Int_Rate_Param,2,FALSE))&lt;1%+EIOPA_RFR!BA49,1%+EIOPA_RFR!BA49,EIOPA_RFR!BA49*(1%+VLOOKUP($B44,Int_Rate_Param,2,FALSE))))</f>
        <v>4.4470000000000003E-2</v>
      </c>
      <c r="BB44" s="94">
        <f>IF($B44&gt;20,IF(EIOPA_RFR!BB49*(1%+VLOOKUP($B$27,Int_Rate_Param,2,FALSE))&lt;1%+EIOPA_RFR!BB49,1%+EIOPA_RFR!BB49,EIOPA_RFR!BB49*(1%+VLOOKUP($B$27,Int_Rate_Param,2,FALSE))),IF(EIOPA_RFR!BB49*(1%+VLOOKUP($B44,Int_Rate_Param,2,FALSE))&lt;1%+EIOPA_RFR!BB49,1%+EIOPA_RFR!BB49,EIOPA_RFR!BB49*(1%+VLOOKUP($B44,Int_Rate_Param,2,FALSE))))</f>
        <v>8.5550000000000001E-2</v>
      </c>
      <c r="BC44" s="94">
        <f>IF($B44&gt;20,IF(EIOPA_RFR!BC49*(1%+VLOOKUP($B$27,Int_Rate_Param,2,FALSE))&lt;1%+EIOPA_RFR!BC49,1%+EIOPA_RFR!BC49,EIOPA_RFR!BC49*(1%+VLOOKUP($B$27,Int_Rate_Param,2,FALSE))),IF(EIOPA_RFR!BC49*(1%+VLOOKUP($B44,Int_Rate_Param,2,FALSE))&lt;1%+EIOPA_RFR!BC49,1%+EIOPA_RFR!BC49,EIOPA_RFR!BC49*(1%+VLOOKUP($B44,Int_Rate_Param,2,FALSE))))</f>
        <v>3.5299999999999998E-2</v>
      </c>
    </row>
    <row r="45" spans="1:55" x14ac:dyDescent="0.25">
      <c r="A45">
        <f t="shared" si="0"/>
        <v>40</v>
      </c>
      <c r="B45" s="95">
        <v>38</v>
      </c>
      <c r="C45" s="94">
        <f>IF($B45&gt;20,IF(EIOPA_RFR!C50*(1%+VLOOKUP($B$27,Int_Rate_Param,2,FALSE))&lt;1%+EIOPA_RFR!C50,1%+EIOPA_RFR!C50,EIOPA_RFR!C50*(1%+VLOOKUP($B$27,Int_Rate_Param,2,FALSE))),IF(EIOPA_RFR!C50*(1%+VLOOKUP($B45,Int_Rate_Param,2,FALSE))&lt;1%+EIOPA_RFR!C50,1%+EIOPA_RFR!C50,EIOPA_RFR!C50*(1%+VLOOKUP($B45,Int_Rate_Param,2,FALSE))))</f>
        <v>3.2910000000000002E-2</v>
      </c>
      <c r="D45" s="94">
        <f>IF($B45&gt;20,IF(EIOPA_RFR!D50*(1%+VLOOKUP($B$27,Int_Rate_Param,2,FALSE))&lt;1%+EIOPA_RFR!D50,1%+EIOPA_RFR!D50,EIOPA_RFR!D50*(1%+VLOOKUP($B$27,Int_Rate_Param,2,FALSE))),IF(EIOPA_RFR!D50*(1%+VLOOKUP($B45,Int_Rate_Param,2,FALSE))&lt;1%+EIOPA_RFR!D50,1%+EIOPA_RFR!D50,EIOPA_RFR!D50*(1%+VLOOKUP($B45,Int_Rate_Param,2,FALSE))))</f>
        <v>3.2910000000000002E-2</v>
      </c>
      <c r="E45" s="94">
        <f>IF($B45&gt;20,IF(EIOPA_RFR!E50*(1%+VLOOKUP($B$27,Int_Rate_Param,2,FALSE))&lt;1%+EIOPA_RFR!E50,1%+EIOPA_RFR!E50,EIOPA_RFR!E50*(1%+VLOOKUP($B$27,Int_Rate_Param,2,FALSE))),IF(EIOPA_RFR!E50*(1%+VLOOKUP($B45,Int_Rate_Param,2,FALSE))&lt;1%+EIOPA_RFR!E50,1%+EIOPA_RFR!E50,EIOPA_RFR!E50*(1%+VLOOKUP($B45,Int_Rate_Param,2,FALSE))))</f>
        <v>3.2910000000000002E-2</v>
      </c>
      <c r="F45" s="94">
        <f>IF($B45&gt;20,IF(EIOPA_RFR!F50*(1%+VLOOKUP($B$27,Int_Rate_Param,2,FALSE))&lt;1%+EIOPA_RFR!F50,1%+EIOPA_RFR!F50,EIOPA_RFR!F50*(1%+VLOOKUP($B$27,Int_Rate_Param,2,FALSE))),IF(EIOPA_RFR!F50*(1%+VLOOKUP($B45,Int_Rate_Param,2,FALSE))&lt;1%+EIOPA_RFR!F50,1%+EIOPA_RFR!F50,EIOPA_RFR!F50*(1%+VLOOKUP($B45,Int_Rate_Param,2,FALSE))))</f>
        <v>3.2570000000000002E-2</v>
      </c>
      <c r="G45" s="94">
        <f>IF($B45&gt;20,IF(EIOPA_RFR!G50*(1%+VLOOKUP($B$27,Int_Rate_Param,2,FALSE))&lt;1%+EIOPA_RFR!G50,1%+EIOPA_RFR!G50,EIOPA_RFR!G50*(1%+VLOOKUP($B$27,Int_Rate_Param,2,FALSE))),IF(EIOPA_RFR!G50*(1%+VLOOKUP($B45,Int_Rate_Param,2,FALSE))&lt;1%+EIOPA_RFR!G50,1%+EIOPA_RFR!G50,EIOPA_RFR!G50*(1%+VLOOKUP($B45,Int_Rate_Param,2,FALSE))))</f>
        <v>4.6960000000000002E-2</v>
      </c>
      <c r="H45" s="94">
        <f>IF($B45&gt;20,IF(EIOPA_RFR!H50*(1%+VLOOKUP($B$27,Int_Rate_Param,2,FALSE))&lt;1%+EIOPA_RFR!H50,1%+EIOPA_RFR!H50,EIOPA_RFR!H50*(1%+VLOOKUP($B$27,Int_Rate_Param,2,FALSE))),IF(EIOPA_RFR!H50*(1%+VLOOKUP($B45,Int_Rate_Param,2,FALSE))&lt;1%+EIOPA_RFR!H50,1%+EIOPA_RFR!H50,EIOPA_RFR!H50*(1%+VLOOKUP($B45,Int_Rate_Param,2,FALSE))))</f>
        <v>3.2910000000000002E-2</v>
      </c>
      <c r="I45" s="94">
        <f>IF($B45&gt;20,IF(EIOPA_RFR!I50*(1%+VLOOKUP($B$27,Int_Rate_Param,2,FALSE))&lt;1%+EIOPA_RFR!I50,1%+EIOPA_RFR!I50,EIOPA_RFR!I50*(1%+VLOOKUP($B$27,Int_Rate_Param,2,FALSE))),IF(EIOPA_RFR!I50*(1%+VLOOKUP($B45,Int_Rate_Param,2,FALSE))&lt;1%+EIOPA_RFR!I50,1%+EIOPA_RFR!I50,EIOPA_RFR!I50*(1%+VLOOKUP($B45,Int_Rate_Param,2,FALSE))))</f>
        <v>3.6560000000000002E-2</v>
      </c>
      <c r="J45" s="94">
        <f>IF($B45&gt;20,IF(EIOPA_RFR!J50*(1%+VLOOKUP($B$27,Int_Rate_Param,2,FALSE))&lt;1%+EIOPA_RFR!J50,1%+EIOPA_RFR!J50,EIOPA_RFR!J50*(1%+VLOOKUP($B$27,Int_Rate_Param,2,FALSE))),IF(EIOPA_RFR!J50*(1%+VLOOKUP($B45,Int_Rate_Param,2,FALSE))&lt;1%+EIOPA_RFR!J50,1%+EIOPA_RFR!J50,EIOPA_RFR!J50*(1%+VLOOKUP($B45,Int_Rate_Param,2,FALSE))))</f>
        <v>3.2840000000000001E-2</v>
      </c>
      <c r="K45" s="94">
        <f>IF($B45&gt;20,IF(EIOPA_RFR!K50*(1%+VLOOKUP($B$27,Int_Rate_Param,2,FALSE))&lt;1%+EIOPA_RFR!K50,1%+EIOPA_RFR!K50,EIOPA_RFR!K50*(1%+VLOOKUP($B$27,Int_Rate_Param,2,FALSE))),IF(EIOPA_RFR!K50*(1%+VLOOKUP($B45,Int_Rate_Param,2,FALSE))&lt;1%+EIOPA_RFR!K50,1%+EIOPA_RFR!K50,EIOPA_RFR!K50*(1%+VLOOKUP($B45,Int_Rate_Param,2,FALSE))))</f>
        <v>3.2910000000000002E-2</v>
      </c>
      <c r="L45" s="94">
        <f>IF($B45&gt;20,IF(EIOPA_RFR!L50*(1%+VLOOKUP($B$27,Int_Rate_Param,2,FALSE))&lt;1%+EIOPA_RFR!L50,1%+EIOPA_RFR!L50,EIOPA_RFR!L50*(1%+VLOOKUP($B$27,Int_Rate_Param,2,FALSE))),IF(EIOPA_RFR!L50*(1%+VLOOKUP($B45,Int_Rate_Param,2,FALSE))&lt;1%+EIOPA_RFR!L50,1%+EIOPA_RFR!L50,EIOPA_RFR!L50*(1%+VLOOKUP($B45,Int_Rate_Param,2,FALSE))))</f>
        <v>3.2910000000000002E-2</v>
      </c>
      <c r="M45" s="94">
        <f>IF($B45&gt;20,IF(EIOPA_RFR!M50*(1%+VLOOKUP($B$27,Int_Rate_Param,2,FALSE))&lt;1%+EIOPA_RFR!M50,1%+EIOPA_RFR!M50,EIOPA_RFR!M50*(1%+VLOOKUP($B$27,Int_Rate_Param,2,FALSE))),IF(EIOPA_RFR!M50*(1%+VLOOKUP($B45,Int_Rate_Param,2,FALSE))&lt;1%+EIOPA_RFR!M50,1%+EIOPA_RFR!M50,EIOPA_RFR!M50*(1%+VLOOKUP($B45,Int_Rate_Param,2,FALSE))))</f>
        <v>3.2910000000000002E-2</v>
      </c>
      <c r="N45" s="94">
        <f>IF($B45&gt;20,IF(EIOPA_RFR!N50*(1%+VLOOKUP($B$27,Int_Rate_Param,2,FALSE))&lt;1%+EIOPA_RFR!N50,1%+EIOPA_RFR!N50,EIOPA_RFR!N50*(1%+VLOOKUP($B$27,Int_Rate_Param,2,FALSE))),IF(EIOPA_RFR!N50*(1%+VLOOKUP($B45,Int_Rate_Param,2,FALSE))&lt;1%+EIOPA_RFR!N50,1%+EIOPA_RFR!N50,EIOPA_RFR!N50*(1%+VLOOKUP($B45,Int_Rate_Param,2,FALSE))))</f>
        <v>3.2910000000000002E-2</v>
      </c>
      <c r="O45" s="94">
        <f>IF($B45&gt;20,IF(EIOPA_RFR!O50*(1%+VLOOKUP($B$27,Int_Rate_Param,2,FALSE))&lt;1%+EIOPA_RFR!O50,1%+EIOPA_RFR!O50,EIOPA_RFR!O50*(1%+VLOOKUP($B$27,Int_Rate_Param,2,FALSE))),IF(EIOPA_RFR!O50*(1%+VLOOKUP($B45,Int_Rate_Param,2,FALSE))&lt;1%+EIOPA_RFR!O50,1%+EIOPA_RFR!O50,EIOPA_RFR!O50*(1%+VLOOKUP($B45,Int_Rate_Param,2,FALSE))))</f>
        <v>3.2910000000000002E-2</v>
      </c>
      <c r="P45" s="94">
        <f>IF($B45&gt;20,IF(EIOPA_RFR!P50*(1%+VLOOKUP($B$27,Int_Rate_Param,2,FALSE))&lt;1%+EIOPA_RFR!P50,1%+EIOPA_RFR!P50,EIOPA_RFR!P50*(1%+VLOOKUP($B$27,Int_Rate_Param,2,FALSE))),IF(EIOPA_RFR!P50*(1%+VLOOKUP($B45,Int_Rate_Param,2,FALSE))&lt;1%+EIOPA_RFR!P50,1%+EIOPA_RFR!P50,EIOPA_RFR!P50*(1%+VLOOKUP($B45,Int_Rate_Param,2,FALSE))))</f>
        <v>5.3450000000000004E-2</v>
      </c>
      <c r="Q45" s="94">
        <f>IF($B45&gt;20,IF(EIOPA_RFR!Q50*(1%+VLOOKUP($B$27,Int_Rate_Param,2,FALSE))&lt;1%+EIOPA_RFR!Q50,1%+EIOPA_RFR!Q50,EIOPA_RFR!Q50*(1%+VLOOKUP($B$27,Int_Rate_Param,2,FALSE))),IF(EIOPA_RFR!Q50*(1%+VLOOKUP($B45,Int_Rate_Param,2,FALSE))&lt;1%+EIOPA_RFR!Q50,1%+EIOPA_RFR!Q50,EIOPA_RFR!Q50*(1%+VLOOKUP($B45,Int_Rate_Param,2,FALSE))))</f>
        <v>5.4890000000000001E-2</v>
      </c>
      <c r="R45" s="94">
        <f>IF($B45&gt;20,IF(EIOPA_RFR!R50*(1%+VLOOKUP($B$27,Int_Rate_Param,2,FALSE))&lt;1%+EIOPA_RFR!R50,1%+EIOPA_RFR!R50,EIOPA_RFR!R50*(1%+VLOOKUP($B$27,Int_Rate_Param,2,FALSE))),IF(EIOPA_RFR!R50*(1%+VLOOKUP($B45,Int_Rate_Param,2,FALSE))&lt;1%+EIOPA_RFR!R50,1%+EIOPA_RFR!R50,EIOPA_RFR!R50*(1%+VLOOKUP($B45,Int_Rate_Param,2,FALSE))))</f>
        <v>3.2910000000000002E-2</v>
      </c>
      <c r="S45" s="94">
        <f>IF($B45&gt;20,IF(EIOPA_RFR!S50*(1%+VLOOKUP($B$27,Int_Rate_Param,2,FALSE))&lt;1%+EIOPA_RFR!S50,1%+EIOPA_RFR!S50,EIOPA_RFR!S50*(1%+VLOOKUP($B$27,Int_Rate_Param,2,FALSE))),IF(EIOPA_RFR!S50*(1%+VLOOKUP($B45,Int_Rate_Param,2,FALSE))&lt;1%+EIOPA_RFR!S50,1%+EIOPA_RFR!S50,EIOPA_RFR!S50*(1%+VLOOKUP($B45,Int_Rate_Param,2,FALSE))))</f>
        <v>3.2910000000000002E-2</v>
      </c>
      <c r="T45" s="94">
        <f>IF($B45&gt;20,IF(EIOPA_RFR!T50*(1%+VLOOKUP($B$27,Int_Rate_Param,2,FALSE))&lt;1%+EIOPA_RFR!T50,1%+EIOPA_RFR!T50,EIOPA_RFR!T50*(1%+VLOOKUP($B$27,Int_Rate_Param,2,FALSE))),IF(EIOPA_RFR!T50*(1%+VLOOKUP($B45,Int_Rate_Param,2,FALSE))&lt;1%+EIOPA_RFR!T50,1%+EIOPA_RFR!T50,EIOPA_RFR!T50*(1%+VLOOKUP($B45,Int_Rate_Param,2,FALSE))))</f>
        <v>3.2910000000000002E-2</v>
      </c>
      <c r="U45" s="94">
        <f>IF($B45&gt;20,IF(EIOPA_RFR!U50*(1%+VLOOKUP($B$27,Int_Rate_Param,2,FALSE))&lt;1%+EIOPA_RFR!U50,1%+EIOPA_RFR!U50,EIOPA_RFR!U50*(1%+VLOOKUP($B$27,Int_Rate_Param,2,FALSE))),IF(EIOPA_RFR!U50*(1%+VLOOKUP($B45,Int_Rate_Param,2,FALSE))&lt;1%+EIOPA_RFR!U50,1%+EIOPA_RFR!U50,EIOPA_RFR!U50*(1%+VLOOKUP($B45,Int_Rate_Param,2,FALSE))))</f>
        <v>2.0970000000000003E-2</v>
      </c>
      <c r="V45" s="94">
        <f>IF($B45&gt;20,IF(EIOPA_RFR!V50*(1%+VLOOKUP($B$27,Int_Rate_Param,2,FALSE))&lt;1%+EIOPA_RFR!V50,1%+EIOPA_RFR!V50,EIOPA_RFR!V50*(1%+VLOOKUP($B$27,Int_Rate_Param,2,FALSE))),IF(EIOPA_RFR!V50*(1%+VLOOKUP($B45,Int_Rate_Param,2,FALSE))&lt;1%+EIOPA_RFR!V50,1%+EIOPA_RFR!V50,EIOPA_RFR!V50*(1%+VLOOKUP($B45,Int_Rate_Param,2,FALSE))))</f>
        <v>3.2910000000000002E-2</v>
      </c>
      <c r="W45" s="94">
        <f>IF($B45&gt;20,IF(EIOPA_RFR!W50*(1%+VLOOKUP($B$27,Int_Rate_Param,2,FALSE))&lt;1%+EIOPA_RFR!W50,1%+EIOPA_RFR!W50,EIOPA_RFR!W50*(1%+VLOOKUP($B$27,Int_Rate_Param,2,FALSE))),IF(EIOPA_RFR!W50*(1%+VLOOKUP($B45,Int_Rate_Param,2,FALSE))&lt;1%+EIOPA_RFR!W50,1%+EIOPA_RFR!W50,EIOPA_RFR!W50*(1%+VLOOKUP($B45,Int_Rate_Param,2,FALSE))))</f>
        <v>3.2910000000000002E-2</v>
      </c>
      <c r="X45" s="94">
        <f>IF($B45&gt;20,IF(EIOPA_RFR!X50*(1%+VLOOKUP($B$27,Int_Rate_Param,2,FALSE))&lt;1%+EIOPA_RFR!X50,1%+EIOPA_RFR!X50,EIOPA_RFR!X50*(1%+VLOOKUP($B$27,Int_Rate_Param,2,FALSE))),IF(EIOPA_RFR!X50*(1%+VLOOKUP($B45,Int_Rate_Param,2,FALSE))&lt;1%+EIOPA_RFR!X50,1%+EIOPA_RFR!X50,EIOPA_RFR!X50*(1%+VLOOKUP($B45,Int_Rate_Param,2,FALSE))))</f>
        <v>3.2910000000000002E-2</v>
      </c>
      <c r="Y45" s="94">
        <f>IF($B45&gt;20,IF(EIOPA_RFR!Y50*(1%+VLOOKUP($B$27,Int_Rate_Param,2,FALSE))&lt;1%+EIOPA_RFR!Y50,1%+EIOPA_RFR!Y50,EIOPA_RFR!Y50*(1%+VLOOKUP($B$27,Int_Rate_Param,2,FALSE))),IF(EIOPA_RFR!Y50*(1%+VLOOKUP($B45,Int_Rate_Param,2,FALSE))&lt;1%+EIOPA_RFR!Y50,1%+EIOPA_RFR!Y50,EIOPA_RFR!Y50*(1%+VLOOKUP($B45,Int_Rate_Param,2,FALSE))))</f>
        <v>3.2910000000000002E-2</v>
      </c>
      <c r="Z45" s="94">
        <f>IF($B45&gt;20,IF(EIOPA_RFR!Z50*(1%+VLOOKUP($B$27,Int_Rate_Param,2,FALSE))&lt;1%+EIOPA_RFR!Z50,1%+EIOPA_RFR!Z50,EIOPA_RFR!Z50*(1%+VLOOKUP($B$27,Int_Rate_Param,2,FALSE))),IF(EIOPA_RFR!Z50*(1%+VLOOKUP($B45,Int_Rate_Param,2,FALSE))&lt;1%+EIOPA_RFR!Z50,1%+EIOPA_RFR!Z50,EIOPA_RFR!Z50*(1%+VLOOKUP($B45,Int_Rate_Param,2,FALSE))))</f>
        <v>4.1800000000000004E-2</v>
      </c>
      <c r="AA45" s="94">
        <f>IF($B45&gt;20,IF(EIOPA_RFR!AA50*(1%+VLOOKUP($B$27,Int_Rate_Param,2,FALSE))&lt;1%+EIOPA_RFR!AA50,1%+EIOPA_RFR!AA50,EIOPA_RFR!AA50*(1%+VLOOKUP($B$27,Int_Rate_Param,2,FALSE))),IF(EIOPA_RFR!AA50*(1%+VLOOKUP($B45,Int_Rate_Param,2,FALSE))&lt;1%+EIOPA_RFR!AA50,1%+EIOPA_RFR!AA50,EIOPA_RFR!AA50*(1%+VLOOKUP($B45,Int_Rate_Param,2,FALSE))))</f>
        <v>5.0700000000000002E-2</v>
      </c>
      <c r="AB45" s="94">
        <f>IF($B45&gt;20,IF(EIOPA_RFR!AB50*(1%+VLOOKUP($B$27,Int_Rate_Param,2,FALSE))&lt;1%+EIOPA_RFR!AB50,1%+EIOPA_RFR!AB50,EIOPA_RFR!AB50*(1%+VLOOKUP($B$27,Int_Rate_Param,2,FALSE))),IF(EIOPA_RFR!AB50*(1%+VLOOKUP($B45,Int_Rate_Param,2,FALSE))&lt;1%+EIOPA_RFR!AB50,1%+EIOPA_RFR!AB50,EIOPA_RFR!AB50*(1%+VLOOKUP($B45,Int_Rate_Param,2,FALSE))))</f>
        <v>3.2910000000000002E-2</v>
      </c>
      <c r="AC45" s="94">
        <f>IF($B45&gt;20,IF(EIOPA_RFR!AC50*(1%+VLOOKUP($B$27,Int_Rate_Param,2,FALSE))&lt;1%+EIOPA_RFR!AC50,1%+EIOPA_RFR!AC50,EIOPA_RFR!AC50*(1%+VLOOKUP($B$27,Int_Rate_Param,2,FALSE))),IF(EIOPA_RFR!AC50*(1%+VLOOKUP($B45,Int_Rate_Param,2,FALSE))&lt;1%+EIOPA_RFR!AC50,1%+EIOPA_RFR!AC50,EIOPA_RFR!AC50*(1%+VLOOKUP($B45,Int_Rate_Param,2,FALSE))))</f>
        <v>5.3780000000000001E-2</v>
      </c>
      <c r="AD45" s="94">
        <f>IF($B45&gt;20,IF(EIOPA_RFR!AD50*(1%+VLOOKUP($B$27,Int_Rate_Param,2,FALSE))&lt;1%+EIOPA_RFR!AD50,1%+EIOPA_RFR!AD50,EIOPA_RFR!AD50*(1%+VLOOKUP($B$27,Int_Rate_Param,2,FALSE))),IF(EIOPA_RFR!AD50*(1%+VLOOKUP($B45,Int_Rate_Param,2,FALSE))&lt;1%+EIOPA_RFR!AD50,1%+EIOPA_RFR!AD50,EIOPA_RFR!AD50*(1%+VLOOKUP($B45,Int_Rate_Param,2,FALSE))))</f>
        <v>6.7349999999999993E-2</v>
      </c>
      <c r="AE45" s="94">
        <f>IF($B45&gt;20,IF(EIOPA_RFR!AE50*(1%+VLOOKUP($B$27,Int_Rate_Param,2,FALSE))&lt;1%+EIOPA_RFR!AE50,1%+EIOPA_RFR!AE50,EIOPA_RFR!AE50*(1%+VLOOKUP($B$27,Int_Rate_Param,2,FALSE))),IF(EIOPA_RFR!AE50*(1%+VLOOKUP($B45,Int_Rate_Param,2,FALSE))&lt;1%+EIOPA_RFR!AE50,1%+EIOPA_RFR!AE50,EIOPA_RFR!AE50*(1%+VLOOKUP($B45,Int_Rate_Param,2,FALSE))))</f>
        <v>3.2910000000000002E-2</v>
      </c>
      <c r="AF45" s="94">
        <f>IF($B45&gt;20,IF(EIOPA_RFR!AF50*(1%+VLOOKUP($B$27,Int_Rate_Param,2,FALSE))&lt;1%+EIOPA_RFR!AF50,1%+EIOPA_RFR!AF50,EIOPA_RFR!AF50*(1%+VLOOKUP($B$27,Int_Rate_Param,2,FALSE))),IF(EIOPA_RFR!AF50*(1%+VLOOKUP($B45,Int_Rate_Param,2,FALSE))&lt;1%+EIOPA_RFR!AF50,1%+EIOPA_RFR!AF50,EIOPA_RFR!AF50*(1%+VLOOKUP($B45,Int_Rate_Param,2,FALSE))))</f>
        <v>3.2910000000000002E-2</v>
      </c>
      <c r="AG45" s="94">
        <f>IF($B45&gt;20,IF(EIOPA_RFR!AG50*(1%+VLOOKUP($B$27,Int_Rate_Param,2,FALSE))&lt;1%+EIOPA_RFR!AG50,1%+EIOPA_RFR!AG50,EIOPA_RFR!AG50*(1%+VLOOKUP($B$27,Int_Rate_Param,2,FALSE))),IF(EIOPA_RFR!AG50*(1%+VLOOKUP($B45,Int_Rate_Param,2,FALSE))&lt;1%+EIOPA_RFR!AG50,1%+EIOPA_RFR!AG50,EIOPA_RFR!AG50*(1%+VLOOKUP($B45,Int_Rate_Param,2,FALSE))))</f>
        <v>3.2910000000000002E-2</v>
      </c>
      <c r="AH45" s="94">
        <f>IF($B45&gt;20,IF(EIOPA_RFR!AH50*(1%+VLOOKUP($B$27,Int_Rate_Param,2,FALSE))&lt;1%+EIOPA_RFR!AH50,1%+EIOPA_RFR!AH50,EIOPA_RFR!AH50*(1%+VLOOKUP($B$27,Int_Rate_Param,2,FALSE))),IF(EIOPA_RFR!AH50*(1%+VLOOKUP($B45,Int_Rate_Param,2,FALSE))&lt;1%+EIOPA_RFR!AH50,1%+EIOPA_RFR!AH50,EIOPA_RFR!AH50*(1%+VLOOKUP($B45,Int_Rate_Param,2,FALSE))))</f>
        <v>4.265E-2</v>
      </c>
      <c r="AI45" s="94">
        <f>IF($B45&gt;20,IF(EIOPA_RFR!AI50*(1%+VLOOKUP($B$27,Int_Rate_Param,2,FALSE))&lt;1%+EIOPA_RFR!AI50,1%+EIOPA_RFR!AI50,EIOPA_RFR!AI50*(1%+VLOOKUP($B$27,Int_Rate_Param,2,FALSE))),IF(EIOPA_RFR!AI50*(1%+VLOOKUP($B45,Int_Rate_Param,2,FALSE))&lt;1%+EIOPA_RFR!AI50,1%+EIOPA_RFR!AI50,EIOPA_RFR!AI50*(1%+VLOOKUP($B45,Int_Rate_Param,2,FALSE))))</f>
        <v>2.0970000000000003E-2</v>
      </c>
      <c r="AJ45" s="94">
        <f>IF($B45&gt;20,IF(EIOPA_RFR!AJ50*(1%+VLOOKUP($B$27,Int_Rate_Param,2,FALSE))&lt;1%+EIOPA_RFR!AJ50,1%+EIOPA_RFR!AJ50,EIOPA_RFR!AJ50*(1%+VLOOKUP($B$27,Int_Rate_Param,2,FALSE))),IF(EIOPA_RFR!AJ50*(1%+VLOOKUP($B45,Int_Rate_Param,2,FALSE))&lt;1%+EIOPA_RFR!AJ50,1%+EIOPA_RFR!AJ50,EIOPA_RFR!AJ50*(1%+VLOOKUP($B45,Int_Rate_Param,2,FALSE))))</f>
        <v>2.1740000000000002E-2</v>
      </c>
      <c r="AK45" s="94">
        <f>IF($B45&gt;20,IF(EIOPA_RFR!AK50*(1%+VLOOKUP($B$27,Int_Rate_Param,2,FALSE))&lt;1%+EIOPA_RFR!AK50,1%+EIOPA_RFR!AK50,EIOPA_RFR!AK50*(1%+VLOOKUP($B$27,Int_Rate_Param,2,FALSE))),IF(EIOPA_RFR!AK50*(1%+VLOOKUP($B45,Int_Rate_Param,2,FALSE))&lt;1%+EIOPA_RFR!AK50,1%+EIOPA_RFR!AK50,EIOPA_RFR!AK50*(1%+VLOOKUP($B45,Int_Rate_Param,2,FALSE))))</f>
        <v>4.3890000000000005E-2</v>
      </c>
      <c r="AL45" s="94">
        <f>IF($B45&gt;20,IF(EIOPA_RFR!AL50*(1%+VLOOKUP($B$27,Int_Rate_Param,2,FALSE))&lt;1%+EIOPA_RFR!AL50,1%+EIOPA_RFR!AL50,EIOPA_RFR!AL50*(1%+VLOOKUP($B$27,Int_Rate_Param,2,FALSE))),IF(EIOPA_RFR!AL50*(1%+VLOOKUP($B45,Int_Rate_Param,2,FALSE))&lt;1%+EIOPA_RFR!AL50,1%+EIOPA_RFR!AL50,EIOPA_RFR!AL50*(1%+VLOOKUP($B45,Int_Rate_Param,2,FALSE))))</f>
        <v>8.2720000000000002E-2</v>
      </c>
      <c r="AM45" s="94">
        <f>IF($B45&gt;20,IF(EIOPA_RFR!AM50*(1%+VLOOKUP($B$27,Int_Rate_Param,2,FALSE))&lt;1%+EIOPA_RFR!AM50,1%+EIOPA_RFR!AM50,EIOPA_RFR!AM50*(1%+VLOOKUP($B$27,Int_Rate_Param,2,FALSE))),IF(EIOPA_RFR!AM50*(1%+VLOOKUP($B45,Int_Rate_Param,2,FALSE))&lt;1%+EIOPA_RFR!AM50,1%+EIOPA_RFR!AM50,EIOPA_RFR!AM50*(1%+VLOOKUP($B45,Int_Rate_Param,2,FALSE))))</f>
        <v>3.4430000000000002E-2</v>
      </c>
      <c r="AN45" s="94">
        <f>IF($B45&gt;20,IF(EIOPA_RFR!AN50*(1%+VLOOKUP($B$27,Int_Rate_Param,2,FALSE))&lt;1%+EIOPA_RFR!AN50,1%+EIOPA_RFR!AN50,EIOPA_RFR!AN50*(1%+VLOOKUP($B$27,Int_Rate_Param,2,FALSE))),IF(EIOPA_RFR!AN50*(1%+VLOOKUP($B45,Int_Rate_Param,2,FALSE))&lt;1%+EIOPA_RFR!AN50,1%+EIOPA_RFR!AN50,EIOPA_RFR!AN50*(1%+VLOOKUP($B45,Int_Rate_Param,2,FALSE))))</f>
        <v>5.2569999999999999E-2</v>
      </c>
      <c r="AO45" s="94">
        <f>IF($B45&gt;20,IF(EIOPA_RFR!AO50*(1%+VLOOKUP($B$27,Int_Rate_Param,2,FALSE))&lt;1%+EIOPA_RFR!AO50,1%+EIOPA_RFR!AO50,EIOPA_RFR!AO50*(1%+VLOOKUP($B$27,Int_Rate_Param,2,FALSE))),IF(EIOPA_RFR!AO50*(1%+VLOOKUP($B45,Int_Rate_Param,2,FALSE))&lt;1%+EIOPA_RFR!AO50,1%+EIOPA_RFR!AO50,EIOPA_RFR!AO50*(1%+VLOOKUP($B45,Int_Rate_Param,2,FALSE))))</f>
        <v>5.389E-2</v>
      </c>
      <c r="AP45" s="94">
        <f>IF($B45&gt;20,IF(EIOPA_RFR!AP50*(1%+VLOOKUP($B$27,Int_Rate_Param,2,FALSE))&lt;1%+EIOPA_RFR!AP50,1%+EIOPA_RFR!AP50,EIOPA_RFR!AP50*(1%+VLOOKUP($B$27,Int_Rate_Param,2,FALSE))),IF(EIOPA_RFR!AP50*(1%+VLOOKUP($B45,Int_Rate_Param,2,FALSE))&lt;1%+EIOPA_RFR!AP50,1%+EIOPA_RFR!AP50,EIOPA_RFR!AP50*(1%+VLOOKUP($B45,Int_Rate_Param,2,FALSE))))</f>
        <v>6.3780000000000003E-2</v>
      </c>
      <c r="AQ45" s="94">
        <f>IF($B45&gt;20,IF(EIOPA_RFR!AQ50*(1%+VLOOKUP($B$27,Int_Rate_Param,2,FALSE))&lt;1%+EIOPA_RFR!AQ50,1%+EIOPA_RFR!AQ50,EIOPA_RFR!AQ50*(1%+VLOOKUP($B$27,Int_Rate_Param,2,FALSE))),IF(EIOPA_RFR!AQ50*(1%+VLOOKUP($B45,Int_Rate_Param,2,FALSE))&lt;1%+EIOPA_RFR!AQ50,1%+EIOPA_RFR!AQ50,EIOPA_RFR!AQ50*(1%+VLOOKUP($B45,Int_Rate_Param,2,FALSE))))</f>
        <v>4.224E-2</v>
      </c>
      <c r="AR45" s="94">
        <f>IF($B45&gt;20,IF(EIOPA_RFR!AR50*(1%+VLOOKUP($B$27,Int_Rate_Param,2,FALSE))&lt;1%+EIOPA_RFR!AR50,1%+EIOPA_RFR!AR50,EIOPA_RFR!AR50*(1%+VLOOKUP($B$27,Int_Rate_Param,2,FALSE))),IF(EIOPA_RFR!AR50*(1%+VLOOKUP($B45,Int_Rate_Param,2,FALSE))&lt;1%+EIOPA_RFR!AR50,1%+EIOPA_RFR!AR50,EIOPA_RFR!AR50*(1%+VLOOKUP($B45,Int_Rate_Param,2,FALSE))))</f>
        <v>7.17E-2</v>
      </c>
      <c r="AS45" s="94">
        <f>IF($B45&gt;20,IF(EIOPA_RFR!AS50*(1%+VLOOKUP($B$27,Int_Rate_Param,2,FALSE))&lt;1%+EIOPA_RFR!AS50,1%+EIOPA_RFR!AS50,EIOPA_RFR!AS50*(1%+VLOOKUP($B$27,Int_Rate_Param,2,FALSE))),IF(EIOPA_RFR!AS50*(1%+VLOOKUP($B45,Int_Rate_Param,2,FALSE))&lt;1%+EIOPA_RFR!AS50,1%+EIOPA_RFR!AS50,EIOPA_RFR!AS50*(1%+VLOOKUP($B45,Int_Rate_Param,2,FALSE))))</f>
        <v>2.0400000000000001E-2</v>
      </c>
      <c r="AT45" s="94">
        <f>IF($B45&gt;20,IF(EIOPA_RFR!AT50*(1%+VLOOKUP($B$27,Int_Rate_Param,2,FALSE))&lt;1%+EIOPA_RFR!AT50,1%+EIOPA_RFR!AT50,EIOPA_RFR!AT50*(1%+VLOOKUP($B$27,Int_Rate_Param,2,FALSE))),IF(EIOPA_RFR!AT50*(1%+VLOOKUP($B45,Int_Rate_Param,2,FALSE))&lt;1%+EIOPA_RFR!AT50,1%+EIOPA_RFR!AT50,EIOPA_RFR!AT50*(1%+VLOOKUP($B45,Int_Rate_Param,2,FALSE))))</f>
        <v>5.3450000000000004E-2</v>
      </c>
      <c r="AU45" s="94">
        <f>IF($B45&gt;20,IF(EIOPA_RFR!AU50*(1%+VLOOKUP($B$27,Int_Rate_Param,2,FALSE))&lt;1%+EIOPA_RFR!AU50,1%+EIOPA_RFR!AU50,EIOPA_RFR!AU50*(1%+VLOOKUP($B$27,Int_Rate_Param,2,FALSE))),IF(EIOPA_RFR!AU50*(1%+VLOOKUP($B45,Int_Rate_Param,2,FALSE))&lt;1%+EIOPA_RFR!AU50,1%+EIOPA_RFR!AU50,EIOPA_RFR!AU50*(1%+VLOOKUP($B45,Int_Rate_Param,2,FALSE))))</f>
        <v>8.1629999999999994E-2</v>
      </c>
      <c r="AV45" s="94">
        <f>IF($B45&gt;20,IF(EIOPA_RFR!AV50*(1%+VLOOKUP($B$27,Int_Rate_Param,2,FALSE))&lt;1%+EIOPA_RFR!AV50,1%+EIOPA_RFR!AV50,EIOPA_RFR!AV50*(1%+VLOOKUP($B$27,Int_Rate_Param,2,FALSE))),IF(EIOPA_RFR!AV50*(1%+VLOOKUP($B45,Int_Rate_Param,2,FALSE))&lt;1%+EIOPA_RFR!AV50,1%+EIOPA_RFR!AV50,EIOPA_RFR!AV50*(1%+VLOOKUP($B45,Int_Rate_Param,2,FALSE))))</f>
        <v>5.1880000000000003E-2</v>
      </c>
      <c r="AW45" s="94">
        <f>IF($B45&gt;20,IF(EIOPA_RFR!AW50*(1%+VLOOKUP($B$27,Int_Rate_Param,2,FALSE))&lt;1%+EIOPA_RFR!AW50,1%+EIOPA_RFR!AW50,EIOPA_RFR!AW50*(1%+VLOOKUP($B$27,Int_Rate_Param,2,FALSE))),IF(EIOPA_RFR!AW50*(1%+VLOOKUP($B45,Int_Rate_Param,2,FALSE))&lt;1%+EIOPA_RFR!AW50,1%+EIOPA_RFR!AW50,EIOPA_RFR!AW50*(1%+VLOOKUP($B45,Int_Rate_Param,2,FALSE))))</f>
        <v>4.197E-2</v>
      </c>
      <c r="AX45" s="94">
        <f>IF($B45&gt;20,IF(EIOPA_RFR!AX50*(1%+VLOOKUP($B$27,Int_Rate_Param,2,FALSE))&lt;1%+EIOPA_RFR!AX50,1%+EIOPA_RFR!AX50,EIOPA_RFR!AX50*(1%+VLOOKUP($B$27,Int_Rate_Param,2,FALSE))),IF(EIOPA_RFR!AX50*(1%+VLOOKUP($B45,Int_Rate_Param,2,FALSE))&lt;1%+EIOPA_RFR!AX50,1%+EIOPA_RFR!AX50,EIOPA_RFR!AX50*(1%+VLOOKUP($B45,Int_Rate_Param,2,FALSE))))</f>
        <v>8.1279999999999991E-2</v>
      </c>
      <c r="AY45" s="94">
        <f>IF($B45&gt;20,IF(EIOPA_RFR!AY50*(1%+VLOOKUP($B$27,Int_Rate_Param,2,FALSE))&lt;1%+EIOPA_RFR!AY50,1%+EIOPA_RFR!AY50,EIOPA_RFR!AY50*(1%+VLOOKUP($B$27,Int_Rate_Param,2,FALSE))),IF(EIOPA_RFR!AY50*(1%+VLOOKUP($B45,Int_Rate_Param,2,FALSE))&lt;1%+EIOPA_RFR!AY50,1%+EIOPA_RFR!AY50,EIOPA_RFR!AY50*(1%+VLOOKUP($B45,Int_Rate_Param,2,FALSE))))</f>
        <v>3.6159999999999998E-2</v>
      </c>
      <c r="AZ45" s="94">
        <f>IF($B45&gt;20,IF(EIOPA_RFR!AZ50*(1%+VLOOKUP($B$27,Int_Rate_Param,2,FALSE))&lt;1%+EIOPA_RFR!AZ50,1%+EIOPA_RFR!AZ50,EIOPA_RFR!AZ50*(1%+VLOOKUP($B$27,Int_Rate_Param,2,FALSE))),IF(EIOPA_RFR!AZ50*(1%+VLOOKUP($B45,Int_Rate_Param,2,FALSE))&lt;1%+EIOPA_RFR!AZ50,1%+EIOPA_RFR!AZ50,EIOPA_RFR!AZ50*(1%+VLOOKUP($B45,Int_Rate_Param,2,FALSE))))</f>
        <v>3.8469999999999997E-2</v>
      </c>
      <c r="BA45" s="94">
        <f>IF($B45&gt;20,IF(EIOPA_RFR!BA50*(1%+VLOOKUP($B$27,Int_Rate_Param,2,FALSE))&lt;1%+EIOPA_RFR!BA50,1%+EIOPA_RFR!BA50,EIOPA_RFR!BA50*(1%+VLOOKUP($B$27,Int_Rate_Param,2,FALSE))),IF(EIOPA_RFR!BA50*(1%+VLOOKUP($B45,Int_Rate_Param,2,FALSE))&lt;1%+EIOPA_RFR!BA50,1%+EIOPA_RFR!BA50,EIOPA_RFR!BA50*(1%+VLOOKUP($B45,Int_Rate_Param,2,FALSE))))</f>
        <v>4.4650000000000002E-2</v>
      </c>
      <c r="BB45" s="94">
        <f>IF($B45&gt;20,IF(EIOPA_RFR!BB50*(1%+VLOOKUP($B$27,Int_Rate_Param,2,FALSE))&lt;1%+EIOPA_RFR!BB50,1%+EIOPA_RFR!BB50,EIOPA_RFR!BB50*(1%+VLOOKUP($B$27,Int_Rate_Param,2,FALSE))),IF(EIOPA_RFR!BB50*(1%+VLOOKUP($B45,Int_Rate_Param,2,FALSE))&lt;1%+EIOPA_RFR!BB50,1%+EIOPA_RFR!BB50,EIOPA_RFR!BB50*(1%+VLOOKUP($B45,Int_Rate_Param,2,FALSE))))</f>
        <v>8.496999999999999E-2</v>
      </c>
      <c r="BC45" s="94">
        <f>IF($B45&gt;20,IF(EIOPA_RFR!BC50*(1%+VLOOKUP($B$27,Int_Rate_Param,2,FALSE))&lt;1%+EIOPA_RFR!BC50,1%+EIOPA_RFR!BC50,EIOPA_RFR!BC50*(1%+VLOOKUP($B$27,Int_Rate_Param,2,FALSE))),IF(EIOPA_RFR!BC50*(1%+VLOOKUP($B45,Int_Rate_Param,2,FALSE))&lt;1%+EIOPA_RFR!BC50,1%+EIOPA_RFR!BC50,EIOPA_RFR!BC50*(1%+VLOOKUP($B45,Int_Rate_Param,2,FALSE))))</f>
        <v>3.5250000000000004E-2</v>
      </c>
    </row>
    <row r="46" spans="1:55" x14ac:dyDescent="0.25">
      <c r="A46">
        <f t="shared" si="0"/>
        <v>41</v>
      </c>
      <c r="B46" s="95">
        <v>39</v>
      </c>
      <c r="C46" s="94">
        <f>IF($B46&gt;20,IF(EIOPA_RFR!C51*(1%+VLOOKUP($B$27,Int_Rate_Param,2,FALSE))&lt;1%+EIOPA_RFR!C51,1%+EIOPA_RFR!C51,EIOPA_RFR!C51*(1%+VLOOKUP($B$27,Int_Rate_Param,2,FALSE))),IF(EIOPA_RFR!C51*(1%+VLOOKUP($B46,Int_Rate_Param,2,FALSE))&lt;1%+EIOPA_RFR!C51,1%+EIOPA_RFR!C51,EIOPA_RFR!C51*(1%+VLOOKUP($B46,Int_Rate_Param,2,FALSE))))</f>
        <v>3.3349999999999998E-2</v>
      </c>
      <c r="D46" s="94">
        <f>IF($B46&gt;20,IF(EIOPA_RFR!D51*(1%+VLOOKUP($B$27,Int_Rate_Param,2,FALSE))&lt;1%+EIOPA_RFR!D51,1%+EIOPA_RFR!D51,EIOPA_RFR!D51*(1%+VLOOKUP($B$27,Int_Rate_Param,2,FALSE))),IF(EIOPA_RFR!D51*(1%+VLOOKUP($B46,Int_Rate_Param,2,FALSE))&lt;1%+EIOPA_RFR!D51,1%+EIOPA_RFR!D51,EIOPA_RFR!D51*(1%+VLOOKUP($B46,Int_Rate_Param,2,FALSE))))</f>
        <v>3.3349999999999998E-2</v>
      </c>
      <c r="E46" s="94">
        <f>IF($B46&gt;20,IF(EIOPA_RFR!E51*(1%+VLOOKUP($B$27,Int_Rate_Param,2,FALSE))&lt;1%+EIOPA_RFR!E51,1%+EIOPA_RFR!E51,EIOPA_RFR!E51*(1%+VLOOKUP($B$27,Int_Rate_Param,2,FALSE))),IF(EIOPA_RFR!E51*(1%+VLOOKUP($B46,Int_Rate_Param,2,FALSE))&lt;1%+EIOPA_RFR!E51,1%+EIOPA_RFR!E51,EIOPA_RFR!E51*(1%+VLOOKUP($B46,Int_Rate_Param,2,FALSE))))</f>
        <v>3.3349999999999998E-2</v>
      </c>
      <c r="F46" s="94">
        <f>IF($B46&gt;20,IF(EIOPA_RFR!F51*(1%+VLOOKUP($B$27,Int_Rate_Param,2,FALSE))&lt;1%+EIOPA_RFR!F51,1%+EIOPA_RFR!F51,EIOPA_RFR!F51*(1%+VLOOKUP($B$27,Int_Rate_Param,2,FALSE))),IF(EIOPA_RFR!F51*(1%+VLOOKUP($B46,Int_Rate_Param,2,FALSE))&lt;1%+EIOPA_RFR!F51,1%+EIOPA_RFR!F51,EIOPA_RFR!F51*(1%+VLOOKUP($B46,Int_Rate_Param,2,FALSE))))</f>
        <v>3.3020000000000001E-2</v>
      </c>
      <c r="G46" s="94">
        <f>IF($B46&gt;20,IF(EIOPA_RFR!G51*(1%+VLOOKUP($B$27,Int_Rate_Param,2,FALSE))&lt;1%+EIOPA_RFR!G51,1%+EIOPA_RFR!G51,EIOPA_RFR!G51*(1%+VLOOKUP($B$27,Int_Rate_Param,2,FALSE))),IF(EIOPA_RFR!G51*(1%+VLOOKUP($B46,Int_Rate_Param,2,FALSE))&lt;1%+EIOPA_RFR!G51,1%+EIOPA_RFR!G51,EIOPA_RFR!G51*(1%+VLOOKUP($B46,Int_Rate_Param,2,FALSE))))</f>
        <v>4.7080000000000004E-2</v>
      </c>
      <c r="H46" s="94">
        <f>IF($B46&gt;20,IF(EIOPA_RFR!H51*(1%+VLOOKUP($B$27,Int_Rate_Param,2,FALSE))&lt;1%+EIOPA_RFR!H51,1%+EIOPA_RFR!H51,EIOPA_RFR!H51*(1%+VLOOKUP($B$27,Int_Rate_Param,2,FALSE))),IF(EIOPA_RFR!H51*(1%+VLOOKUP($B46,Int_Rate_Param,2,FALSE))&lt;1%+EIOPA_RFR!H51,1%+EIOPA_RFR!H51,EIOPA_RFR!H51*(1%+VLOOKUP($B46,Int_Rate_Param,2,FALSE))))</f>
        <v>3.3349999999999998E-2</v>
      </c>
      <c r="I46" s="94">
        <f>IF($B46&gt;20,IF(EIOPA_RFR!I51*(1%+VLOOKUP($B$27,Int_Rate_Param,2,FALSE))&lt;1%+EIOPA_RFR!I51,1%+EIOPA_RFR!I51,EIOPA_RFR!I51*(1%+VLOOKUP($B$27,Int_Rate_Param,2,FALSE))),IF(EIOPA_RFR!I51*(1%+VLOOKUP($B46,Int_Rate_Param,2,FALSE))&lt;1%+EIOPA_RFR!I51,1%+EIOPA_RFR!I51,EIOPA_RFR!I51*(1%+VLOOKUP($B46,Int_Rate_Param,2,FALSE))))</f>
        <v>3.6929999999999998E-2</v>
      </c>
      <c r="J46" s="94">
        <f>IF($B46&gt;20,IF(EIOPA_RFR!J51*(1%+VLOOKUP($B$27,Int_Rate_Param,2,FALSE))&lt;1%+EIOPA_RFR!J51,1%+EIOPA_RFR!J51,EIOPA_RFR!J51*(1%+VLOOKUP($B$27,Int_Rate_Param,2,FALSE))),IF(EIOPA_RFR!J51*(1%+VLOOKUP($B46,Int_Rate_Param,2,FALSE))&lt;1%+EIOPA_RFR!J51,1%+EIOPA_RFR!J51,EIOPA_RFR!J51*(1%+VLOOKUP($B46,Int_Rate_Param,2,FALSE))))</f>
        <v>3.3279999999999997E-2</v>
      </c>
      <c r="K46" s="94">
        <f>IF($B46&gt;20,IF(EIOPA_RFR!K51*(1%+VLOOKUP($B$27,Int_Rate_Param,2,FALSE))&lt;1%+EIOPA_RFR!K51,1%+EIOPA_RFR!K51,EIOPA_RFR!K51*(1%+VLOOKUP($B$27,Int_Rate_Param,2,FALSE))),IF(EIOPA_RFR!K51*(1%+VLOOKUP($B46,Int_Rate_Param,2,FALSE))&lt;1%+EIOPA_RFR!K51,1%+EIOPA_RFR!K51,EIOPA_RFR!K51*(1%+VLOOKUP($B46,Int_Rate_Param,2,FALSE))))</f>
        <v>3.3349999999999998E-2</v>
      </c>
      <c r="L46" s="94">
        <f>IF($B46&gt;20,IF(EIOPA_RFR!L51*(1%+VLOOKUP($B$27,Int_Rate_Param,2,FALSE))&lt;1%+EIOPA_RFR!L51,1%+EIOPA_RFR!L51,EIOPA_RFR!L51*(1%+VLOOKUP($B$27,Int_Rate_Param,2,FALSE))),IF(EIOPA_RFR!L51*(1%+VLOOKUP($B46,Int_Rate_Param,2,FALSE))&lt;1%+EIOPA_RFR!L51,1%+EIOPA_RFR!L51,EIOPA_RFR!L51*(1%+VLOOKUP($B46,Int_Rate_Param,2,FALSE))))</f>
        <v>3.3349999999999998E-2</v>
      </c>
      <c r="M46" s="94">
        <f>IF($B46&gt;20,IF(EIOPA_RFR!M51*(1%+VLOOKUP($B$27,Int_Rate_Param,2,FALSE))&lt;1%+EIOPA_RFR!M51,1%+EIOPA_RFR!M51,EIOPA_RFR!M51*(1%+VLOOKUP($B$27,Int_Rate_Param,2,FALSE))),IF(EIOPA_RFR!M51*(1%+VLOOKUP($B46,Int_Rate_Param,2,FALSE))&lt;1%+EIOPA_RFR!M51,1%+EIOPA_RFR!M51,EIOPA_RFR!M51*(1%+VLOOKUP($B46,Int_Rate_Param,2,FALSE))))</f>
        <v>3.3349999999999998E-2</v>
      </c>
      <c r="N46" s="94">
        <f>IF($B46&gt;20,IF(EIOPA_RFR!N51*(1%+VLOOKUP($B$27,Int_Rate_Param,2,FALSE))&lt;1%+EIOPA_RFR!N51,1%+EIOPA_RFR!N51,EIOPA_RFR!N51*(1%+VLOOKUP($B$27,Int_Rate_Param,2,FALSE))),IF(EIOPA_RFR!N51*(1%+VLOOKUP($B46,Int_Rate_Param,2,FALSE))&lt;1%+EIOPA_RFR!N51,1%+EIOPA_RFR!N51,EIOPA_RFR!N51*(1%+VLOOKUP($B46,Int_Rate_Param,2,FALSE))))</f>
        <v>3.3349999999999998E-2</v>
      </c>
      <c r="O46" s="94">
        <f>IF($B46&gt;20,IF(EIOPA_RFR!O51*(1%+VLOOKUP($B$27,Int_Rate_Param,2,FALSE))&lt;1%+EIOPA_RFR!O51,1%+EIOPA_RFR!O51,EIOPA_RFR!O51*(1%+VLOOKUP($B$27,Int_Rate_Param,2,FALSE))),IF(EIOPA_RFR!O51*(1%+VLOOKUP($B46,Int_Rate_Param,2,FALSE))&lt;1%+EIOPA_RFR!O51,1%+EIOPA_RFR!O51,EIOPA_RFR!O51*(1%+VLOOKUP($B46,Int_Rate_Param,2,FALSE))))</f>
        <v>3.3349999999999998E-2</v>
      </c>
      <c r="P46" s="94">
        <f>IF($B46&gt;20,IF(EIOPA_RFR!P51*(1%+VLOOKUP($B$27,Int_Rate_Param,2,FALSE))&lt;1%+EIOPA_RFR!P51,1%+EIOPA_RFR!P51,EIOPA_RFR!P51*(1%+VLOOKUP($B$27,Int_Rate_Param,2,FALSE))),IF(EIOPA_RFR!P51*(1%+VLOOKUP($B46,Int_Rate_Param,2,FALSE))&lt;1%+EIOPA_RFR!P51,1%+EIOPA_RFR!P51,EIOPA_RFR!P51*(1%+VLOOKUP($B46,Int_Rate_Param,2,FALSE))))</f>
        <v>5.3440000000000001E-2</v>
      </c>
      <c r="Q46" s="94">
        <f>IF($B46&gt;20,IF(EIOPA_RFR!Q51*(1%+VLOOKUP($B$27,Int_Rate_Param,2,FALSE))&lt;1%+EIOPA_RFR!Q51,1%+EIOPA_RFR!Q51,EIOPA_RFR!Q51*(1%+VLOOKUP($B$27,Int_Rate_Param,2,FALSE))),IF(EIOPA_RFR!Q51*(1%+VLOOKUP($B46,Int_Rate_Param,2,FALSE))&lt;1%+EIOPA_RFR!Q51,1%+EIOPA_RFR!Q51,EIOPA_RFR!Q51*(1%+VLOOKUP($B46,Int_Rate_Param,2,FALSE))))</f>
        <v>5.4830000000000004E-2</v>
      </c>
      <c r="R46" s="94">
        <f>IF($B46&gt;20,IF(EIOPA_RFR!R51*(1%+VLOOKUP($B$27,Int_Rate_Param,2,FALSE))&lt;1%+EIOPA_RFR!R51,1%+EIOPA_RFR!R51,EIOPA_RFR!R51*(1%+VLOOKUP($B$27,Int_Rate_Param,2,FALSE))),IF(EIOPA_RFR!R51*(1%+VLOOKUP($B46,Int_Rate_Param,2,FALSE))&lt;1%+EIOPA_RFR!R51,1%+EIOPA_RFR!R51,EIOPA_RFR!R51*(1%+VLOOKUP($B46,Int_Rate_Param,2,FALSE))))</f>
        <v>3.3349999999999998E-2</v>
      </c>
      <c r="S46" s="94">
        <f>IF($B46&gt;20,IF(EIOPA_RFR!S51*(1%+VLOOKUP($B$27,Int_Rate_Param,2,FALSE))&lt;1%+EIOPA_RFR!S51,1%+EIOPA_RFR!S51,EIOPA_RFR!S51*(1%+VLOOKUP($B$27,Int_Rate_Param,2,FALSE))),IF(EIOPA_RFR!S51*(1%+VLOOKUP($B46,Int_Rate_Param,2,FALSE))&lt;1%+EIOPA_RFR!S51,1%+EIOPA_RFR!S51,EIOPA_RFR!S51*(1%+VLOOKUP($B46,Int_Rate_Param,2,FALSE))))</f>
        <v>3.3349999999999998E-2</v>
      </c>
      <c r="T46" s="94">
        <f>IF($B46&gt;20,IF(EIOPA_RFR!T51*(1%+VLOOKUP($B$27,Int_Rate_Param,2,FALSE))&lt;1%+EIOPA_RFR!T51,1%+EIOPA_RFR!T51,EIOPA_RFR!T51*(1%+VLOOKUP($B$27,Int_Rate_Param,2,FALSE))),IF(EIOPA_RFR!T51*(1%+VLOOKUP($B46,Int_Rate_Param,2,FALSE))&lt;1%+EIOPA_RFR!T51,1%+EIOPA_RFR!T51,EIOPA_RFR!T51*(1%+VLOOKUP($B46,Int_Rate_Param,2,FALSE))))</f>
        <v>3.3349999999999998E-2</v>
      </c>
      <c r="U46" s="94">
        <f>IF($B46&gt;20,IF(EIOPA_RFR!U51*(1%+VLOOKUP($B$27,Int_Rate_Param,2,FALSE))&lt;1%+EIOPA_RFR!U51,1%+EIOPA_RFR!U51,EIOPA_RFR!U51*(1%+VLOOKUP($B$27,Int_Rate_Param,2,FALSE))),IF(EIOPA_RFR!U51*(1%+VLOOKUP($B46,Int_Rate_Param,2,FALSE))&lt;1%+EIOPA_RFR!U51,1%+EIOPA_RFR!U51,EIOPA_RFR!U51*(1%+VLOOKUP($B46,Int_Rate_Param,2,FALSE))))</f>
        <v>2.1420000000000002E-2</v>
      </c>
      <c r="V46" s="94">
        <f>IF($B46&gt;20,IF(EIOPA_RFR!V51*(1%+VLOOKUP($B$27,Int_Rate_Param,2,FALSE))&lt;1%+EIOPA_RFR!V51,1%+EIOPA_RFR!V51,EIOPA_RFR!V51*(1%+VLOOKUP($B$27,Int_Rate_Param,2,FALSE))),IF(EIOPA_RFR!V51*(1%+VLOOKUP($B46,Int_Rate_Param,2,FALSE))&lt;1%+EIOPA_RFR!V51,1%+EIOPA_RFR!V51,EIOPA_RFR!V51*(1%+VLOOKUP($B46,Int_Rate_Param,2,FALSE))))</f>
        <v>3.3349999999999998E-2</v>
      </c>
      <c r="W46" s="94">
        <f>IF($B46&gt;20,IF(EIOPA_RFR!W51*(1%+VLOOKUP($B$27,Int_Rate_Param,2,FALSE))&lt;1%+EIOPA_RFR!W51,1%+EIOPA_RFR!W51,EIOPA_RFR!W51*(1%+VLOOKUP($B$27,Int_Rate_Param,2,FALSE))),IF(EIOPA_RFR!W51*(1%+VLOOKUP($B46,Int_Rate_Param,2,FALSE))&lt;1%+EIOPA_RFR!W51,1%+EIOPA_RFR!W51,EIOPA_RFR!W51*(1%+VLOOKUP($B46,Int_Rate_Param,2,FALSE))))</f>
        <v>3.3349999999999998E-2</v>
      </c>
      <c r="X46" s="94">
        <f>IF($B46&gt;20,IF(EIOPA_RFR!X51*(1%+VLOOKUP($B$27,Int_Rate_Param,2,FALSE))&lt;1%+EIOPA_RFR!X51,1%+EIOPA_RFR!X51,EIOPA_RFR!X51*(1%+VLOOKUP($B$27,Int_Rate_Param,2,FALSE))),IF(EIOPA_RFR!X51*(1%+VLOOKUP($B46,Int_Rate_Param,2,FALSE))&lt;1%+EIOPA_RFR!X51,1%+EIOPA_RFR!X51,EIOPA_RFR!X51*(1%+VLOOKUP($B46,Int_Rate_Param,2,FALSE))))</f>
        <v>3.3349999999999998E-2</v>
      </c>
      <c r="Y46" s="94">
        <f>IF($B46&gt;20,IF(EIOPA_RFR!Y51*(1%+VLOOKUP($B$27,Int_Rate_Param,2,FALSE))&lt;1%+EIOPA_RFR!Y51,1%+EIOPA_RFR!Y51,EIOPA_RFR!Y51*(1%+VLOOKUP($B$27,Int_Rate_Param,2,FALSE))),IF(EIOPA_RFR!Y51*(1%+VLOOKUP($B46,Int_Rate_Param,2,FALSE))&lt;1%+EIOPA_RFR!Y51,1%+EIOPA_RFR!Y51,EIOPA_RFR!Y51*(1%+VLOOKUP($B46,Int_Rate_Param,2,FALSE))))</f>
        <v>3.3349999999999998E-2</v>
      </c>
      <c r="Z46" s="94">
        <f>IF($B46&gt;20,IF(EIOPA_RFR!Z51*(1%+VLOOKUP($B$27,Int_Rate_Param,2,FALSE))&lt;1%+EIOPA_RFR!Z51,1%+EIOPA_RFR!Z51,EIOPA_RFR!Z51*(1%+VLOOKUP($B$27,Int_Rate_Param,2,FALSE))),IF(EIOPA_RFR!Z51*(1%+VLOOKUP($B46,Int_Rate_Param,2,FALSE))&lt;1%+EIOPA_RFR!Z51,1%+EIOPA_RFR!Z51,EIOPA_RFR!Z51*(1%+VLOOKUP($B46,Int_Rate_Param,2,FALSE))))</f>
        <v>4.2040000000000001E-2</v>
      </c>
      <c r="AA46" s="94">
        <f>IF($B46&gt;20,IF(EIOPA_RFR!AA51*(1%+VLOOKUP($B$27,Int_Rate_Param,2,FALSE))&lt;1%+EIOPA_RFR!AA51,1%+EIOPA_RFR!AA51,EIOPA_RFR!AA51*(1%+VLOOKUP($B$27,Int_Rate_Param,2,FALSE))),IF(EIOPA_RFR!AA51*(1%+VLOOKUP($B46,Int_Rate_Param,2,FALSE))&lt;1%+EIOPA_RFR!AA51,1%+EIOPA_RFR!AA51,EIOPA_RFR!AA51*(1%+VLOOKUP($B46,Int_Rate_Param,2,FALSE))))</f>
        <v>5.074E-2</v>
      </c>
      <c r="AB46" s="94">
        <f>IF($B46&gt;20,IF(EIOPA_RFR!AB51*(1%+VLOOKUP($B$27,Int_Rate_Param,2,FALSE))&lt;1%+EIOPA_RFR!AB51,1%+EIOPA_RFR!AB51,EIOPA_RFR!AB51*(1%+VLOOKUP($B$27,Int_Rate_Param,2,FALSE))),IF(EIOPA_RFR!AB51*(1%+VLOOKUP($B46,Int_Rate_Param,2,FALSE))&lt;1%+EIOPA_RFR!AB51,1%+EIOPA_RFR!AB51,EIOPA_RFR!AB51*(1%+VLOOKUP($B46,Int_Rate_Param,2,FALSE))))</f>
        <v>3.3349999999999998E-2</v>
      </c>
      <c r="AC46" s="94">
        <f>IF($B46&gt;20,IF(EIOPA_RFR!AC51*(1%+VLOOKUP($B$27,Int_Rate_Param,2,FALSE))&lt;1%+EIOPA_RFR!AC51,1%+EIOPA_RFR!AC51,EIOPA_RFR!AC51*(1%+VLOOKUP($B$27,Int_Rate_Param,2,FALSE))),IF(EIOPA_RFR!AC51*(1%+VLOOKUP($B46,Int_Rate_Param,2,FALSE))&lt;1%+EIOPA_RFR!AC51,1%+EIOPA_RFR!AC51,EIOPA_RFR!AC51*(1%+VLOOKUP($B46,Int_Rate_Param,2,FALSE))))</f>
        <v>5.3749999999999999E-2</v>
      </c>
      <c r="AD46" s="94">
        <f>IF($B46&gt;20,IF(EIOPA_RFR!AD51*(1%+VLOOKUP($B$27,Int_Rate_Param,2,FALSE))&lt;1%+EIOPA_RFR!AD51,1%+EIOPA_RFR!AD51,EIOPA_RFR!AD51*(1%+VLOOKUP($B$27,Int_Rate_Param,2,FALSE))),IF(EIOPA_RFR!AD51*(1%+VLOOKUP($B46,Int_Rate_Param,2,FALSE))&lt;1%+EIOPA_RFR!AD51,1%+EIOPA_RFR!AD51,EIOPA_RFR!AD51*(1%+VLOOKUP($B46,Int_Rate_Param,2,FALSE))))</f>
        <v>6.6979999999999998E-2</v>
      </c>
      <c r="AE46" s="94">
        <f>IF($B46&gt;20,IF(EIOPA_RFR!AE51*(1%+VLOOKUP($B$27,Int_Rate_Param,2,FALSE))&lt;1%+EIOPA_RFR!AE51,1%+EIOPA_RFR!AE51,EIOPA_RFR!AE51*(1%+VLOOKUP($B$27,Int_Rate_Param,2,FALSE))),IF(EIOPA_RFR!AE51*(1%+VLOOKUP($B46,Int_Rate_Param,2,FALSE))&lt;1%+EIOPA_RFR!AE51,1%+EIOPA_RFR!AE51,EIOPA_RFR!AE51*(1%+VLOOKUP($B46,Int_Rate_Param,2,FALSE))))</f>
        <v>3.3349999999999998E-2</v>
      </c>
      <c r="AF46" s="94">
        <f>IF($B46&gt;20,IF(EIOPA_RFR!AF51*(1%+VLOOKUP($B$27,Int_Rate_Param,2,FALSE))&lt;1%+EIOPA_RFR!AF51,1%+EIOPA_RFR!AF51,EIOPA_RFR!AF51*(1%+VLOOKUP($B$27,Int_Rate_Param,2,FALSE))),IF(EIOPA_RFR!AF51*(1%+VLOOKUP($B46,Int_Rate_Param,2,FALSE))&lt;1%+EIOPA_RFR!AF51,1%+EIOPA_RFR!AF51,EIOPA_RFR!AF51*(1%+VLOOKUP($B46,Int_Rate_Param,2,FALSE))))</f>
        <v>3.3349999999999998E-2</v>
      </c>
      <c r="AG46" s="94">
        <f>IF($B46&gt;20,IF(EIOPA_RFR!AG51*(1%+VLOOKUP($B$27,Int_Rate_Param,2,FALSE))&lt;1%+EIOPA_RFR!AG51,1%+EIOPA_RFR!AG51,EIOPA_RFR!AG51*(1%+VLOOKUP($B$27,Int_Rate_Param,2,FALSE))),IF(EIOPA_RFR!AG51*(1%+VLOOKUP($B46,Int_Rate_Param,2,FALSE))&lt;1%+EIOPA_RFR!AG51,1%+EIOPA_RFR!AG51,EIOPA_RFR!AG51*(1%+VLOOKUP($B46,Int_Rate_Param,2,FALSE))))</f>
        <v>3.3349999999999998E-2</v>
      </c>
      <c r="AH46" s="94">
        <f>IF($B46&gt;20,IF(EIOPA_RFR!AH51*(1%+VLOOKUP($B$27,Int_Rate_Param,2,FALSE))&lt;1%+EIOPA_RFR!AH51,1%+EIOPA_RFR!AH51,EIOPA_RFR!AH51*(1%+VLOOKUP($B$27,Int_Rate_Param,2,FALSE))),IF(EIOPA_RFR!AH51*(1%+VLOOKUP($B46,Int_Rate_Param,2,FALSE))&lt;1%+EIOPA_RFR!AH51,1%+EIOPA_RFR!AH51,EIOPA_RFR!AH51*(1%+VLOOKUP($B46,Int_Rate_Param,2,FALSE))))</f>
        <v>4.2890000000000005E-2</v>
      </c>
      <c r="AI46" s="94">
        <f>IF($B46&gt;20,IF(EIOPA_RFR!AI51*(1%+VLOOKUP($B$27,Int_Rate_Param,2,FALSE))&lt;1%+EIOPA_RFR!AI51,1%+EIOPA_RFR!AI51,EIOPA_RFR!AI51*(1%+VLOOKUP($B$27,Int_Rate_Param,2,FALSE))),IF(EIOPA_RFR!AI51*(1%+VLOOKUP($B46,Int_Rate_Param,2,FALSE))&lt;1%+EIOPA_RFR!AI51,1%+EIOPA_RFR!AI51,EIOPA_RFR!AI51*(1%+VLOOKUP($B46,Int_Rate_Param,2,FALSE))))</f>
        <v>2.1420000000000002E-2</v>
      </c>
      <c r="AJ46" s="94">
        <f>IF($B46&gt;20,IF(EIOPA_RFR!AJ51*(1%+VLOOKUP($B$27,Int_Rate_Param,2,FALSE))&lt;1%+EIOPA_RFR!AJ51,1%+EIOPA_RFR!AJ51,EIOPA_RFR!AJ51*(1%+VLOOKUP($B$27,Int_Rate_Param,2,FALSE))),IF(EIOPA_RFR!AJ51*(1%+VLOOKUP($B46,Int_Rate_Param,2,FALSE))&lt;1%+EIOPA_RFR!AJ51,1%+EIOPA_RFR!AJ51,EIOPA_RFR!AJ51*(1%+VLOOKUP($B46,Int_Rate_Param,2,FALSE))))</f>
        <v>2.1600000000000001E-2</v>
      </c>
      <c r="AK46" s="94">
        <f>IF($B46&gt;20,IF(EIOPA_RFR!AK51*(1%+VLOOKUP($B$27,Int_Rate_Param,2,FALSE))&lt;1%+EIOPA_RFR!AK51,1%+EIOPA_RFR!AK51,EIOPA_RFR!AK51*(1%+VLOOKUP($B$27,Int_Rate_Param,2,FALSE))),IF(EIOPA_RFR!AK51*(1%+VLOOKUP($B46,Int_Rate_Param,2,FALSE))&lt;1%+EIOPA_RFR!AK51,1%+EIOPA_RFR!AK51,EIOPA_RFR!AK51*(1%+VLOOKUP($B46,Int_Rate_Param,2,FALSE))))</f>
        <v>4.4010000000000001E-2</v>
      </c>
      <c r="AL46" s="94">
        <f>IF($B46&gt;20,IF(EIOPA_RFR!AL51*(1%+VLOOKUP($B$27,Int_Rate_Param,2,FALSE))&lt;1%+EIOPA_RFR!AL51,1%+EIOPA_RFR!AL51,EIOPA_RFR!AL51*(1%+VLOOKUP($B$27,Int_Rate_Param,2,FALSE))),IF(EIOPA_RFR!AL51*(1%+VLOOKUP($B46,Int_Rate_Param,2,FALSE))&lt;1%+EIOPA_RFR!AL51,1%+EIOPA_RFR!AL51,EIOPA_RFR!AL51*(1%+VLOOKUP($B46,Int_Rate_Param,2,FALSE))))</f>
        <v>8.2220000000000001E-2</v>
      </c>
      <c r="AM46" s="94">
        <f>IF($B46&gt;20,IF(EIOPA_RFR!AM51*(1%+VLOOKUP($B$27,Int_Rate_Param,2,FALSE))&lt;1%+EIOPA_RFR!AM51,1%+EIOPA_RFR!AM51,EIOPA_RFR!AM51*(1%+VLOOKUP($B$27,Int_Rate_Param,2,FALSE))),IF(EIOPA_RFR!AM51*(1%+VLOOKUP($B46,Int_Rate_Param,2,FALSE))&lt;1%+EIOPA_RFR!AM51,1%+EIOPA_RFR!AM51,EIOPA_RFR!AM51*(1%+VLOOKUP($B46,Int_Rate_Param,2,FALSE))))</f>
        <v>3.474E-2</v>
      </c>
      <c r="AN46" s="94">
        <f>IF($B46&gt;20,IF(EIOPA_RFR!AN51*(1%+VLOOKUP($B$27,Int_Rate_Param,2,FALSE))&lt;1%+EIOPA_RFR!AN51,1%+EIOPA_RFR!AN51,EIOPA_RFR!AN51*(1%+VLOOKUP($B$27,Int_Rate_Param,2,FALSE))),IF(EIOPA_RFR!AN51*(1%+VLOOKUP($B46,Int_Rate_Param,2,FALSE))&lt;1%+EIOPA_RFR!AN51,1%+EIOPA_RFR!AN51,EIOPA_RFR!AN51*(1%+VLOOKUP($B46,Int_Rate_Param,2,FALSE))))</f>
        <v>5.2569999999999999E-2</v>
      </c>
      <c r="AO46" s="94">
        <f>IF($B46&gt;20,IF(EIOPA_RFR!AO51*(1%+VLOOKUP($B$27,Int_Rate_Param,2,FALSE))&lt;1%+EIOPA_RFR!AO51,1%+EIOPA_RFR!AO51,EIOPA_RFR!AO51*(1%+VLOOKUP($B$27,Int_Rate_Param,2,FALSE))),IF(EIOPA_RFR!AO51*(1%+VLOOKUP($B46,Int_Rate_Param,2,FALSE))&lt;1%+EIOPA_RFR!AO51,1%+EIOPA_RFR!AO51,EIOPA_RFR!AO51*(1%+VLOOKUP($B46,Int_Rate_Param,2,FALSE))))</f>
        <v>5.3860000000000005E-2</v>
      </c>
      <c r="AP46" s="94">
        <f>IF($B46&gt;20,IF(EIOPA_RFR!AP51*(1%+VLOOKUP($B$27,Int_Rate_Param,2,FALSE))&lt;1%+EIOPA_RFR!AP51,1%+EIOPA_RFR!AP51,EIOPA_RFR!AP51*(1%+VLOOKUP($B$27,Int_Rate_Param,2,FALSE))),IF(EIOPA_RFR!AP51*(1%+VLOOKUP($B46,Int_Rate_Param,2,FALSE))&lt;1%+EIOPA_RFR!AP51,1%+EIOPA_RFR!AP51,EIOPA_RFR!AP51*(1%+VLOOKUP($B46,Int_Rate_Param,2,FALSE))))</f>
        <v>6.3509999999999997E-2</v>
      </c>
      <c r="AQ46" s="94">
        <f>IF($B46&gt;20,IF(EIOPA_RFR!AQ51*(1%+VLOOKUP($B$27,Int_Rate_Param,2,FALSE))&lt;1%+EIOPA_RFR!AQ51,1%+EIOPA_RFR!AQ51,EIOPA_RFR!AQ51*(1%+VLOOKUP($B$27,Int_Rate_Param,2,FALSE))),IF(EIOPA_RFR!AQ51*(1%+VLOOKUP($B46,Int_Rate_Param,2,FALSE))&lt;1%+EIOPA_RFR!AQ51,1%+EIOPA_RFR!AQ51,EIOPA_RFR!AQ51*(1%+VLOOKUP($B46,Int_Rate_Param,2,FALSE))))</f>
        <v>4.2460000000000005E-2</v>
      </c>
      <c r="AR46" s="94">
        <f>IF($B46&gt;20,IF(EIOPA_RFR!AR51*(1%+VLOOKUP($B$27,Int_Rate_Param,2,FALSE))&lt;1%+EIOPA_RFR!AR51,1%+EIOPA_RFR!AR51,EIOPA_RFR!AR51*(1%+VLOOKUP($B$27,Int_Rate_Param,2,FALSE))),IF(EIOPA_RFR!AR51*(1%+VLOOKUP($B46,Int_Rate_Param,2,FALSE))&lt;1%+EIOPA_RFR!AR51,1%+EIOPA_RFR!AR51,EIOPA_RFR!AR51*(1%+VLOOKUP($B46,Int_Rate_Param,2,FALSE))))</f>
        <v>7.1480000000000002E-2</v>
      </c>
      <c r="AS46" s="94">
        <f>IF($B46&gt;20,IF(EIOPA_RFR!AS51*(1%+VLOOKUP($B$27,Int_Rate_Param,2,FALSE))&lt;1%+EIOPA_RFR!AS51,1%+EIOPA_RFR!AS51,EIOPA_RFR!AS51*(1%+VLOOKUP($B$27,Int_Rate_Param,2,FALSE))),IF(EIOPA_RFR!AS51*(1%+VLOOKUP($B46,Int_Rate_Param,2,FALSE))&lt;1%+EIOPA_RFR!AS51,1%+EIOPA_RFR!AS51,EIOPA_RFR!AS51*(1%+VLOOKUP($B46,Int_Rate_Param,2,FALSE))))</f>
        <v>2.0799999999999999E-2</v>
      </c>
      <c r="AT46" s="94">
        <f>IF($B46&gt;20,IF(EIOPA_RFR!AT51*(1%+VLOOKUP($B$27,Int_Rate_Param,2,FALSE))&lt;1%+EIOPA_RFR!AT51,1%+EIOPA_RFR!AT51,EIOPA_RFR!AT51*(1%+VLOOKUP($B$27,Int_Rate_Param,2,FALSE))),IF(EIOPA_RFR!AT51*(1%+VLOOKUP($B46,Int_Rate_Param,2,FALSE))&lt;1%+EIOPA_RFR!AT51,1%+EIOPA_RFR!AT51,EIOPA_RFR!AT51*(1%+VLOOKUP($B46,Int_Rate_Param,2,FALSE))))</f>
        <v>5.3420000000000002E-2</v>
      </c>
      <c r="AU46" s="94">
        <f>IF($B46&gt;20,IF(EIOPA_RFR!AU51*(1%+VLOOKUP($B$27,Int_Rate_Param,2,FALSE))&lt;1%+EIOPA_RFR!AU51,1%+EIOPA_RFR!AU51,EIOPA_RFR!AU51*(1%+VLOOKUP($B$27,Int_Rate_Param,2,FALSE))),IF(EIOPA_RFR!AU51*(1%+VLOOKUP($B46,Int_Rate_Param,2,FALSE))&lt;1%+EIOPA_RFR!AU51,1%+EIOPA_RFR!AU51,EIOPA_RFR!AU51*(1%+VLOOKUP($B46,Int_Rate_Param,2,FALSE))))</f>
        <v>8.1189999999999998E-2</v>
      </c>
      <c r="AV46" s="94">
        <f>IF($B46&gt;20,IF(EIOPA_RFR!AV51*(1%+VLOOKUP($B$27,Int_Rate_Param,2,FALSE))&lt;1%+EIOPA_RFR!AV51,1%+EIOPA_RFR!AV51,EIOPA_RFR!AV51*(1%+VLOOKUP($B$27,Int_Rate_Param,2,FALSE))),IF(EIOPA_RFR!AV51*(1%+VLOOKUP($B46,Int_Rate_Param,2,FALSE))&lt;1%+EIOPA_RFR!AV51,1%+EIOPA_RFR!AV51,EIOPA_RFR!AV51*(1%+VLOOKUP($B46,Int_Rate_Param,2,FALSE))))</f>
        <v>5.1910000000000005E-2</v>
      </c>
      <c r="AW46" s="94">
        <f>IF($B46&gt;20,IF(EIOPA_RFR!AW51*(1%+VLOOKUP($B$27,Int_Rate_Param,2,FALSE))&lt;1%+EIOPA_RFR!AW51,1%+EIOPA_RFR!AW51,EIOPA_RFR!AW51*(1%+VLOOKUP($B$27,Int_Rate_Param,2,FALSE))),IF(EIOPA_RFR!AW51*(1%+VLOOKUP($B46,Int_Rate_Param,2,FALSE))&lt;1%+EIOPA_RFR!AW51,1%+EIOPA_RFR!AW51,EIOPA_RFR!AW51*(1%+VLOOKUP($B46,Int_Rate_Param,2,FALSE))))</f>
        <v>4.2200000000000001E-2</v>
      </c>
      <c r="AX46" s="94">
        <f>IF($B46&gt;20,IF(EIOPA_RFR!AX51*(1%+VLOOKUP($B$27,Int_Rate_Param,2,FALSE))&lt;1%+EIOPA_RFR!AX51,1%+EIOPA_RFR!AX51,EIOPA_RFR!AX51*(1%+VLOOKUP($B$27,Int_Rate_Param,2,FALSE))),IF(EIOPA_RFR!AX51*(1%+VLOOKUP($B46,Int_Rate_Param,2,FALSE))&lt;1%+EIOPA_RFR!AX51,1%+EIOPA_RFR!AX51,EIOPA_RFR!AX51*(1%+VLOOKUP($B46,Int_Rate_Param,2,FALSE))))</f>
        <v>8.0829999999999999E-2</v>
      </c>
      <c r="AY46" s="94">
        <f>IF($B46&gt;20,IF(EIOPA_RFR!AY51*(1%+VLOOKUP($B$27,Int_Rate_Param,2,FALSE))&lt;1%+EIOPA_RFR!AY51,1%+EIOPA_RFR!AY51,EIOPA_RFR!AY51*(1%+VLOOKUP($B$27,Int_Rate_Param,2,FALSE))),IF(EIOPA_RFR!AY51*(1%+VLOOKUP($B46,Int_Rate_Param,2,FALSE))&lt;1%+EIOPA_RFR!AY51,1%+EIOPA_RFR!AY51,EIOPA_RFR!AY51*(1%+VLOOKUP($B46,Int_Rate_Param,2,FALSE))))</f>
        <v>3.6519999999999997E-2</v>
      </c>
      <c r="AZ46" s="94">
        <f>IF($B46&gt;20,IF(EIOPA_RFR!AZ51*(1%+VLOOKUP($B$27,Int_Rate_Param,2,FALSE))&lt;1%+EIOPA_RFR!AZ51,1%+EIOPA_RFR!AZ51,EIOPA_RFR!AZ51*(1%+VLOOKUP($B$27,Int_Rate_Param,2,FALSE))),IF(EIOPA_RFR!AZ51*(1%+VLOOKUP($B46,Int_Rate_Param,2,FALSE))&lt;1%+EIOPA_RFR!AZ51,1%+EIOPA_RFR!AZ51,EIOPA_RFR!AZ51*(1%+VLOOKUP($B46,Int_Rate_Param,2,FALSE))))</f>
        <v>3.8789999999999998E-2</v>
      </c>
      <c r="BA46" s="94">
        <f>IF($B46&gt;20,IF(EIOPA_RFR!BA51*(1%+VLOOKUP($B$27,Int_Rate_Param,2,FALSE))&lt;1%+EIOPA_RFR!BA51,1%+EIOPA_RFR!BA51,EIOPA_RFR!BA51*(1%+VLOOKUP($B$27,Int_Rate_Param,2,FALSE))),IF(EIOPA_RFR!BA51*(1%+VLOOKUP($B46,Int_Rate_Param,2,FALSE))&lt;1%+EIOPA_RFR!BA51,1%+EIOPA_RFR!BA51,EIOPA_RFR!BA51*(1%+VLOOKUP($B46,Int_Rate_Param,2,FALSE))))</f>
        <v>4.4819999999999999E-2</v>
      </c>
      <c r="BB46" s="94">
        <f>IF($B46&gt;20,IF(EIOPA_RFR!BB51*(1%+VLOOKUP($B$27,Int_Rate_Param,2,FALSE))&lt;1%+EIOPA_RFR!BB51,1%+EIOPA_RFR!BB51,EIOPA_RFR!BB51*(1%+VLOOKUP($B$27,Int_Rate_Param,2,FALSE))),IF(EIOPA_RFR!BB51*(1%+VLOOKUP($B46,Int_Rate_Param,2,FALSE))&lt;1%+EIOPA_RFR!BB51,1%+EIOPA_RFR!BB51,EIOPA_RFR!BB51*(1%+VLOOKUP($B46,Int_Rate_Param,2,FALSE))))</f>
        <v>8.4419999999999995E-2</v>
      </c>
      <c r="BC46" s="94">
        <f>IF($B46&gt;20,IF(EIOPA_RFR!BC51*(1%+VLOOKUP($B$27,Int_Rate_Param,2,FALSE))&lt;1%+EIOPA_RFR!BC51,1%+EIOPA_RFR!BC51,EIOPA_RFR!BC51*(1%+VLOOKUP($B$27,Int_Rate_Param,2,FALSE))),IF(EIOPA_RFR!BC51*(1%+VLOOKUP($B46,Int_Rate_Param,2,FALSE))&lt;1%+EIOPA_RFR!BC51,1%+EIOPA_RFR!BC51,EIOPA_RFR!BC51*(1%+VLOOKUP($B46,Int_Rate_Param,2,FALSE))))</f>
        <v>3.5180000000000003E-2</v>
      </c>
    </row>
    <row r="47" spans="1:55" x14ac:dyDescent="0.25">
      <c r="A47">
        <f t="shared" si="0"/>
        <v>42</v>
      </c>
      <c r="B47" s="95">
        <v>40</v>
      </c>
      <c r="C47" s="94">
        <f>IF($B47&gt;20,IF(EIOPA_RFR!C52*(1%+VLOOKUP($B$27,Int_Rate_Param,2,FALSE))&lt;1%+EIOPA_RFR!C52,1%+EIOPA_RFR!C52,EIOPA_RFR!C52*(1%+VLOOKUP($B$27,Int_Rate_Param,2,FALSE))),IF(EIOPA_RFR!C52*(1%+VLOOKUP($B47,Int_Rate_Param,2,FALSE))&lt;1%+EIOPA_RFR!C52,1%+EIOPA_RFR!C52,EIOPA_RFR!C52*(1%+VLOOKUP($B47,Int_Rate_Param,2,FALSE))))</f>
        <v>3.3770000000000001E-2</v>
      </c>
      <c r="D47" s="94">
        <f>IF($B47&gt;20,IF(EIOPA_RFR!D52*(1%+VLOOKUP($B$27,Int_Rate_Param,2,FALSE))&lt;1%+EIOPA_RFR!D52,1%+EIOPA_RFR!D52,EIOPA_RFR!D52*(1%+VLOOKUP($B$27,Int_Rate_Param,2,FALSE))),IF(EIOPA_RFR!D52*(1%+VLOOKUP($B47,Int_Rate_Param,2,FALSE))&lt;1%+EIOPA_RFR!D52,1%+EIOPA_RFR!D52,EIOPA_RFR!D52*(1%+VLOOKUP($B47,Int_Rate_Param,2,FALSE))))</f>
        <v>3.3770000000000001E-2</v>
      </c>
      <c r="E47" s="94">
        <f>IF($B47&gt;20,IF(EIOPA_RFR!E52*(1%+VLOOKUP($B$27,Int_Rate_Param,2,FALSE))&lt;1%+EIOPA_RFR!E52,1%+EIOPA_RFR!E52,EIOPA_RFR!E52*(1%+VLOOKUP($B$27,Int_Rate_Param,2,FALSE))),IF(EIOPA_RFR!E52*(1%+VLOOKUP($B47,Int_Rate_Param,2,FALSE))&lt;1%+EIOPA_RFR!E52,1%+EIOPA_RFR!E52,EIOPA_RFR!E52*(1%+VLOOKUP($B47,Int_Rate_Param,2,FALSE))))</f>
        <v>3.3770000000000001E-2</v>
      </c>
      <c r="F47" s="94">
        <f>IF($B47&gt;20,IF(EIOPA_RFR!F52*(1%+VLOOKUP($B$27,Int_Rate_Param,2,FALSE))&lt;1%+EIOPA_RFR!F52,1%+EIOPA_RFR!F52,EIOPA_RFR!F52*(1%+VLOOKUP($B$27,Int_Rate_Param,2,FALSE))),IF(EIOPA_RFR!F52*(1%+VLOOKUP($B47,Int_Rate_Param,2,FALSE))&lt;1%+EIOPA_RFR!F52,1%+EIOPA_RFR!F52,EIOPA_RFR!F52*(1%+VLOOKUP($B47,Int_Rate_Param,2,FALSE))))</f>
        <v>3.3460000000000004E-2</v>
      </c>
      <c r="G47" s="94">
        <f>IF($B47&gt;20,IF(EIOPA_RFR!G52*(1%+VLOOKUP($B$27,Int_Rate_Param,2,FALSE))&lt;1%+EIOPA_RFR!G52,1%+EIOPA_RFR!G52,EIOPA_RFR!G52*(1%+VLOOKUP($B$27,Int_Rate_Param,2,FALSE))),IF(EIOPA_RFR!G52*(1%+VLOOKUP($B47,Int_Rate_Param,2,FALSE))&lt;1%+EIOPA_RFR!G52,1%+EIOPA_RFR!G52,EIOPA_RFR!G52*(1%+VLOOKUP($B47,Int_Rate_Param,2,FALSE))))</f>
        <v>4.7190000000000003E-2</v>
      </c>
      <c r="H47" s="94">
        <f>IF($B47&gt;20,IF(EIOPA_RFR!H52*(1%+VLOOKUP($B$27,Int_Rate_Param,2,FALSE))&lt;1%+EIOPA_RFR!H52,1%+EIOPA_RFR!H52,EIOPA_RFR!H52*(1%+VLOOKUP($B$27,Int_Rate_Param,2,FALSE))),IF(EIOPA_RFR!H52*(1%+VLOOKUP($B47,Int_Rate_Param,2,FALSE))&lt;1%+EIOPA_RFR!H52,1%+EIOPA_RFR!H52,EIOPA_RFR!H52*(1%+VLOOKUP($B47,Int_Rate_Param,2,FALSE))))</f>
        <v>3.3770000000000001E-2</v>
      </c>
      <c r="I47" s="94">
        <f>IF($B47&gt;20,IF(EIOPA_RFR!I52*(1%+VLOOKUP($B$27,Int_Rate_Param,2,FALSE))&lt;1%+EIOPA_RFR!I52,1%+EIOPA_RFR!I52,EIOPA_RFR!I52*(1%+VLOOKUP($B$27,Int_Rate_Param,2,FALSE))),IF(EIOPA_RFR!I52*(1%+VLOOKUP($B47,Int_Rate_Param,2,FALSE))&lt;1%+EIOPA_RFR!I52,1%+EIOPA_RFR!I52,EIOPA_RFR!I52*(1%+VLOOKUP($B47,Int_Rate_Param,2,FALSE))))</f>
        <v>3.7269999999999998E-2</v>
      </c>
      <c r="J47" s="94">
        <f>IF($B47&gt;20,IF(EIOPA_RFR!J52*(1%+VLOOKUP($B$27,Int_Rate_Param,2,FALSE))&lt;1%+EIOPA_RFR!J52,1%+EIOPA_RFR!J52,EIOPA_RFR!J52*(1%+VLOOKUP($B$27,Int_Rate_Param,2,FALSE))),IF(EIOPA_RFR!J52*(1%+VLOOKUP($B47,Int_Rate_Param,2,FALSE))&lt;1%+EIOPA_RFR!J52,1%+EIOPA_RFR!J52,EIOPA_RFR!J52*(1%+VLOOKUP($B47,Int_Rate_Param,2,FALSE))))</f>
        <v>3.3709999999999997E-2</v>
      </c>
      <c r="K47" s="94">
        <f>IF($B47&gt;20,IF(EIOPA_RFR!K52*(1%+VLOOKUP($B$27,Int_Rate_Param,2,FALSE))&lt;1%+EIOPA_RFR!K52,1%+EIOPA_RFR!K52,EIOPA_RFR!K52*(1%+VLOOKUP($B$27,Int_Rate_Param,2,FALSE))),IF(EIOPA_RFR!K52*(1%+VLOOKUP($B47,Int_Rate_Param,2,FALSE))&lt;1%+EIOPA_RFR!K52,1%+EIOPA_RFR!K52,EIOPA_RFR!K52*(1%+VLOOKUP($B47,Int_Rate_Param,2,FALSE))))</f>
        <v>3.3770000000000001E-2</v>
      </c>
      <c r="L47" s="94">
        <f>IF($B47&gt;20,IF(EIOPA_RFR!L52*(1%+VLOOKUP($B$27,Int_Rate_Param,2,FALSE))&lt;1%+EIOPA_RFR!L52,1%+EIOPA_RFR!L52,EIOPA_RFR!L52*(1%+VLOOKUP($B$27,Int_Rate_Param,2,FALSE))),IF(EIOPA_RFR!L52*(1%+VLOOKUP($B47,Int_Rate_Param,2,FALSE))&lt;1%+EIOPA_RFR!L52,1%+EIOPA_RFR!L52,EIOPA_RFR!L52*(1%+VLOOKUP($B47,Int_Rate_Param,2,FALSE))))</f>
        <v>3.3770000000000001E-2</v>
      </c>
      <c r="M47" s="94">
        <f>IF($B47&gt;20,IF(EIOPA_RFR!M52*(1%+VLOOKUP($B$27,Int_Rate_Param,2,FALSE))&lt;1%+EIOPA_RFR!M52,1%+EIOPA_RFR!M52,EIOPA_RFR!M52*(1%+VLOOKUP($B$27,Int_Rate_Param,2,FALSE))),IF(EIOPA_RFR!M52*(1%+VLOOKUP($B47,Int_Rate_Param,2,FALSE))&lt;1%+EIOPA_RFR!M52,1%+EIOPA_RFR!M52,EIOPA_RFR!M52*(1%+VLOOKUP($B47,Int_Rate_Param,2,FALSE))))</f>
        <v>3.3770000000000001E-2</v>
      </c>
      <c r="N47" s="94">
        <f>IF($B47&gt;20,IF(EIOPA_RFR!N52*(1%+VLOOKUP($B$27,Int_Rate_Param,2,FALSE))&lt;1%+EIOPA_RFR!N52,1%+EIOPA_RFR!N52,EIOPA_RFR!N52*(1%+VLOOKUP($B$27,Int_Rate_Param,2,FALSE))),IF(EIOPA_RFR!N52*(1%+VLOOKUP($B47,Int_Rate_Param,2,FALSE))&lt;1%+EIOPA_RFR!N52,1%+EIOPA_RFR!N52,EIOPA_RFR!N52*(1%+VLOOKUP($B47,Int_Rate_Param,2,FALSE))))</f>
        <v>3.3770000000000001E-2</v>
      </c>
      <c r="O47" s="94">
        <f>IF($B47&gt;20,IF(EIOPA_RFR!O52*(1%+VLOOKUP($B$27,Int_Rate_Param,2,FALSE))&lt;1%+EIOPA_RFR!O52,1%+EIOPA_RFR!O52,EIOPA_RFR!O52*(1%+VLOOKUP($B$27,Int_Rate_Param,2,FALSE))),IF(EIOPA_RFR!O52*(1%+VLOOKUP($B47,Int_Rate_Param,2,FALSE))&lt;1%+EIOPA_RFR!O52,1%+EIOPA_RFR!O52,EIOPA_RFR!O52*(1%+VLOOKUP($B47,Int_Rate_Param,2,FALSE))))</f>
        <v>3.3770000000000001E-2</v>
      </c>
      <c r="P47" s="94">
        <f>IF($B47&gt;20,IF(EIOPA_RFR!P52*(1%+VLOOKUP($B$27,Int_Rate_Param,2,FALSE))&lt;1%+EIOPA_RFR!P52,1%+EIOPA_RFR!P52,EIOPA_RFR!P52*(1%+VLOOKUP($B$27,Int_Rate_Param,2,FALSE))),IF(EIOPA_RFR!P52*(1%+VLOOKUP($B47,Int_Rate_Param,2,FALSE))&lt;1%+EIOPA_RFR!P52,1%+EIOPA_RFR!P52,EIOPA_RFR!P52*(1%+VLOOKUP($B47,Int_Rate_Param,2,FALSE))))</f>
        <v>5.3430000000000005E-2</v>
      </c>
      <c r="Q47" s="94">
        <f>IF($B47&gt;20,IF(EIOPA_RFR!Q52*(1%+VLOOKUP($B$27,Int_Rate_Param,2,FALSE))&lt;1%+EIOPA_RFR!Q52,1%+EIOPA_RFR!Q52,EIOPA_RFR!Q52*(1%+VLOOKUP($B$27,Int_Rate_Param,2,FALSE))),IF(EIOPA_RFR!Q52*(1%+VLOOKUP($B47,Int_Rate_Param,2,FALSE))&lt;1%+EIOPA_RFR!Q52,1%+EIOPA_RFR!Q52,EIOPA_RFR!Q52*(1%+VLOOKUP($B47,Int_Rate_Param,2,FALSE))))</f>
        <v>5.4769999999999999E-2</v>
      </c>
      <c r="R47" s="94">
        <f>IF($B47&gt;20,IF(EIOPA_RFR!R52*(1%+VLOOKUP($B$27,Int_Rate_Param,2,FALSE))&lt;1%+EIOPA_RFR!R52,1%+EIOPA_RFR!R52,EIOPA_RFR!R52*(1%+VLOOKUP($B$27,Int_Rate_Param,2,FALSE))),IF(EIOPA_RFR!R52*(1%+VLOOKUP($B47,Int_Rate_Param,2,FALSE))&lt;1%+EIOPA_RFR!R52,1%+EIOPA_RFR!R52,EIOPA_RFR!R52*(1%+VLOOKUP($B47,Int_Rate_Param,2,FALSE))))</f>
        <v>3.3770000000000001E-2</v>
      </c>
      <c r="S47" s="94">
        <f>IF($B47&gt;20,IF(EIOPA_RFR!S52*(1%+VLOOKUP($B$27,Int_Rate_Param,2,FALSE))&lt;1%+EIOPA_RFR!S52,1%+EIOPA_RFR!S52,EIOPA_RFR!S52*(1%+VLOOKUP($B$27,Int_Rate_Param,2,FALSE))),IF(EIOPA_RFR!S52*(1%+VLOOKUP($B47,Int_Rate_Param,2,FALSE))&lt;1%+EIOPA_RFR!S52,1%+EIOPA_RFR!S52,EIOPA_RFR!S52*(1%+VLOOKUP($B47,Int_Rate_Param,2,FALSE))))</f>
        <v>3.3770000000000001E-2</v>
      </c>
      <c r="T47" s="94">
        <f>IF($B47&gt;20,IF(EIOPA_RFR!T52*(1%+VLOOKUP($B$27,Int_Rate_Param,2,FALSE))&lt;1%+EIOPA_RFR!T52,1%+EIOPA_RFR!T52,EIOPA_RFR!T52*(1%+VLOOKUP($B$27,Int_Rate_Param,2,FALSE))),IF(EIOPA_RFR!T52*(1%+VLOOKUP($B47,Int_Rate_Param,2,FALSE))&lt;1%+EIOPA_RFR!T52,1%+EIOPA_RFR!T52,EIOPA_RFR!T52*(1%+VLOOKUP($B47,Int_Rate_Param,2,FALSE))))</f>
        <v>3.3770000000000001E-2</v>
      </c>
      <c r="U47" s="94">
        <f>IF($B47&gt;20,IF(EIOPA_RFR!U52*(1%+VLOOKUP($B$27,Int_Rate_Param,2,FALSE))&lt;1%+EIOPA_RFR!U52,1%+EIOPA_RFR!U52,EIOPA_RFR!U52*(1%+VLOOKUP($B$27,Int_Rate_Param,2,FALSE))),IF(EIOPA_RFR!U52*(1%+VLOOKUP($B47,Int_Rate_Param,2,FALSE))&lt;1%+EIOPA_RFR!U52,1%+EIOPA_RFR!U52,EIOPA_RFR!U52*(1%+VLOOKUP($B47,Int_Rate_Param,2,FALSE))))</f>
        <v>2.1860000000000001E-2</v>
      </c>
      <c r="V47" s="94">
        <f>IF($B47&gt;20,IF(EIOPA_RFR!V52*(1%+VLOOKUP($B$27,Int_Rate_Param,2,FALSE))&lt;1%+EIOPA_RFR!V52,1%+EIOPA_RFR!V52,EIOPA_RFR!V52*(1%+VLOOKUP($B$27,Int_Rate_Param,2,FALSE))),IF(EIOPA_RFR!V52*(1%+VLOOKUP($B47,Int_Rate_Param,2,FALSE))&lt;1%+EIOPA_RFR!V52,1%+EIOPA_RFR!V52,EIOPA_RFR!V52*(1%+VLOOKUP($B47,Int_Rate_Param,2,FALSE))))</f>
        <v>3.3770000000000001E-2</v>
      </c>
      <c r="W47" s="94">
        <f>IF($B47&gt;20,IF(EIOPA_RFR!W52*(1%+VLOOKUP($B$27,Int_Rate_Param,2,FALSE))&lt;1%+EIOPA_RFR!W52,1%+EIOPA_RFR!W52,EIOPA_RFR!W52*(1%+VLOOKUP($B$27,Int_Rate_Param,2,FALSE))),IF(EIOPA_RFR!W52*(1%+VLOOKUP($B47,Int_Rate_Param,2,FALSE))&lt;1%+EIOPA_RFR!W52,1%+EIOPA_RFR!W52,EIOPA_RFR!W52*(1%+VLOOKUP($B47,Int_Rate_Param,2,FALSE))))</f>
        <v>3.3770000000000001E-2</v>
      </c>
      <c r="X47" s="94">
        <f>IF($B47&gt;20,IF(EIOPA_RFR!X52*(1%+VLOOKUP($B$27,Int_Rate_Param,2,FALSE))&lt;1%+EIOPA_RFR!X52,1%+EIOPA_RFR!X52,EIOPA_RFR!X52*(1%+VLOOKUP($B$27,Int_Rate_Param,2,FALSE))),IF(EIOPA_RFR!X52*(1%+VLOOKUP($B47,Int_Rate_Param,2,FALSE))&lt;1%+EIOPA_RFR!X52,1%+EIOPA_RFR!X52,EIOPA_RFR!X52*(1%+VLOOKUP($B47,Int_Rate_Param,2,FALSE))))</f>
        <v>3.3770000000000001E-2</v>
      </c>
      <c r="Y47" s="94">
        <f>IF($B47&gt;20,IF(EIOPA_RFR!Y52*(1%+VLOOKUP($B$27,Int_Rate_Param,2,FALSE))&lt;1%+EIOPA_RFR!Y52,1%+EIOPA_RFR!Y52,EIOPA_RFR!Y52*(1%+VLOOKUP($B$27,Int_Rate_Param,2,FALSE))),IF(EIOPA_RFR!Y52*(1%+VLOOKUP($B47,Int_Rate_Param,2,FALSE))&lt;1%+EIOPA_RFR!Y52,1%+EIOPA_RFR!Y52,EIOPA_RFR!Y52*(1%+VLOOKUP($B47,Int_Rate_Param,2,FALSE))))</f>
        <v>3.3770000000000001E-2</v>
      </c>
      <c r="Z47" s="94">
        <f>IF($B47&gt;20,IF(EIOPA_RFR!Z52*(1%+VLOOKUP($B$27,Int_Rate_Param,2,FALSE))&lt;1%+EIOPA_RFR!Z52,1%+EIOPA_RFR!Z52,EIOPA_RFR!Z52*(1%+VLOOKUP($B$27,Int_Rate_Param,2,FALSE))),IF(EIOPA_RFR!Z52*(1%+VLOOKUP($B47,Int_Rate_Param,2,FALSE))&lt;1%+EIOPA_RFR!Z52,1%+EIOPA_RFR!Z52,EIOPA_RFR!Z52*(1%+VLOOKUP($B47,Int_Rate_Param,2,FALSE))))</f>
        <v>4.2259999999999999E-2</v>
      </c>
      <c r="AA47" s="94">
        <f>IF($B47&gt;20,IF(EIOPA_RFR!AA52*(1%+VLOOKUP($B$27,Int_Rate_Param,2,FALSE))&lt;1%+EIOPA_RFR!AA52,1%+EIOPA_RFR!AA52,EIOPA_RFR!AA52*(1%+VLOOKUP($B$27,Int_Rate_Param,2,FALSE))),IF(EIOPA_RFR!AA52*(1%+VLOOKUP($B47,Int_Rate_Param,2,FALSE))&lt;1%+EIOPA_RFR!AA52,1%+EIOPA_RFR!AA52,EIOPA_RFR!AA52*(1%+VLOOKUP($B47,Int_Rate_Param,2,FALSE))))</f>
        <v>5.0790000000000002E-2</v>
      </c>
      <c r="AB47" s="94">
        <f>IF($B47&gt;20,IF(EIOPA_RFR!AB52*(1%+VLOOKUP($B$27,Int_Rate_Param,2,FALSE))&lt;1%+EIOPA_RFR!AB52,1%+EIOPA_RFR!AB52,EIOPA_RFR!AB52*(1%+VLOOKUP($B$27,Int_Rate_Param,2,FALSE))),IF(EIOPA_RFR!AB52*(1%+VLOOKUP($B47,Int_Rate_Param,2,FALSE))&lt;1%+EIOPA_RFR!AB52,1%+EIOPA_RFR!AB52,EIOPA_RFR!AB52*(1%+VLOOKUP($B47,Int_Rate_Param,2,FALSE))))</f>
        <v>3.3770000000000001E-2</v>
      </c>
      <c r="AC47" s="94">
        <f>IF($B47&gt;20,IF(EIOPA_RFR!AC52*(1%+VLOOKUP($B$27,Int_Rate_Param,2,FALSE))&lt;1%+EIOPA_RFR!AC52,1%+EIOPA_RFR!AC52,EIOPA_RFR!AC52*(1%+VLOOKUP($B$27,Int_Rate_Param,2,FALSE))),IF(EIOPA_RFR!AC52*(1%+VLOOKUP($B47,Int_Rate_Param,2,FALSE))&lt;1%+EIOPA_RFR!AC52,1%+EIOPA_RFR!AC52,EIOPA_RFR!AC52*(1%+VLOOKUP($B47,Int_Rate_Param,2,FALSE))))</f>
        <v>5.3720000000000004E-2</v>
      </c>
      <c r="AD47" s="94">
        <f>IF($B47&gt;20,IF(EIOPA_RFR!AD52*(1%+VLOOKUP($B$27,Int_Rate_Param,2,FALSE))&lt;1%+EIOPA_RFR!AD52,1%+EIOPA_RFR!AD52,EIOPA_RFR!AD52*(1%+VLOOKUP($B$27,Int_Rate_Param,2,FALSE))),IF(EIOPA_RFR!AD52*(1%+VLOOKUP($B47,Int_Rate_Param,2,FALSE))&lt;1%+EIOPA_RFR!AD52,1%+EIOPA_RFR!AD52,EIOPA_RFR!AD52*(1%+VLOOKUP($B47,Int_Rate_Param,2,FALSE))))</f>
        <v>6.6629999999999995E-2</v>
      </c>
      <c r="AE47" s="94">
        <f>IF($B47&gt;20,IF(EIOPA_RFR!AE52*(1%+VLOOKUP($B$27,Int_Rate_Param,2,FALSE))&lt;1%+EIOPA_RFR!AE52,1%+EIOPA_RFR!AE52,EIOPA_RFR!AE52*(1%+VLOOKUP($B$27,Int_Rate_Param,2,FALSE))),IF(EIOPA_RFR!AE52*(1%+VLOOKUP($B47,Int_Rate_Param,2,FALSE))&lt;1%+EIOPA_RFR!AE52,1%+EIOPA_RFR!AE52,EIOPA_RFR!AE52*(1%+VLOOKUP($B47,Int_Rate_Param,2,FALSE))))</f>
        <v>3.3770000000000001E-2</v>
      </c>
      <c r="AF47" s="94">
        <f>IF($B47&gt;20,IF(EIOPA_RFR!AF52*(1%+VLOOKUP($B$27,Int_Rate_Param,2,FALSE))&lt;1%+EIOPA_RFR!AF52,1%+EIOPA_RFR!AF52,EIOPA_RFR!AF52*(1%+VLOOKUP($B$27,Int_Rate_Param,2,FALSE))),IF(EIOPA_RFR!AF52*(1%+VLOOKUP($B47,Int_Rate_Param,2,FALSE))&lt;1%+EIOPA_RFR!AF52,1%+EIOPA_RFR!AF52,EIOPA_RFR!AF52*(1%+VLOOKUP($B47,Int_Rate_Param,2,FALSE))))</f>
        <v>3.3770000000000001E-2</v>
      </c>
      <c r="AG47" s="94">
        <f>IF($B47&gt;20,IF(EIOPA_RFR!AG52*(1%+VLOOKUP($B$27,Int_Rate_Param,2,FALSE))&lt;1%+EIOPA_RFR!AG52,1%+EIOPA_RFR!AG52,EIOPA_RFR!AG52*(1%+VLOOKUP($B$27,Int_Rate_Param,2,FALSE))),IF(EIOPA_RFR!AG52*(1%+VLOOKUP($B47,Int_Rate_Param,2,FALSE))&lt;1%+EIOPA_RFR!AG52,1%+EIOPA_RFR!AG52,EIOPA_RFR!AG52*(1%+VLOOKUP($B47,Int_Rate_Param,2,FALSE))))</f>
        <v>3.3770000000000001E-2</v>
      </c>
      <c r="AH47" s="94">
        <f>IF($B47&gt;20,IF(EIOPA_RFR!AH52*(1%+VLOOKUP($B$27,Int_Rate_Param,2,FALSE))&lt;1%+EIOPA_RFR!AH52,1%+EIOPA_RFR!AH52,EIOPA_RFR!AH52*(1%+VLOOKUP($B$27,Int_Rate_Param,2,FALSE))),IF(EIOPA_RFR!AH52*(1%+VLOOKUP($B47,Int_Rate_Param,2,FALSE))&lt;1%+EIOPA_RFR!AH52,1%+EIOPA_RFR!AH52,EIOPA_RFR!AH52*(1%+VLOOKUP($B47,Int_Rate_Param,2,FALSE))))</f>
        <v>4.3119999999999999E-2</v>
      </c>
      <c r="AI47" s="94">
        <f>IF($B47&gt;20,IF(EIOPA_RFR!AI52*(1%+VLOOKUP($B$27,Int_Rate_Param,2,FALSE))&lt;1%+EIOPA_RFR!AI52,1%+EIOPA_RFR!AI52,EIOPA_RFR!AI52*(1%+VLOOKUP($B$27,Int_Rate_Param,2,FALSE))),IF(EIOPA_RFR!AI52*(1%+VLOOKUP($B47,Int_Rate_Param,2,FALSE))&lt;1%+EIOPA_RFR!AI52,1%+EIOPA_RFR!AI52,EIOPA_RFR!AI52*(1%+VLOOKUP($B47,Int_Rate_Param,2,FALSE))))</f>
        <v>2.1860000000000001E-2</v>
      </c>
      <c r="AJ47" s="94">
        <f>IF($B47&gt;20,IF(EIOPA_RFR!AJ52*(1%+VLOOKUP($B$27,Int_Rate_Param,2,FALSE))&lt;1%+EIOPA_RFR!AJ52,1%+EIOPA_RFR!AJ52,EIOPA_RFR!AJ52*(1%+VLOOKUP($B$27,Int_Rate_Param,2,FALSE))),IF(EIOPA_RFR!AJ52*(1%+VLOOKUP($B47,Int_Rate_Param,2,FALSE))&lt;1%+EIOPA_RFR!AJ52,1%+EIOPA_RFR!AJ52,EIOPA_RFR!AJ52*(1%+VLOOKUP($B47,Int_Rate_Param,2,FALSE))))</f>
        <v>2.147E-2</v>
      </c>
      <c r="AK47" s="94">
        <f>IF($B47&gt;20,IF(EIOPA_RFR!AK52*(1%+VLOOKUP($B$27,Int_Rate_Param,2,FALSE))&lt;1%+EIOPA_RFR!AK52,1%+EIOPA_RFR!AK52,EIOPA_RFR!AK52*(1%+VLOOKUP($B$27,Int_Rate_Param,2,FALSE))),IF(EIOPA_RFR!AK52*(1%+VLOOKUP($B47,Int_Rate_Param,2,FALSE))&lt;1%+EIOPA_RFR!AK52,1%+EIOPA_RFR!AK52,EIOPA_RFR!AK52*(1%+VLOOKUP($B47,Int_Rate_Param,2,FALSE))))</f>
        <v>4.4139999999999999E-2</v>
      </c>
      <c r="AL47" s="94">
        <f>IF($B47&gt;20,IF(EIOPA_RFR!AL52*(1%+VLOOKUP($B$27,Int_Rate_Param,2,FALSE))&lt;1%+EIOPA_RFR!AL52,1%+EIOPA_RFR!AL52,EIOPA_RFR!AL52*(1%+VLOOKUP($B$27,Int_Rate_Param,2,FALSE))),IF(EIOPA_RFR!AL52*(1%+VLOOKUP($B47,Int_Rate_Param,2,FALSE))&lt;1%+EIOPA_RFR!AL52,1%+EIOPA_RFR!AL52,EIOPA_RFR!AL52*(1%+VLOOKUP($B47,Int_Rate_Param,2,FALSE))))</f>
        <v>8.1749999999999989E-2</v>
      </c>
      <c r="AM47" s="94">
        <f>IF($B47&gt;20,IF(EIOPA_RFR!AM52*(1%+VLOOKUP($B$27,Int_Rate_Param,2,FALSE))&lt;1%+EIOPA_RFR!AM52,1%+EIOPA_RFR!AM52,EIOPA_RFR!AM52*(1%+VLOOKUP($B$27,Int_Rate_Param,2,FALSE))),IF(EIOPA_RFR!AM52*(1%+VLOOKUP($B47,Int_Rate_Param,2,FALSE))&lt;1%+EIOPA_RFR!AM52,1%+EIOPA_RFR!AM52,EIOPA_RFR!AM52*(1%+VLOOKUP($B47,Int_Rate_Param,2,FALSE))))</f>
        <v>3.5060000000000001E-2</v>
      </c>
      <c r="AN47" s="94">
        <f>IF($B47&gt;20,IF(EIOPA_RFR!AN52*(1%+VLOOKUP($B$27,Int_Rate_Param,2,FALSE))&lt;1%+EIOPA_RFR!AN52,1%+EIOPA_RFR!AN52,EIOPA_RFR!AN52*(1%+VLOOKUP($B$27,Int_Rate_Param,2,FALSE))),IF(EIOPA_RFR!AN52*(1%+VLOOKUP($B47,Int_Rate_Param,2,FALSE))&lt;1%+EIOPA_RFR!AN52,1%+EIOPA_RFR!AN52,EIOPA_RFR!AN52*(1%+VLOOKUP($B47,Int_Rate_Param,2,FALSE))))</f>
        <v>5.2560000000000003E-2</v>
      </c>
      <c r="AO47" s="94">
        <f>IF($B47&gt;20,IF(EIOPA_RFR!AO52*(1%+VLOOKUP($B$27,Int_Rate_Param,2,FALSE))&lt;1%+EIOPA_RFR!AO52,1%+EIOPA_RFR!AO52,EIOPA_RFR!AO52*(1%+VLOOKUP($B$27,Int_Rate_Param,2,FALSE))),IF(EIOPA_RFR!AO52*(1%+VLOOKUP($B47,Int_Rate_Param,2,FALSE))&lt;1%+EIOPA_RFR!AO52,1%+EIOPA_RFR!AO52,EIOPA_RFR!AO52*(1%+VLOOKUP($B47,Int_Rate_Param,2,FALSE))))</f>
        <v>5.3830000000000003E-2</v>
      </c>
      <c r="AP47" s="94">
        <f>IF($B47&gt;20,IF(EIOPA_RFR!AP52*(1%+VLOOKUP($B$27,Int_Rate_Param,2,FALSE))&lt;1%+EIOPA_RFR!AP52,1%+EIOPA_RFR!AP52,EIOPA_RFR!AP52*(1%+VLOOKUP($B$27,Int_Rate_Param,2,FALSE))),IF(EIOPA_RFR!AP52*(1%+VLOOKUP($B47,Int_Rate_Param,2,FALSE))&lt;1%+EIOPA_RFR!AP52,1%+EIOPA_RFR!AP52,EIOPA_RFR!AP52*(1%+VLOOKUP($B47,Int_Rate_Param,2,FALSE))))</f>
        <v>6.3250000000000001E-2</v>
      </c>
      <c r="AQ47" s="94">
        <f>IF($B47&gt;20,IF(EIOPA_RFR!AQ52*(1%+VLOOKUP($B$27,Int_Rate_Param,2,FALSE))&lt;1%+EIOPA_RFR!AQ52,1%+EIOPA_RFR!AQ52,EIOPA_RFR!AQ52*(1%+VLOOKUP($B$27,Int_Rate_Param,2,FALSE))),IF(EIOPA_RFR!AQ52*(1%+VLOOKUP($B47,Int_Rate_Param,2,FALSE))&lt;1%+EIOPA_RFR!AQ52,1%+EIOPA_RFR!AQ52,EIOPA_RFR!AQ52*(1%+VLOOKUP($B47,Int_Rate_Param,2,FALSE))))</f>
        <v>4.2680000000000003E-2</v>
      </c>
      <c r="AR47" s="94">
        <f>IF($B47&gt;20,IF(EIOPA_RFR!AR52*(1%+VLOOKUP($B$27,Int_Rate_Param,2,FALSE))&lt;1%+EIOPA_RFR!AR52,1%+EIOPA_RFR!AR52,EIOPA_RFR!AR52*(1%+VLOOKUP($B$27,Int_Rate_Param,2,FALSE))),IF(EIOPA_RFR!AR52*(1%+VLOOKUP($B47,Int_Rate_Param,2,FALSE))&lt;1%+EIOPA_RFR!AR52,1%+EIOPA_RFR!AR52,EIOPA_RFR!AR52*(1%+VLOOKUP($B47,Int_Rate_Param,2,FALSE))))</f>
        <v>7.127E-2</v>
      </c>
      <c r="AS47" s="94">
        <f>IF($B47&gt;20,IF(EIOPA_RFR!AS52*(1%+VLOOKUP($B$27,Int_Rate_Param,2,FALSE))&lt;1%+EIOPA_RFR!AS52,1%+EIOPA_RFR!AS52,EIOPA_RFR!AS52*(1%+VLOOKUP($B$27,Int_Rate_Param,2,FALSE))),IF(EIOPA_RFR!AS52*(1%+VLOOKUP($B47,Int_Rate_Param,2,FALSE))&lt;1%+EIOPA_RFR!AS52,1%+EIOPA_RFR!AS52,EIOPA_RFR!AS52*(1%+VLOOKUP($B47,Int_Rate_Param,2,FALSE))))</f>
        <v>2.12E-2</v>
      </c>
      <c r="AT47" s="94">
        <f>IF($B47&gt;20,IF(EIOPA_RFR!AT52*(1%+VLOOKUP($B$27,Int_Rate_Param,2,FALSE))&lt;1%+EIOPA_RFR!AT52,1%+EIOPA_RFR!AT52,EIOPA_RFR!AT52*(1%+VLOOKUP($B$27,Int_Rate_Param,2,FALSE))),IF(EIOPA_RFR!AT52*(1%+VLOOKUP($B47,Int_Rate_Param,2,FALSE))&lt;1%+EIOPA_RFR!AT52,1%+EIOPA_RFR!AT52,EIOPA_RFR!AT52*(1%+VLOOKUP($B47,Int_Rate_Param,2,FALSE))))</f>
        <v>5.3400000000000003E-2</v>
      </c>
      <c r="AU47" s="94">
        <f>IF($B47&gt;20,IF(EIOPA_RFR!AU52*(1%+VLOOKUP($B$27,Int_Rate_Param,2,FALSE))&lt;1%+EIOPA_RFR!AU52,1%+EIOPA_RFR!AU52,EIOPA_RFR!AU52*(1%+VLOOKUP($B$27,Int_Rate_Param,2,FALSE))),IF(EIOPA_RFR!AU52*(1%+VLOOKUP($B47,Int_Rate_Param,2,FALSE))&lt;1%+EIOPA_RFR!AU52,1%+EIOPA_RFR!AU52,EIOPA_RFR!AU52*(1%+VLOOKUP($B47,Int_Rate_Param,2,FALSE))))</f>
        <v>8.0759999999999998E-2</v>
      </c>
      <c r="AV47" s="94">
        <f>IF($B47&gt;20,IF(EIOPA_RFR!AV52*(1%+VLOOKUP($B$27,Int_Rate_Param,2,FALSE))&lt;1%+EIOPA_RFR!AV52,1%+EIOPA_RFR!AV52,EIOPA_RFR!AV52*(1%+VLOOKUP($B$27,Int_Rate_Param,2,FALSE))),IF(EIOPA_RFR!AV52*(1%+VLOOKUP($B47,Int_Rate_Param,2,FALSE))&lt;1%+EIOPA_RFR!AV52,1%+EIOPA_RFR!AV52,EIOPA_RFR!AV52*(1%+VLOOKUP($B47,Int_Rate_Param,2,FALSE))))</f>
        <v>5.1930000000000004E-2</v>
      </c>
      <c r="AW47" s="94">
        <f>IF($B47&gt;20,IF(EIOPA_RFR!AW52*(1%+VLOOKUP($B$27,Int_Rate_Param,2,FALSE))&lt;1%+EIOPA_RFR!AW52,1%+EIOPA_RFR!AW52,EIOPA_RFR!AW52*(1%+VLOOKUP($B$27,Int_Rate_Param,2,FALSE))),IF(EIOPA_RFR!AW52*(1%+VLOOKUP($B47,Int_Rate_Param,2,FALSE))&lt;1%+EIOPA_RFR!AW52,1%+EIOPA_RFR!AW52,EIOPA_RFR!AW52*(1%+VLOOKUP($B47,Int_Rate_Param,2,FALSE))))</f>
        <v>4.2410000000000003E-2</v>
      </c>
      <c r="AX47" s="94">
        <f>IF($B47&gt;20,IF(EIOPA_RFR!AX52*(1%+VLOOKUP($B$27,Int_Rate_Param,2,FALSE))&lt;1%+EIOPA_RFR!AX52,1%+EIOPA_RFR!AX52,EIOPA_RFR!AX52*(1%+VLOOKUP($B$27,Int_Rate_Param,2,FALSE))),IF(EIOPA_RFR!AX52*(1%+VLOOKUP($B47,Int_Rate_Param,2,FALSE))&lt;1%+EIOPA_RFR!AX52,1%+EIOPA_RFR!AX52,EIOPA_RFR!AX52*(1%+VLOOKUP($B47,Int_Rate_Param,2,FALSE))))</f>
        <v>8.0389999999999989E-2</v>
      </c>
      <c r="AY47" s="94">
        <f>IF($B47&gt;20,IF(EIOPA_RFR!AY52*(1%+VLOOKUP($B$27,Int_Rate_Param,2,FALSE))&lt;1%+EIOPA_RFR!AY52,1%+EIOPA_RFR!AY52,EIOPA_RFR!AY52*(1%+VLOOKUP($B$27,Int_Rate_Param,2,FALSE))),IF(EIOPA_RFR!AY52*(1%+VLOOKUP($B47,Int_Rate_Param,2,FALSE))&lt;1%+EIOPA_RFR!AY52,1%+EIOPA_RFR!AY52,EIOPA_RFR!AY52*(1%+VLOOKUP($B47,Int_Rate_Param,2,FALSE))))</f>
        <v>3.687E-2</v>
      </c>
      <c r="AZ47" s="94">
        <f>IF($B47&gt;20,IF(EIOPA_RFR!AZ52*(1%+VLOOKUP($B$27,Int_Rate_Param,2,FALSE))&lt;1%+EIOPA_RFR!AZ52,1%+EIOPA_RFR!AZ52,EIOPA_RFR!AZ52*(1%+VLOOKUP($B$27,Int_Rate_Param,2,FALSE))),IF(EIOPA_RFR!AZ52*(1%+VLOOKUP($B47,Int_Rate_Param,2,FALSE))&lt;1%+EIOPA_RFR!AZ52,1%+EIOPA_RFR!AZ52,EIOPA_RFR!AZ52*(1%+VLOOKUP($B47,Int_Rate_Param,2,FALSE))))</f>
        <v>3.909E-2</v>
      </c>
      <c r="BA47" s="94">
        <f>IF($B47&gt;20,IF(EIOPA_RFR!BA52*(1%+VLOOKUP($B$27,Int_Rate_Param,2,FALSE))&lt;1%+EIOPA_RFR!BA52,1%+EIOPA_RFR!BA52,EIOPA_RFR!BA52*(1%+VLOOKUP($B$27,Int_Rate_Param,2,FALSE))),IF(EIOPA_RFR!BA52*(1%+VLOOKUP($B47,Int_Rate_Param,2,FALSE))&lt;1%+EIOPA_RFR!BA52,1%+EIOPA_RFR!BA52,EIOPA_RFR!BA52*(1%+VLOOKUP($B47,Int_Rate_Param,2,FALSE))))</f>
        <v>4.4979999999999999E-2</v>
      </c>
      <c r="BB47" s="94">
        <f>IF($B47&gt;20,IF(EIOPA_RFR!BB52*(1%+VLOOKUP($B$27,Int_Rate_Param,2,FALSE))&lt;1%+EIOPA_RFR!BB52,1%+EIOPA_RFR!BB52,EIOPA_RFR!BB52*(1%+VLOOKUP($B$27,Int_Rate_Param,2,FALSE))),IF(EIOPA_RFR!BB52*(1%+VLOOKUP($B47,Int_Rate_Param,2,FALSE))&lt;1%+EIOPA_RFR!BB52,1%+EIOPA_RFR!BB52,EIOPA_RFR!BB52*(1%+VLOOKUP($B47,Int_Rate_Param,2,FALSE))))</f>
        <v>8.3879999999999996E-2</v>
      </c>
      <c r="BC47" s="94">
        <f>IF($B47&gt;20,IF(EIOPA_RFR!BC52*(1%+VLOOKUP($B$27,Int_Rate_Param,2,FALSE))&lt;1%+EIOPA_RFR!BC52,1%+EIOPA_RFR!BC52,EIOPA_RFR!BC52*(1%+VLOOKUP($B$27,Int_Rate_Param,2,FALSE))),IF(EIOPA_RFR!BC52*(1%+VLOOKUP($B47,Int_Rate_Param,2,FALSE))&lt;1%+EIOPA_RFR!BC52,1%+EIOPA_RFR!BC52,EIOPA_RFR!BC52*(1%+VLOOKUP($B47,Int_Rate_Param,2,FALSE))))</f>
        <v>3.5090000000000003E-2</v>
      </c>
    </row>
    <row r="48" spans="1:55" x14ac:dyDescent="0.25">
      <c r="B48" s="96"/>
      <c r="C48" s="96"/>
      <c r="D48" s="96"/>
      <c r="E48" s="96"/>
      <c r="F48" s="96"/>
      <c r="G48" s="96"/>
      <c r="H48" s="96"/>
      <c r="I48" s="96"/>
      <c r="J48" s="96"/>
      <c r="K48" s="96"/>
      <c r="L48" s="96"/>
      <c r="M48" s="96"/>
      <c r="N48" s="96"/>
      <c r="O48" s="96"/>
      <c r="P48" s="96"/>
      <c r="Q48" s="96"/>
      <c r="R48" s="96"/>
      <c r="S48" s="96"/>
      <c r="T48" s="96"/>
      <c r="U48" s="96"/>
      <c r="V48" s="96"/>
      <c r="W48" s="96"/>
      <c r="X48" s="96"/>
      <c r="Y48" s="96"/>
      <c r="Z48" s="96"/>
      <c r="AA48" s="96"/>
      <c r="AB48" s="96"/>
      <c r="AC48" s="96"/>
      <c r="AD48" s="96"/>
      <c r="AE48" s="96"/>
      <c r="AF48" s="96"/>
      <c r="AG48" s="96"/>
      <c r="AH48" s="96"/>
      <c r="AI48" s="96"/>
      <c r="AJ48" s="96"/>
      <c r="AK48" s="96"/>
      <c r="AL48" s="96"/>
      <c r="AM48" s="96"/>
      <c r="AN48" s="96"/>
      <c r="AO48" s="96"/>
      <c r="AP48" s="96"/>
      <c r="AQ48" s="96"/>
      <c r="AR48" s="96"/>
      <c r="AS48" s="96"/>
      <c r="AT48" s="96"/>
      <c r="AU48" s="96"/>
      <c r="AV48" s="96"/>
      <c r="AW48" s="96"/>
      <c r="AX48" s="96"/>
      <c r="AY48" s="96"/>
      <c r="AZ48" s="96"/>
      <c r="BA48" s="96"/>
      <c r="BB48" s="96"/>
    </row>
    <row r="49" spans="1:55" x14ac:dyDescent="0.25">
      <c r="B49" s="73" t="s">
        <v>1187</v>
      </c>
      <c r="C49" s="96"/>
      <c r="D49" s="96"/>
      <c r="E49" s="96"/>
      <c r="F49" s="96"/>
      <c r="G49" s="96"/>
      <c r="H49" s="96"/>
      <c r="I49" s="96"/>
      <c r="J49" s="96"/>
      <c r="K49" s="96"/>
      <c r="L49" s="96"/>
      <c r="M49" s="96"/>
      <c r="N49" s="96"/>
      <c r="O49" s="96"/>
      <c r="P49" s="96"/>
      <c r="Q49" s="96"/>
      <c r="R49" s="96"/>
      <c r="S49" s="96"/>
      <c r="T49" s="96"/>
      <c r="U49" s="96"/>
      <c r="V49" s="96"/>
      <c r="W49" s="96"/>
      <c r="X49" s="96"/>
      <c r="Y49" s="96"/>
      <c r="Z49" s="96"/>
      <c r="AA49" s="96"/>
      <c r="AB49" s="96"/>
      <c r="AC49" s="96"/>
      <c r="AD49" s="96"/>
      <c r="AE49" s="96"/>
      <c r="AF49" s="96"/>
      <c r="AG49" s="96"/>
      <c r="AH49" s="96"/>
      <c r="AI49" s="96"/>
      <c r="AJ49" s="96"/>
      <c r="AK49" s="96"/>
      <c r="AL49" s="96"/>
      <c r="AM49" s="96"/>
      <c r="AN49" s="96"/>
      <c r="AO49" s="96"/>
      <c r="AP49" s="96"/>
      <c r="AQ49" s="96"/>
      <c r="AR49" s="96"/>
      <c r="AS49" s="96"/>
      <c r="AT49" s="96"/>
      <c r="AU49" s="96"/>
      <c r="AV49" s="96"/>
      <c r="AW49" s="96"/>
      <c r="AX49" s="96"/>
      <c r="AY49" s="96"/>
      <c r="AZ49" s="96"/>
      <c r="BA49" s="96"/>
      <c r="BB49" s="96"/>
    </row>
    <row r="50" spans="1:55" x14ac:dyDescent="0.25">
      <c r="A50">
        <v>1</v>
      </c>
      <c r="B50" s="73"/>
      <c r="C50" s="96" t="s">
        <v>8</v>
      </c>
      <c r="D50" s="96" t="s">
        <v>8</v>
      </c>
      <c r="E50" s="96" t="s">
        <v>8</v>
      </c>
      <c r="F50" s="96" t="s">
        <v>1160</v>
      </c>
      <c r="G50" s="96" t="s">
        <v>1161</v>
      </c>
      <c r="H50" s="96" t="s">
        <v>8</v>
      </c>
      <c r="I50" s="96" t="s">
        <v>1162</v>
      </c>
      <c r="J50" s="96" t="s">
        <v>64</v>
      </c>
      <c r="K50" s="96" t="s">
        <v>8</v>
      </c>
      <c r="L50" s="96" t="s">
        <v>8</v>
      </c>
      <c r="M50" s="96" t="s">
        <v>8</v>
      </c>
      <c r="N50" s="96" t="s">
        <v>8</v>
      </c>
      <c r="O50" s="96" t="s">
        <v>8</v>
      </c>
      <c r="P50" s="96" t="s">
        <v>26</v>
      </c>
      <c r="Q50" s="96" t="s">
        <v>1163</v>
      </c>
      <c r="R50" s="96" t="s">
        <v>8</v>
      </c>
      <c r="S50" s="96" t="s">
        <v>8</v>
      </c>
      <c r="T50" s="96" t="s">
        <v>8</v>
      </c>
      <c r="U50" s="96" t="s">
        <v>9</v>
      </c>
      <c r="V50" s="96" t="s">
        <v>8</v>
      </c>
      <c r="W50" s="96" t="s">
        <v>8</v>
      </c>
      <c r="X50" s="96" t="s">
        <v>8</v>
      </c>
      <c r="Y50" s="96" t="s">
        <v>8</v>
      </c>
      <c r="Z50" s="96" t="s">
        <v>22</v>
      </c>
      <c r="AA50" s="96" t="s">
        <v>46</v>
      </c>
      <c r="AB50" s="96" t="s">
        <v>8</v>
      </c>
      <c r="AC50" s="96" t="s">
        <v>1164</v>
      </c>
      <c r="AD50" s="96" t="s">
        <v>1165</v>
      </c>
      <c r="AE50" s="96" t="s">
        <v>8</v>
      </c>
      <c r="AF50" s="96" t="s">
        <v>8</v>
      </c>
      <c r="AG50" s="96" t="s">
        <v>8</v>
      </c>
      <c r="AH50" s="96" t="s">
        <v>10</v>
      </c>
      <c r="AI50" s="96" t="s">
        <v>9</v>
      </c>
      <c r="AJ50" s="96" t="s">
        <v>3</v>
      </c>
      <c r="AK50" s="96" t="s">
        <v>17</v>
      </c>
      <c r="AL50" s="96" t="s">
        <v>1166</v>
      </c>
      <c r="AM50" s="96" t="s">
        <v>21</v>
      </c>
      <c r="AN50" s="96" t="s">
        <v>1167</v>
      </c>
      <c r="AO50" s="96" t="s">
        <v>1168</v>
      </c>
      <c r="AP50" s="96" t="s">
        <v>1169</v>
      </c>
      <c r="AQ50" s="96" t="s">
        <v>7</v>
      </c>
      <c r="AR50" s="96" t="s">
        <v>1170</v>
      </c>
      <c r="AS50" s="96" t="s">
        <v>14</v>
      </c>
      <c r="AT50" s="96" t="s">
        <v>1171</v>
      </c>
      <c r="AU50" s="96" t="s">
        <v>27</v>
      </c>
      <c r="AV50" s="96" t="s">
        <v>47</v>
      </c>
      <c r="AW50" s="96" t="s">
        <v>1172</v>
      </c>
      <c r="AX50" s="96" t="s">
        <v>37</v>
      </c>
      <c r="AY50" s="96" t="s">
        <v>1173</v>
      </c>
      <c r="AZ50" s="96" t="s">
        <v>1174</v>
      </c>
      <c r="BA50" s="96" t="s">
        <v>1175</v>
      </c>
      <c r="BB50" s="96" t="s">
        <v>1176</v>
      </c>
      <c r="BC50" t="s">
        <v>6</v>
      </c>
    </row>
    <row r="51" spans="1:55" ht="30" x14ac:dyDescent="0.25">
      <c r="A51">
        <f>A50+1</f>
        <v>2</v>
      </c>
      <c r="B51" s="95" t="s">
        <v>804</v>
      </c>
      <c r="C51" s="95" t="s">
        <v>1095</v>
      </c>
      <c r="D51" s="95" t="s">
        <v>72</v>
      </c>
      <c r="E51" s="95" t="s">
        <v>76</v>
      </c>
      <c r="F51" s="95" t="s">
        <v>80</v>
      </c>
      <c r="G51" s="95" t="s">
        <v>84</v>
      </c>
      <c r="H51" s="95" t="s">
        <v>88</v>
      </c>
      <c r="I51" s="95" t="s">
        <v>92</v>
      </c>
      <c r="J51" s="95" t="s">
        <v>96</v>
      </c>
      <c r="K51" s="95" t="s">
        <v>100</v>
      </c>
      <c r="L51" s="95" t="s">
        <v>104</v>
      </c>
      <c r="M51" s="95" t="s">
        <v>108</v>
      </c>
      <c r="N51" s="95" t="s">
        <v>112</v>
      </c>
      <c r="O51" s="95" t="s">
        <v>116</v>
      </c>
      <c r="P51" s="95" t="s">
        <v>120</v>
      </c>
      <c r="Q51" s="95" t="s">
        <v>123</v>
      </c>
      <c r="R51" s="95" t="s">
        <v>126</v>
      </c>
      <c r="S51" s="95" t="s">
        <v>20</v>
      </c>
      <c r="T51" s="95" t="s">
        <v>133</v>
      </c>
      <c r="U51" s="95" t="s">
        <v>137</v>
      </c>
      <c r="V51" s="95" t="s">
        <v>141</v>
      </c>
      <c r="W51" s="95" t="s">
        <v>145</v>
      </c>
      <c r="X51" s="95" t="s">
        <v>149</v>
      </c>
      <c r="Y51" s="95" t="s">
        <v>152</v>
      </c>
      <c r="Z51" s="95" t="s">
        <v>156</v>
      </c>
      <c r="AA51" s="95" t="s">
        <v>25</v>
      </c>
      <c r="AB51" s="95" t="s">
        <v>30</v>
      </c>
      <c r="AC51" s="95" t="s">
        <v>166</v>
      </c>
      <c r="AD51" s="95" t="s">
        <v>1096</v>
      </c>
      <c r="AE51" s="95" t="s">
        <v>170</v>
      </c>
      <c r="AF51" s="95" t="s">
        <v>174</v>
      </c>
      <c r="AG51" s="95" t="s">
        <v>34</v>
      </c>
      <c r="AH51" s="95" t="s">
        <v>181</v>
      </c>
      <c r="AI51" s="95" t="s">
        <v>702</v>
      </c>
      <c r="AJ51" s="95" t="s">
        <v>16</v>
      </c>
      <c r="AK51" s="95" t="s">
        <v>18</v>
      </c>
      <c r="AL51" s="95" t="s">
        <v>182</v>
      </c>
      <c r="AM51" s="95" t="s">
        <v>208</v>
      </c>
      <c r="AN51" s="95" t="s">
        <v>223</v>
      </c>
      <c r="AO51" s="95" t="s">
        <v>226</v>
      </c>
      <c r="AP51" s="95" t="s">
        <v>241</v>
      </c>
      <c r="AQ51" s="95" t="s">
        <v>1097</v>
      </c>
      <c r="AR51" s="95" t="s">
        <v>386</v>
      </c>
      <c r="AS51" s="95" t="s">
        <v>411</v>
      </c>
      <c r="AT51" s="95" t="s">
        <v>472</v>
      </c>
      <c r="AU51" s="95" t="s">
        <v>498</v>
      </c>
      <c r="AV51" s="95" t="s">
        <v>544</v>
      </c>
      <c r="AW51" s="95" t="s">
        <v>662</v>
      </c>
      <c r="AX51" s="95" t="s">
        <v>38</v>
      </c>
      <c r="AY51" s="95" t="s">
        <v>1098</v>
      </c>
      <c r="AZ51" s="95" t="s">
        <v>1099</v>
      </c>
      <c r="BA51" s="95" t="s">
        <v>717</v>
      </c>
      <c r="BB51" s="95" t="s">
        <v>738</v>
      </c>
      <c r="BC51" s="95" t="s">
        <v>1100</v>
      </c>
    </row>
    <row r="52" spans="1:55" x14ac:dyDescent="0.25">
      <c r="A52">
        <f t="shared" ref="A52:A91" si="1">A51+1</f>
        <v>3</v>
      </c>
      <c r="B52" s="95">
        <v>1</v>
      </c>
      <c r="C52" s="94">
        <f>IF($B52&gt;20,IF(EIOPA_RFR!C13&lt;0%,EIOPA_RFR!C13,EIOPA_RFR!C13*(1+VLOOKUP($B$71,Int_Rate_Param,3,FALSE))),IF(EIOPA_RFR!C13&lt;0%,EIOPA_RFR!C13,EIOPA_RFR!C13*(1+VLOOKUP($B52,Int_Rate_Param,3,FALSE))))</f>
        <v>-3.1800000000000001E-3</v>
      </c>
      <c r="D52" s="94">
        <f>IF($B52&gt;20,IF(EIOPA_RFR!D13&lt;0%,EIOPA_RFR!D13,EIOPA_RFR!D13*(1+VLOOKUP($B$71,Int_Rate_Param,3,FALSE))),IF(EIOPA_RFR!D13&lt;0%,EIOPA_RFR!D13,EIOPA_RFR!D13*(1+VLOOKUP($B52,Int_Rate_Param,3,FALSE))))</f>
        <v>-3.1800000000000001E-3</v>
      </c>
      <c r="E52" s="94">
        <f>IF($B52&gt;20,IF(EIOPA_RFR!E13&lt;0%,EIOPA_RFR!E13,EIOPA_RFR!E13*(1+VLOOKUP($B$71,Int_Rate_Param,3,FALSE))),IF(EIOPA_RFR!E13&lt;0%,EIOPA_RFR!E13,EIOPA_RFR!E13*(1+VLOOKUP($B52,Int_Rate_Param,3,FALSE))))</f>
        <v>-3.1800000000000001E-3</v>
      </c>
      <c r="F52" s="94">
        <f>IF($B52&gt;20,IF(EIOPA_RFR!F13&lt;0%,EIOPA_RFR!F13,EIOPA_RFR!F13*(1+VLOOKUP($B$71,Int_Rate_Param,3,FALSE))),IF(EIOPA_RFR!F13&lt;0%,EIOPA_RFR!F13,EIOPA_RFR!F13*(1+VLOOKUP($B52,Int_Rate_Param,3,FALSE))))</f>
        <v>-3.6800000000000001E-3</v>
      </c>
      <c r="G52" s="94">
        <f>IF($B52&gt;20,IF(EIOPA_RFR!G13&lt;0%,EIOPA_RFR!G13,EIOPA_RFR!G13*(1+VLOOKUP($B$71,Int_Rate_Param,3,FALSE))),IF(EIOPA_RFR!G13&lt;0%,EIOPA_RFR!G13,EIOPA_RFR!G13*(1+VLOOKUP($B52,Int_Rate_Param,3,FALSE))))</f>
        <v>9.4749999999999999E-4</v>
      </c>
      <c r="H52" s="94">
        <f>IF($B52&gt;20,IF(EIOPA_RFR!H13&lt;0%,EIOPA_RFR!H13,EIOPA_RFR!H13*(1+VLOOKUP($B$71,Int_Rate_Param,3,FALSE))),IF(EIOPA_RFR!H13&lt;0%,EIOPA_RFR!H13,EIOPA_RFR!H13*(1+VLOOKUP($B52,Int_Rate_Param,3,FALSE))))</f>
        <v>-3.1800000000000001E-3</v>
      </c>
      <c r="I52" s="94">
        <f>IF($B52&gt;20,IF(EIOPA_RFR!I13&lt;0%,EIOPA_RFR!I13,EIOPA_RFR!I13*(1+VLOOKUP($B$71,Int_Rate_Param,3,FALSE))),IF(EIOPA_RFR!I13&lt;0%,EIOPA_RFR!I13,EIOPA_RFR!I13*(1+VLOOKUP($B52,Int_Rate_Param,3,FALSE))))</f>
        <v>4.9249999999999999E-4</v>
      </c>
      <c r="J52" s="94">
        <f>IF($B52&gt;20,IF(EIOPA_RFR!J13&lt;0%,EIOPA_RFR!J13,EIOPA_RFR!J13*(1+VLOOKUP($B$71,Int_Rate_Param,3,FALSE))),IF(EIOPA_RFR!J13&lt;0%,EIOPA_RFR!J13,EIOPA_RFR!J13*(1+VLOOKUP($B52,Int_Rate_Param,3,FALSE))))</f>
        <v>-3.2799999999999999E-3</v>
      </c>
      <c r="K52" s="94">
        <f>IF($B52&gt;20,IF(EIOPA_RFR!K13&lt;0%,EIOPA_RFR!K13,EIOPA_RFR!K13*(1+VLOOKUP($B$71,Int_Rate_Param,3,FALSE))),IF(EIOPA_RFR!K13&lt;0%,EIOPA_RFR!K13,EIOPA_RFR!K13*(1+VLOOKUP($B52,Int_Rate_Param,3,FALSE))))</f>
        <v>-3.1800000000000001E-3</v>
      </c>
      <c r="L52" s="94">
        <f>IF($B52&gt;20,IF(EIOPA_RFR!L13&lt;0%,EIOPA_RFR!L13,EIOPA_RFR!L13*(1+VLOOKUP($B$71,Int_Rate_Param,3,FALSE))),IF(EIOPA_RFR!L13&lt;0%,EIOPA_RFR!L13,EIOPA_RFR!L13*(1+VLOOKUP($B52,Int_Rate_Param,3,FALSE))))</f>
        <v>-3.1800000000000001E-3</v>
      </c>
      <c r="M52" s="94">
        <f>IF($B52&gt;20,IF(EIOPA_RFR!M13&lt;0%,EIOPA_RFR!M13,EIOPA_RFR!M13*(1+VLOOKUP($B$71,Int_Rate_Param,3,FALSE))),IF(EIOPA_RFR!M13&lt;0%,EIOPA_RFR!M13,EIOPA_RFR!M13*(1+VLOOKUP($B52,Int_Rate_Param,3,FALSE))))</f>
        <v>-3.1800000000000001E-3</v>
      </c>
      <c r="N52" s="94">
        <f>IF($B52&gt;20,IF(EIOPA_RFR!N13&lt;0%,EIOPA_RFR!N13,EIOPA_RFR!N13*(1+VLOOKUP($B$71,Int_Rate_Param,3,FALSE))),IF(EIOPA_RFR!N13&lt;0%,EIOPA_RFR!N13,EIOPA_RFR!N13*(1+VLOOKUP($B52,Int_Rate_Param,3,FALSE))))</f>
        <v>-3.1800000000000001E-3</v>
      </c>
      <c r="O52" s="94">
        <f>IF($B52&gt;20,IF(EIOPA_RFR!O13&lt;0%,EIOPA_RFR!O13,EIOPA_RFR!O13*(1+VLOOKUP($B$71,Int_Rate_Param,3,FALSE))),IF(EIOPA_RFR!O13&lt;0%,EIOPA_RFR!O13,EIOPA_RFR!O13*(1+VLOOKUP($B52,Int_Rate_Param,3,FALSE))))</f>
        <v>-3.1800000000000001E-3</v>
      </c>
      <c r="P52" s="94">
        <f>IF($B52&gt;20,IF(EIOPA_RFR!P13&lt;0%,EIOPA_RFR!P13,EIOPA_RFR!P13*(1+VLOOKUP($B$71,Int_Rate_Param,3,FALSE))),IF(EIOPA_RFR!P13&lt;0%,EIOPA_RFR!P13,EIOPA_RFR!P13*(1+VLOOKUP($B52,Int_Rate_Param,3,FALSE))))</f>
        <v>2.9E-4</v>
      </c>
      <c r="Q52" s="94">
        <f>IF($B52&gt;20,IF(EIOPA_RFR!Q13&lt;0%,EIOPA_RFR!Q13,EIOPA_RFR!Q13*(1+VLOOKUP($B$71,Int_Rate_Param,3,FALSE))),IF(EIOPA_RFR!Q13&lt;0%,EIOPA_RFR!Q13,EIOPA_RFR!Q13*(1+VLOOKUP($B52,Int_Rate_Param,3,FALSE))))</f>
        <v>1.2087499999999999E-2</v>
      </c>
      <c r="R52" s="94">
        <f>IF($B52&gt;20,IF(EIOPA_RFR!R13&lt;0%,EIOPA_RFR!R13,EIOPA_RFR!R13*(1+VLOOKUP($B$71,Int_Rate_Param,3,FALSE))),IF(EIOPA_RFR!R13&lt;0%,EIOPA_RFR!R13,EIOPA_RFR!R13*(1+VLOOKUP($B52,Int_Rate_Param,3,FALSE))))</f>
        <v>-3.1800000000000001E-3</v>
      </c>
      <c r="S52" s="94">
        <f>IF($B52&gt;20,IF(EIOPA_RFR!S13&lt;0%,EIOPA_RFR!S13,EIOPA_RFR!S13*(1+VLOOKUP($B$71,Int_Rate_Param,3,FALSE))),IF(EIOPA_RFR!S13&lt;0%,EIOPA_RFR!S13,EIOPA_RFR!S13*(1+VLOOKUP($B52,Int_Rate_Param,3,FALSE))))</f>
        <v>-3.1800000000000001E-3</v>
      </c>
      <c r="T52" s="94">
        <f>IF($B52&gt;20,IF(EIOPA_RFR!T13&lt;0%,EIOPA_RFR!T13,EIOPA_RFR!T13*(1+VLOOKUP($B$71,Int_Rate_Param,3,FALSE))),IF(EIOPA_RFR!T13&lt;0%,EIOPA_RFR!T13,EIOPA_RFR!T13*(1+VLOOKUP($B52,Int_Rate_Param,3,FALSE))))</f>
        <v>-3.1800000000000001E-3</v>
      </c>
      <c r="U52" s="94">
        <f>IF($B52&gt;20,IF(EIOPA_RFR!U13&lt;0%,EIOPA_RFR!U13,EIOPA_RFR!U13*(1+VLOOKUP($B$71,Int_Rate_Param,3,FALSE))),IF(EIOPA_RFR!U13&lt;0%,EIOPA_RFR!U13,EIOPA_RFR!U13*(1+VLOOKUP($B52,Int_Rate_Param,3,FALSE))))</f>
        <v>-7.7999999999999996E-3</v>
      </c>
      <c r="V52" s="94">
        <f>IF($B52&gt;20,IF(EIOPA_RFR!V13&lt;0%,EIOPA_RFR!V13,EIOPA_RFR!V13*(1+VLOOKUP($B$71,Int_Rate_Param,3,FALSE))),IF(EIOPA_RFR!V13&lt;0%,EIOPA_RFR!V13,EIOPA_RFR!V13*(1+VLOOKUP($B52,Int_Rate_Param,3,FALSE))))</f>
        <v>-3.1800000000000001E-3</v>
      </c>
      <c r="W52" s="94">
        <f>IF($B52&gt;20,IF(EIOPA_RFR!W13&lt;0%,EIOPA_RFR!W13,EIOPA_RFR!W13*(1+VLOOKUP($B$71,Int_Rate_Param,3,FALSE))),IF(EIOPA_RFR!W13&lt;0%,EIOPA_RFR!W13,EIOPA_RFR!W13*(1+VLOOKUP($B52,Int_Rate_Param,3,FALSE))))</f>
        <v>-3.1800000000000001E-3</v>
      </c>
      <c r="X52" s="94">
        <f>IF($B52&gt;20,IF(EIOPA_RFR!X13&lt;0%,EIOPA_RFR!X13,EIOPA_RFR!X13*(1+VLOOKUP($B$71,Int_Rate_Param,3,FALSE))),IF(EIOPA_RFR!X13&lt;0%,EIOPA_RFR!X13,EIOPA_RFR!X13*(1+VLOOKUP($B52,Int_Rate_Param,3,FALSE))))</f>
        <v>-3.1800000000000001E-3</v>
      </c>
      <c r="Y52" s="94">
        <f>IF($B52&gt;20,IF(EIOPA_RFR!Y13&lt;0%,EIOPA_RFR!Y13,EIOPA_RFR!Y13*(1+VLOOKUP($B$71,Int_Rate_Param,3,FALSE))),IF(EIOPA_RFR!Y13&lt;0%,EIOPA_RFR!Y13,EIOPA_RFR!Y13*(1+VLOOKUP($B52,Int_Rate_Param,3,FALSE))))</f>
        <v>-3.1800000000000001E-3</v>
      </c>
      <c r="Z52" s="94">
        <f>IF($B52&gt;20,IF(EIOPA_RFR!Z13&lt;0%,EIOPA_RFR!Z13,EIOPA_RFR!Z13*(1+VLOOKUP($B$71,Int_Rate_Param,3,FALSE))),IF(EIOPA_RFR!Z13&lt;0%,EIOPA_RFR!Z13,EIOPA_RFR!Z13*(1+VLOOKUP($B52,Int_Rate_Param,3,FALSE))))</f>
        <v>2.2499999999999998E-3</v>
      </c>
      <c r="AA52" s="94">
        <f>IF($B52&gt;20,IF(EIOPA_RFR!AA13&lt;0%,EIOPA_RFR!AA13,EIOPA_RFR!AA13*(1+VLOOKUP($B$71,Int_Rate_Param,3,FALSE))),IF(EIOPA_RFR!AA13&lt;0%,EIOPA_RFR!AA13,EIOPA_RFR!AA13*(1+VLOOKUP($B52,Int_Rate_Param,3,FALSE))))</f>
        <v>3.6275000000000001E-3</v>
      </c>
      <c r="AB52" s="94">
        <f>IF($B52&gt;20,IF(EIOPA_RFR!AB13&lt;0%,EIOPA_RFR!AB13,EIOPA_RFR!AB13*(1+VLOOKUP($B$71,Int_Rate_Param,3,FALSE))),IF(EIOPA_RFR!AB13&lt;0%,EIOPA_RFR!AB13,EIOPA_RFR!AB13*(1+VLOOKUP($B52,Int_Rate_Param,3,FALSE))))</f>
        <v>-3.1800000000000001E-3</v>
      </c>
      <c r="AC52" s="94">
        <f>IF($B52&gt;20,IF(EIOPA_RFR!AC13&lt;0%,EIOPA_RFR!AC13,EIOPA_RFR!AC13*(1+VLOOKUP($B$71,Int_Rate_Param,3,FALSE))),IF(EIOPA_RFR!AC13&lt;0%,EIOPA_RFR!AC13,EIOPA_RFR!AC13*(1+VLOOKUP($B52,Int_Rate_Param,3,FALSE))))</f>
        <v>2.3974999999999999E-3</v>
      </c>
      <c r="AD52" s="94">
        <f>IF($B52&gt;20,IF(EIOPA_RFR!AD13&lt;0%,EIOPA_RFR!AD13,EIOPA_RFR!AD13*(1+VLOOKUP($B$71,Int_Rate_Param,3,FALSE))),IF(EIOPA_RFR!AD13&lt;0%,EIOPA_RFR!AD13,EIOPA_RFR!AD13*(1+VLOOKUP($B52,Int_Rate_Param,3,FALSE))))</f>
        <v>2.39375E-2</v>
      </c>
      <c r="AE52" s="94">
        <f>IF($B52&gt;20,IF(EIOPA_RFR!AE13&lt;0%,EIOPA_RFR!AE13,EIOPA_RFR!AE13*(1+VLOOKUP($B$71,Int_Rate_Param,3,FALSE))),IF(EIOPA_RFR!AE13&lt;0%,EIOPA_RFR!AE13,EIOPA_RFR!AE13*(1+VLOOKUP($B52,Int_Rate_Param,3,FALSE))))</f>
        <v>-3.1800000000000001E-3</v>
      </c>
      <c r="AF52" s="94">
        <f>IF($B52&gt;20,IF(EIOPA_RFR!AF13&lt;0%,EIOPA_RFR!AF13,EIOPA_RFR!AF13*(1+VLOOKUP($B$71,Int_Rate_Param,3,FALSE))),IF(EIOPA_RFR!AF13&lt;0%,EIOPA_RFR!AF13,EIOPA_RFR!AF13*(1+VLOOKUP($B52,Int_Rate_Param,3,FALSE))))</f>
        <v>-3.1800000000000001E-3</v>
      </c>
      <c r="AG52" s="94">
        <f>IF($B52&gt;20,IF(EIOPA_RFR!AG13&lt;0%,EIOPA_RFR!AG13,EIOPA_RFR!AG13*(1+VLOOKUP($B$71,Int_Rate_Param,3,FALSE))),IF(EIOPA_RFR!AG13&lt;0%,EIOPA_RFR!AG13,EIOPA_RFR!AG13*(1+VLOOKUP($B52,Int_Rate_Param,3,FALSE))))</f>
        <v>-3.1800000000000001E-3</v>
      </c>
      <c r="AH52" s="94">
        <f>IF($B52&gt;20,IF(EIOPA_RFR!AH13&lt;0%,EIOPA_RFR!AH13,EIOPA_RFR!AH13*(1+VLOOKUP($B$71,Int_Rate_Param,3,FALSE))),IF(EIOPA_RFR!AH13&lt;0%,EIOPA_RFR!AH13,EIOPA_RFR!AH13*(1+VLOOKUP($B52,Int_Rate_Param,3,FALSE))))</f>
        <v>-5.4200000000000003E-3</v>
      </c>
      <c r="AI52" s="94">
        <f>IF($B52&gt;20,IF(EIOPA_RFR!AI13&lt;0%,EIOPA_RFR!AI13,EIOPA_RFR!AI13*(1+VLOOKUP($B$71,Int_Rate_Param,3,FALSE))),IF(EIOPA_RFR!AI13&lt;0%,EIOPA_RFR!AI13,EIOPA_RFR!AI13*(1+VLOOKUP($B52,Int_Rate_Param,3,FALSE))))</f>
        <v>-7.7999999999999996E-3</v>
      </c>
      <c r="AJ52" s="94">
        <f>IF($B52&gt;20,IF(EIOPA_RFR!AJ13&lt;0%,EIOPA_RFR!AJ13,EIOPA_RFR!AJ13*(1+VLOOKUP($B$71,Int_Rate_Param,3,FALSE))),IF(EIOPA_RFR!AJ13&lt;0%,EIOPA_RFR!AJ13,EIOPA_RFR!AJ13*(1+VLOOKUP($B52,Int_Rate_Param,3,FALSE))))</f>
        <v>9.1E-4</v>
      </c>
      <c r="AK52" s="94">
        <f>IF($B52&gt;20,IF(EIOPA_RFR!AK13&lt;0%,EIOPA_RFR!AK13,EIOPA_RFR!AK13*(1+VLOOKUP($B$71,Int_Rate_Param,3,FALSE))),IF(EIOPA_RFR!AK13&lt;0%,EIOPA_RFR!AK13,EIOPA_RFR!AK13*(1+VLOOKUP($B52,Int_Rate_Param,3,FALSE))))</f>
        <v>4.5649999999999996E-3</v>
      </c>
      <c r="AL52" s="94">
        <f>IF($B52&gt;20,IF(EIOPA_RFR!AL13&lt;0%,EIOPA_RFR!AL13,EIOPA_RFR!AL13*(1+VLOOKUP($B$71,Int_Rate_Param,3,FALSE))),IF(EIOPA_RFR!AL13&lt;0%,EIOPA_RFR!AL13,EIOPA_RFR!AL13*(1+VLOOKUP($B52,Int_Rate_Param,3,FALSE))))</f>
        <v>2.2775E-2</v>
      </c>
      <c r="AM52" s="94">
        <f>IF($B52&gt;20,IF(EIOPA_RFR!AM13&lt;0%,EIOPA_RFR!AM13,EIOPA_RFR!AM13*(1+VLOOKUP($B$71,Int_Rate_Param,3,FALSE))),IF(EIOPA_RFR!AM13&lt;0%,EIOPA_RFR!AM13,EIOPA_RFR!AM13*(1+VLOOKUP($B52,Int_Rate_Param,3,FALSE))))</f>
        <v>1.9475E-3</v>
      </c>
      <c r="AN52" s="94">
        <f>IF($B52&gt;20,IF(EIOPA_RFR!AN13&lt;0%,EIOPA_RFR!AN13,EIOPA_RFR!AN13*(1+VLOOKUP($B$71,Int_Rate_Param,3,FALSE))),IF(EIOPA_RFR!AN13&lt;0%,EIOPA_RFR!AN13,EIOPA_RFR!AN13*(1+VLOOKUP($B52,Int_Rate_Param,3,FALSE))))</f>
        <v>6.1374999999999997E-3</v>
      </c>
      <c r="AO52" s="94">
        <f>IF($B52&gt;20,IF(EIOPA_RFR!AO13&lt;0%,EIOPA_RFR!AO13,EIOPA_RFR!AO13*(1+VLOOKUP($B$71,Int_Rate_Param,3,FALSE))),IF(EIOPA_RFR!AO13&lt;0%,EIOPA_RFR!AO13,EIOPA_RFR!AO13*(1+VLOOKUP($B52,Int_Rate_Param,3,FALSE))))</f>
        <v>8.2699999999999996E-3</v>
      </c>
      <c r="AP52" s="94">
        <f>IF($B52&gt;20,IF(EIOPA_RFR!AP13&lt;0%,EIOPA_RFR!AP13,EIOPA_RFR!AP13*(1+VLOOKUP($B$71,Int_Rate_Param,3,FALSE))),IF(EIOPA_RFR!AP13&lt;0%,EIOPA_RFR!AP13,EIOPA_RFR!AP13*(1+VLOOKUP($B52,Int_Rate_Param,3,FALSE))))</f>
        <v>1.3305000000000001E-2</v>
      </c>
      <c r="AQ52" s="94">
        <f>IF($B52&gt;20,IF(EIOPA_RFR!AQ13&lt;0%,EIOPA_RFR!AQ13,EIOPA_RFR!AQ13*(1+VLOOKUP($B$71,Int_Rate_Param,3,FALSE))),IF(EIOPA_RFR!AQ13&lt;0%,EIOPA_RFR!AQ13,EIOPA_RFR!AQ13*(1+VLOOKUP($B52,Int_Rate_Param,3,FALSE))))</f>
        <v>2.6624999999999999E-3</v>
      </c>
      <c r="AR52" s="94">
        <f>IF($B52&gt;20,IF(EIOPA_RFR!AR13&lt;0%,EIOPA_RFR!AR13,EIOPA_RFR!AR13*(1+VLOOKUP($B$71,Int_Rate_Param,3,FALSE))),IF(EIOPA_RFR!AR13&lt;0%,EIOPA_RFR!AR13,EIOPA_RFR!AR13*(1+VLOOKUP($B52,Int_Rate_Param,3,FALSE))))</f>
        <v>1.4800000000000001E-2</v>
      </c>
      <c r="AS52" s="94">
        <f>IF($B52&gt;20,IF(EIOPA_RFR!AS13&lt;0%,EIOPA_RFR!AS13,EIOPA_RFR!AS13*(1+VLOOKUP($B$71,Int_Rate_Param,3,FALSE))),IF(EIOPA_RFR!AS13&lt;0%,EIOPA_RFR!AS13,EIOPA_RFR!AS13*(1+VLOOKUP($B52,Int_Rate_Param,3,FALSE))))</f>
        <v>-5.5000000000000003E-4</v>
      </c>
      <c r="AT52" s="94">
        <f>IF($B52&gt;20,IF(EIOPA_RFR!AT13&lt;0%,EIOPA_RFR!AT13,EIOPA_RFR!AT13*(1+VLOOKUP($B$71,Int_Rate_Param,3,FALSE))),IF(EIOPA_RFR!AT13&lt;0%,EIOPA_RFR!AT13,EIOPA_RFR!AT13*(1+VLOOKUP($B52,Int_Rate_Param,3,FALSE))))</f>
        <v>8.4425000000000004E-3</v>
      </c>
      <c r="AU52" s="94">
        <f>IF($B52&gt;20,IF(EIOPA_RFR!AU13&lt;0%,EIOPA_RFR!AU13,EIOPA_RFR!AU13*(1+VLOOKUP($B$71,Int_Rate_Param,3,FALSE))),IF(EIOPA_RFR!AU13&lt;0%,EIOPA_RFR!AU13,EIOPA_RFR!AU13*(1+VLOOKUP($B52,Int_Rate_Param,3,FALSE))))</f>
        <v>1.7497499999999999E-2</v>
      </c>
      <c r="AV52" s="94">
        <f>IF($B52&gt;20,IF(EIOPA_RFR!AV13&lt;0%,EIOPA_RFR!AV13,EIOPA_RFR!AV13*(1+VLOOKUP($B$71,Int_Rate_Param,3,FALSE))),IF(EIOPA_RFR!AV13&lt;0%,EIOPA_RFR!AV13,EIOPA_RFR!AV13*(1+VLOOKUP($B52,Int_Rate_Param,3,FALSE))))</f>
        <v>4.6474999999999997E-3</v>
      </c>
      <c r="AW52" s="94">
        <f>IF($B52&gt;20,IF(EIOPA_RFR!AW13&lt;0%,EIOPA_RFR!AW13,EIOPA_RFR!AW13*(1+VLOOKUP($B$71,Int_Rate_Param,3,FALSE))),IF(EIOPA_RFR!AW13&lt;0%,EIOPA_RFR!AW13,EIOPA_RFR!AW13*(1+VLOOKUP($B52,Int_Rate_Param,3,FALSE))))</f>
        <v>2.7824999999999998E-3</v>
      </c>
      <c r="AX52" s="94">
        <f>IF($B52&gt;20,IF(EIOPA_RFR!AX13&lt;0%,EIOPA_RFR!AX13,EIOPA_RFR!AX13*(1+VLOOKUP($B$71,Int_Rate_Param,3,FALSE))),IF(EIOPA_RFR!AX13&lt;0%,EIOPA_RFR!AX13,EIOPA_RFR!AX13*(1+VLOOKUP($B52,Int_Rate_Param,3,FALSE))))</f>
        <v>1.7964999999999998E-2</v>
      </c>
      <c r="AY52" s="94">
        <f>IF($B52&gt;20,IF(EIOPA_RFR!AY13&lt;0%,EIOPA_RFR!AY13,EIOPA_RFR!AY13*(1+VLOOKUP($B$71,Int_Rate_Param,3,FALSE))),IF(EIOPA_RFR!AY13&lt;0%,EIOPA_RFR!AY13,EIOPA_RFR!AY13*(1+VLOOKUP($B52,Int_Rate_Param,3,FALSE))))</f>
        <v>3.385E-3</v>
      </c>
      <c r="AZ52" s="94">
        <f>IF($B52&gt;20,IF(EIOPA_RFR!AZ13&lt;0%,EIOPA_RFR!AZ13,EIOPA_RFR!AZ13*(1+VLOOKUP($B$71,Int_Rate_Param,3,FALSE))),IF(EIOPA_RFR!AZ13&lt;0%,EIOPA_RFR!AZ13,EIOPA_RFR!AZ13*(1+VLOOKUP($B52,Int_Rate_Param,3,FALSE))))</f>
        <v>1.0150000000000001E-3</v>
      </c>
      <c r="BA52" s="94">
        <f>IF($B52&gt;20,IF(EIOPA_RFR!BA13&lt;0%,EIOPA_RFR!BA13,EIOPA_RFR!BA13*(1+VLOOKUP($B$71,Int_Rate_Param,3,FALSE))),IF(EIOPA_RFR!BA13&lt;0%,EIOPA_RFR!BA13,EIOPA_RFR!BA13*(1+VLOOKUP($B52,Int_Rate_Param,3,FALSE))))</f>
        <v>3.5500000000000002E-3</v>
      </c>
      <c r="BB52" s="94">
        <f>IF($B52&gt;20,IF(EIOPA_RFR!BB13&lt;0%,EIOPA_RFR!BB13,EIOPA_RFR!BB13*(1+VLOOKUP($B$71,Int_Rate_Param,3,FALSE))),IF(EIOPA_RFR!BB13&lt;0%,EIOPA_RFR!BB13,EIOPA_RFR!BB13*(1+VLOOKUP($B52,Int_Rate_Param,3,FALSE))))</f>
        <v>3.0599999999999999E-2</v>
      </c>
      <c r="BC52" s="94">
        <f>IF($B52&gt;20,IF(EIOPA_RFR!BC13&lt;0%,EIOPA_RFR!BC13,EIOPA_RFR!BC13*(1+VLOOKUP($B$71,Int_Rate_Param,3,FALSE))),IF(EIOPA_RFR!BC13&lt;0%,EIOPA_RFR!BC13,EIOPA_RFR!BC13*(1+VLOOKUP($B52,Int_Rate_Param,3,FALSE))))</f>
        <v>3.0699999999999998E-3</v>
      </c>
    </row>
    <row r="53" spans="1:55" x14ac:dyDescent="0.25">
      <c r="A53">
        <f t="shared" si="1"/>
        <v>4</v>
      </c>
      <c r="B53" s="95">
        <v>2</v>
      </c>
      <c r="C53" s="94">
        <f>IF($B53&gt;20,IF(EIOPA_RFR!C14&lt;0%,EIOPA_RFR!C14,EIOPA_RFR!C14*(1+VLOOKUP($B$71,Int_Rate_Param,3,FALSE))),IF(EIOPA_RFR!C14&lt;0%,EIOPA_RFR!C14,EIOPA_RFR!C14*(1+VLOOKUP($B53,Int_Rate_Param,3,FALSE))))</f>
        <v>-2.3E-3</v>
      </c>
      <c r="D53" s="94">
        <f>IF($B53&gt;20,IF(EIOPA_RFR!D14&lt;0%,EIOPA_RFR!D14,EIOPA_RFR!D14*(1+VLOOKUP($B$71,Int_Rate_Param,3,FALSE))),IF(EIOPA_RFR!D14&lt;0%,EIOPA_RFR!D14,EIOPA_RFR!D14*(1+VLOOKUP($B53,Int_Rate_Param,3,FALSE))))</f>
        <v>-2.3E-3</v>
      </c>
      <c r="E53" s="94">
        <f>IF($B53&gt;20,IF(EIOPA_RFR!E14&lt;0%,EIOPA_RFR!E14,EIOPA_RFR!E14*(1+VLOOKUP($B$71,Int_Rate_Param,3,FALSE))),IF(EIOPA_RFR!E14&lt;0%,EIOPA_RFR!E14,EIOPA_RFR!E14*(1+VLOOKUP($B53,Int_Rate_Param,3,FALSE))))</f>
        <v>-2.3E-3</v>
      </c>
      <c r="F53" s="94">
        <f>IF($B53&gt;20,IF(EIOPA_RFR!F14&lt;0%,EIOPA_RFR!F14,EIOPA_RFR!F14*(1+VLOOKUP($B$71,Int_Rate_Param,3,FALSE))),IF(EIOPA_RFR!F14&lt;0%,EIOPA_RFR!F14,EIOPA_RFR!F14*(1+VLOOKUP($B53,Int_Rate_Param,3,FALSE))))</f>
        <v>-2.8E-3</v>
      </c>
      <c r="G53" s="94">
        <f>IF($B53&gt;20,IF(EIOPA_RFR!G14&lt;0%,EIOPA_RFR!G14,EIOPA_RFR!G14*(1+VLOOKUP($B$71,Int_Rate_Param,3,FALSE))),IF(EIOPA_RFR!G14&lt;0%,EIOPA_RFR!G14,EIOPA_RFR!G14*(1+VLOOKUP($B53,Int_Rate_Param,3,FALSE))))</f>
        <v>3.5489999999999996E-3</v>
      </c>
      <c r="H53" s="94">
        <f>IF($B53&gt;20,IF(EIOPA_RFR!H14&lt;0%,EIOPA_RFR!H14,EIOPA_RFR!H14*(1+VLOOKUP($B$71,Int_Rate_Param,3,FALSE))),IF(EIOPA_RFR!H14&lt;0%,EIOPA_RFR!H14,EIOPA_RFR!H14*(1+VLOOKUP($B53,Int_Rate_Param,3,FALSE))))</f>
        <v>-2.3E-3</v>
      </c>
      <c r="I53" s="94">
        <f>IF($B53&gt;20,IF(EIOPA_RFR!I14&lt;0%,EIOPA_RFR!I14,EIOPA_RFR!I14*(1+VLOOKUP($B$71,Int_Rate_Param,3,FALSE))),IF(EIOPA_RFR!I14&lt;0%,EIOPA_RFR!I14,EIOPA_RFR!I14*(1+VLOOKUP($B53,Int_Rate_Param,3,FALSE))))</f>
        <v>1.225E-3</v>
      </c>
      <c r="J53" s="94">
        <f>IF($B53&gt;20,IF(EIOPA_RFR!J14&lt;0%,EIOPA_RFR!J14,EIOPA_RFR!J14*(1+VLOOKUP($B$71,Int_Rate_Param,3,FALSE))),IF(EIOPA_RFR!J14&lt;0%,EIOPA_RFR!J14,EIOPA_RFR!J14*(1+VLOOKUP($B53,Int_Rate_Param,3,FALSE))))</f>
        <v>-2.3999999999999998E-3</v>
      </c>
      <c r="K53" s="94">
        <f>IF($B53&gt;20,IF(EIOPA_RFR!K14&lt;0%,EIOPA_RFR!K14,EIOPA_RFR!K14*(1+VLOOKUP($B$71,Int_Rate_Param,3,FALSE))),IF(EIOPA_RFR!K14&lt;0%,EIOPA_RFR!K14,EIOPA_RFR!K14*(1+VLOOKUP($B53,Int_Rate_Param,3,FALSE))))</f>
        <v>-2.3E-3</v>
      </c>
      <c r="L53" s="94">
        <f>IF($B53&gt;20,IF(EIOPA_RFR!L14&lt;0%,EIOPA_RFR!L14,EIOPA_RFR!L14*(1+VLOOKUP($B$71,Int_Rate_Param,3,FALSE))),IF(EIOPA_RFR!L14&lt;0%,EIOPA_RFR!L14,EIOPA_RFR!L14*(1+VLOOKUP($B53,Int_Rate_Param,3,FALSE))))</f>
        <v>-2.3E-3</v>
      </c>
      <c r="M53" s="94">
        <f>IF($B53&gt;20,IF(EIOPA_RFR!M14&lt;0%,EIOPA_RFR!M14,EIOPA_RFR!M14*(1+VLOOKUP($B$71,Int_Rate_Param,3,FALSE))),IF(EIOPA_RFR!M14&lt;0%,EIOPA_RFR!M14,EIOPA_RFR!M14*(1+VLOOKUP($B53,Int_Rate_Param,3,FALSE))))</f>
        <v>-2.3E-3</v>
      </c>
      <c r="N53" s="94">
        <f>IF($B53&gt;20,IF(EIOPA_RFR!N14&lt;0%,EIOPA_RFR!N14,EIOPA_RFR!N14*(1+VLOOKUP($B$71,Int_Rate_Param,3,FALSE))),IF(EIOPA_RFR!N14&lt;0%,EIOPA_RFR!N14,EIOPA_RFR!N14*(1+VLOOKUP($B53,Int_Rate_Param,3,FALSE))))</f>
        <v>-2.3E-3</v>
      </c>
      <c r="O53" s="94">
        <f>IF($B53&gt;20,IF(EIOPA_RFR!O14&lt;0%,EIOPA_RFR!O14,EIOPA_RFR!O14*(1+VLOOKUP($B$71,Int_Rate_Param,3,FALSE))),IF(EIOPA_RFR!O14&lt;0%,EIOPA_RFR!O14,EIOPA_RFR!O14*(1+VLOOKUP($B53,Int_Rate_Param,3,FALSE))))</f>
        <v>-2.3E-3</v>
      </c>
      <c r="P53" s="94">
        <f>IF($B53&gt;20,IF(EIOPA_RFR!P14&lt;0%,EIOPA_RFR!P14,EIOPA_RFR!P14*(1+VLOOKUP($B$71,Int_Rate_Param,3,FALSE))),IF(EIOPA_RFR!P14&lt;0%,EIOPA_RFR!P14,EIOPA_RFR!P14*(1+VLOOKUP($B53,Int_Rate_Param,3,FALSE))))</f>
        <v>2.6179999999999997E-3</v>
      </c>
      <c r="Q53" s="94">
        <f>IF($B53&gt;20,IF(EIOPA_RFR!Q14&lt;0%,EIOPA_RFR!Q14,EIOPA_RFR!Q14*(1+VLOOKUP($B$71,Int_Rate_Param,3,FALSE))),IF(EIOPA_RFR!Q14&lt;0%,EIOPA_RFR!Q14,EIOPA_RFR!Q14*(1+VLOOKUP($B53,Int_Rate_Param,3,FALSE))))</f>
        <v>1.6939999999999997E-2</v>
      </c>
      <c r="R53" s="94">
        <f>IF($B53&gt;20,IF(EIOPA_RFR!R14&lt;0%,EIOPA_RFR!R14,EIOPA_RFR!R14*(1+VLOOKUP($B$71,Int_Rate_Param,3,FALSE))),IF(EIOPA_RFR!R14&lt;0%,EIOPA_RFR!R14,EIOPA_RFR!R14*(1+VLOOKUP($B53,Int_Rate_Param,3,FALSE))))</f>
        <v>-2.3E-3</v>
      </c>
      <c r="S53" s="94">
        <f>IF($B53&gt;20,IF(EIOPA_RFR!S14&lt;0%,EIOPA_RFR!S14,EIOPA_RFR!S14*(1+VLOOKUP($B$71,Int_Rate_Param,3,FALSE))),IF(EIOPA_RFR!S14&lt;0%,EIOPA_RFR!S14,EIOPA_RFR!S14*(1+VLOOKUP($B53,Int_Rate_Param,3,FALSE))))</f>
        <v>-2.3E-3</v>
      </c>
      <c r="T53" s="94">
        <f>IF($B53&gt;20,IF(EIOPA_RFR!T14&lt;0%,EIOPA_RFR!T14,EIOPA_RFR!T14*(1+VLOOKUP($B$71,Int_Rate_Param,3,FALSE))),IF(EIOPA_RFR!T14&lt;0%,EIOPA_RFR!T14,EIOPA_RFR!T14*(1+VLOOKUP($B53,Int_Rate_Param,3,FALSE))))</f>
        <v>-2.3E-3</v>
      </c>
      <c r="U53" s="94">
        <f>IF($B53&gt;20,IF(EIOPA_RFR!U14&lt;0%,EIOPA_RFR!U14,EIOPA_RFR!U14*(1+VLOOKUP($B$71,Int_Rate_Param,3,FALSE))),IF(EIOPA_RFR!U14&lt;0%,EIOPA_RFR!U14,EIOPA_RFR!U14*(1+VLOOKUP($B53,Int_Rate_Param,3,FALSE))))</f>
        <v>-7.3499999999999998E-3</v>
      </c>
      <c r="V53" s="94">
        <f>IF($B53&gt;20,IF(EIOPA_RFR!V14&lt;0%,EIOPA_RFR!V14,EIOPA_RFR!V14*(1+VLOOKUP($B$71,Int_Rate_Param,3,FALSE))),IF(EIOPA_RFR!V14&lt;0%,EIOPA_RFR!V14,EIOPA_RFR!V14*(1+VLOOKUP($B53,Int_Rate_Param,3,FALSE))))</f>
        <v>-2.3E-3</v>
      </c>
      <c r="W53" s="94">
        <f>IF($B53&gt;20,IF(EIOPA_RFR!W14&lt;0%,EIOPA_RFR!W14,EIOPA_RFR!W14*(1+VLOOKUP($B$71,Int_Rate_Param,3,FALSE))),IF(EIOPA_RFR!W14&lt;0%,EIOPA_RFR!W14,EIOPA_RFR!W14*(1+VLOOKUP($B53,Int_Rate_Param,3,FALSE))))</f>
        <v>-2.3E-3</v>
      </c>
      <c r="X53" s="94">
        <f>IF($B53&gt;20,IF(EIOPA_RFR!X14&lt;0%,EIOPA_RFR!X14,EIOPA_RFR!X14*(1+VLOOKUP($B$71,Int_Rate_Param,3,FALSE))),IF(EIOPA_RFR!X14&lt;0%,EIOPA_RFR!X14,EIOPA_RFR!X14*(1+VLOOKUP($B53,Int_Rate_Param,3,FALSE))))</f>
        <v>-2.3E-3</v>
      </c>
      <c r="Y53" s="94">
        <f>IF($B53&gt;20,IF(EIOPA_RFR!Y14&lt;0%,EIOPA_RFR!Y14,EIOPA_RFR!Y14*(1+VLOOKUP($B$71,Int_Rate_Param,3,FALSE))),IF(EIOPA_RFR!Y14&lt;0%,EIOPA_RFR!Y14,EIOPA_RFR!Y14*(1+VLOOKUP($B53,Int_Rate_Param,3,FALSE))))</f>
        <v>-2.3E-3</v>
      </c>
      <c r="Z53" s="94">
        <f>IF($B53&gt;20,IF(EIOPA_RFR!Z14&lt;0%,EIOPA_RFR!Z14,EIOPA_RFR!Z14*(1+VLOOKUP($B$71,Int_Rate_Param,3,FALSE))),IF(EIOPA_RFR!Z14&lt;0%,EIOPA_RFR!Z14,EIOPA_RFR!Z14*(1+VLOOKUP($B53,Int_Rate_Param,3,FALSE))))</f>
        <v>3.7659999999999998E-3</v>
      </c>
      <c r="AA53" s="94">
        <f>IF($B53&gt;20,IF(EIOPA_RFR!AA14&lt;0%,EIOPA_RFR!AA14,EIOPA_RFR!AA14*(1+VLOOKUP($B$71,Int_Rate_Param,3,FALSE))),IF(EIOPA_RFR!AA14&lt;0%,EIOPA_RFR!AA14,EIOPA_RFR!AA14*(1+VLOOKUP($B53,Int_Rate_Param,3,FALSE))))</f>
        <v>6.4295000000000003E-3</v>
      </c>
      <c r="AB53" s="94">
        <f>IF($B53&gt;20,IF(EIOPA_RFR!AB14&lt;0%,EIOPA_RFR!AB14,EIOPA_RFR!AB14*(1+VLOOKUP($B$71,Int_Rate_Param,3,FALSE))),IF(EIOPA_RFR!AB14&lt;0%,EIOPA_RFR!AB14,EIOPA_RFR!AB14*(1+VLOOKUP($B53,Int_Rate_Param,3,FALSE))))</f>
        <v>-2.3E-3</v>
      </c>
      <c r="AC53" s="94">
        <f>IF($B53&gt;20,IF(EIOPA_RFR!AC14&lt;0%,EIOPA_RFR!AC14,EIOPA_RFR!AC14*(1+VLOOKUP($B$71,Int_Rate_Param,3,FALSE))),IF(EIOPA_RFR!AC14&lt;0%,EIOPA_RFR!AC14,EIOPA_RFR!AC14*(1+VLOOKUP($B53,Int_Rate_Param,3,FALSE))))</f>
        <v>5.0819999999999997E-3</v>
      </c>
      <c r="AD53" s="94">
        <f>IF($B53&gt;20,IF(EIOPA_RFR!AD14&lt;0%,EIOPA_RFR!AD14,EIOPA_RFR!AD14*(1+VLOOKUP($B$71,Int_Rate_Param,3,FALSE))),IF(EIOPA_RFR!AD14&lt;0%,EIOPA_RFR!AD14,EIOPA_RFR!AD14*(1+VLOOKUP($B53,Int_Rate_Param,3,FALSE))))</f>
        <v>3.0789500000000001E-2</v>
      </c>
      <c r="AE53" s="94">
        <f>IF($B53&gt;20,IF(EIOPA_RFR!AE14&lt;0%,EIOPA_RFR!AE14,EIOPA_RFR!AE14*(1+VLOOKUP($B$71,Int_Rate_Param,3,FALSE))),IF(EIOPA_RFR!AE14&lt;0%,EIOPA_RFR!AE14,EIOPA_RFR!AE14*(1+VLOOKUP($B53,Int_Rate_Param,3,FALSE))))</f>
        <v>-2.3E-3</v>
      </c>
      <c r="AF53" s="94">
        <f>IF($B53&gt;20,IF(EIOPA_RFR!AF14&lt;0%,EIOPA_RFR!AF14,EIOPA_RFR!AF14*(1+VLOOKUP($B$71,Int_Rate_Param,3,FALSE))),IF(EIOPA_RFR!AF14&lt;0%,EIOPA_RFR!AF14,EIOPA_RFR!AF14*(1+VLOOKUP($B53,Int_Rate_Param,3,FALSE))))</f>
        <v>-2.3E-3</v>
      </c>
      <c r="AG53" s="94">
        <f>IF($B53&gt;20,IF(EIOPA_RFR!AG14&lt;0%,EIOPA_RFR!AG14,EIOPA_RFR!AG14*(1+VLOOKUP($B$71,Int_Rate_Param,3,FALSE))),IF(EIOPA_RFR!AG14&lt;0%,EIOPA_RFR!AG14,EIOPA_RFR!AG14*(1+VLOOKUP($B53,Int_Rate_Param,3,FALSE))))</f>
        <v>-2.3E-3</v>
      </c>
      <c r="AH53" s="94">
        <f>IF($B53&gt;20,IF(EIOPA_RFR!AH14&lt;0%,EIOPA_RFR!AH14,EIOPA_RFR!AH14*(1+VLOOKUP($B$71,Int_Rate_Param,3,FALSE))),IF(EIOPA_RFR!AH14&lt;0%,EIOPA_RFR!AH14,EIOPA_RFR!AH14*(1+VLOOKUP($B53,Int_Rate_Param,3,FALSE))))</f>
        <v>-3.7499999999999999E-3</v>
      </c>
      <c r="AI53" s="94">
        <f>IF($B53&gt;20,IF(EIOPA_RFR!AI14&lt;0%,EIOPA_RFR!AI14,EIOPA_RFR!AI14*(1+VLOOKUP($B$71,Int_Rate_Param,3,FALSE))),IF(EIOPA_RFR!AI14&lt;0%,EIOPA_RFR!AI14,EIOPA_RFR!AI14*(1+VLOOKUP($B53,Int_Rate_Param,3,FALSE))))</f>
        <v>-7.3499999999999998E-3</v>
      </c>
      <c r="AJ53" s="94">
        <f>IF($B53&gt;20,IF(EIOPA_RFR!AJ14&lt;0%,EIOPA_RFR!AJ14,EIOPA_RFR!AJ14*(1+VLOOKUP($B$71,Int_Rate_Param,3,FALSE))),IF(EIOPA_RFR!AJ14&lt;0%,EIOPA_RFR!AJ14,EIOPA_RFR!AJ14*(1+VLOOKUP($B53,Int_Rate_Param,3,FALSE))))</f>
        <v>1.5749999999999998E-3</v>
      </c>
      <c r="AK53" s="94">
        <f>IF($B53&gt;20,IF(EIOPA_RFR!AK14&lt;0%,EIOPA_RFR!AK14,EIOPA_RFR!AK14*(1+VLOOKUP($B$71,Int_Rate_Param,3,FALSE))),IF(EIOPA_RFR!AK14&lt;0%,EIOPA_RFR!AK14,EIOPA_RFR!AK14*(1+VLOOKUP($B53,Int_Rate_Param,3,FALSE))))</f>
        <v>6.8354999999999996E-3</v>
      </c>
      <c r="AL53" s="94">
        <f>IF($B53&gt;20,IF(EIOPA_RFR!AL14&lt;0%,EIOPA_RFR!AL14,EIOPA_RFR!AL14*(1+VLOOKUP($B$71,Int_Rate_Param,3,FALSE))),IF(EIOPA_RFR!AL14&lt;0%,EIOPA_RFR!AL14,EIOPA_RFR!AL14*(1+VLOOKUP($B53,Int_Rate_Param,3,FALSE))))</f>
        <v>3.0897999999999998E-2</v>
      </c>
      <c r="AM53" s="94">
        <f>IF($B53&gt;20,IF(EIOPA_RFR!AM14&lt;0%,EIOPA_RFR!AM14,EIOPA_RFR!AM14*(1+VLOOKUP($B$71,Int_Rate_Param,3,FALSE))),IF(EIOPA_RFR!AM14&lt;0%,EIOPA_RFR!AM14,EIOPA_RFR!AM14*(1+VLOOKUP($B53,Int_Rate_Param,3,FALSE))))</f>
        <v>3.1184999999999997E-3</v>
      </c>
      <c r="AN53" s="94">
        <f>IF($B53&gt;20,IF(EIOPA_RFR!AN14&lt;0%,EIOPA_RFR!AN14,EIOPA_RFR!AN14*(1+VLOOKUP($B$71,Int_Rate_Param,3,FALSE))),IF(EIOPA_RFR!AN14&lt;0%,EIOPA_RFR!AN14,EIOPA_RFR!AN14*(1+VLOOKUP($B53,Int_Rate_Param,3,FALSE))))</f>
        <v>9.2049999999999996E-3</v>
      </c>
      <c r="AO53" s="94">
        <f>IF($B53&gt;20,IF(EIOPA_RFR!AO14&lt;0%,EIOPA_RFR!AO14,EIOPA_RFR!AO14*(1+VLOOKUP($B$71,Int_Rate_Param,3,FALSE))),IF(EIOPA_RFR!AO14&lt;0%,EIOPA_RFR!AO14,EIOPA_RFR!AO14*(1+VLOOKUP($B53,Int_Rate_Param,3,FALSE))))</f>
        <v>1.1868500000000001E-2</v>
      </c>
      <c r="AP53" s="94">
        <f>IF($B53&gt;20,IF(EIOPA_RFR!AP14&lt;0%,EIOPA_RFR!AP14,EIOPA_RFR!AP14*(1+VLOOKUP($B$71,Int_Rate_Param,3,FALSE))),IF(EIOPA_RFR!AP14&lt;0%,EIOPA_RFR!AP14,EIOPA_RFR!AP14*(1+VLOOKUP($B53,Int_Rate_Param,3,FALSE))))</f>
        <v>1.8787999999999999E-2</v>
      </c>
      <c r="AQ53" s="94">
        <f>IF($B53&gt;20,IF(EIOPA_RFR!AQ14&lt;0%,EIOPA_RFR!AQ14,EIOPA_RFR!AQ14*(1+VLOOKUP($B$71,Int_Rate_Param,3,FALSE))),IF(EIOPA_RFR!AQ14&lt;0%,EIOPA_RFR!AQ14,EIOPA_RFR!AQ14*(1+VLOOKUP($B53,Int_Rate_Param,3,FALSE))))</f>
        <v>4.7215E-3</v>
      </c>
      <c r="AR53" s="94">
        <f>IF($B53&gt;20,IF(EIOPA_RFR!AR14&lt;0%,EIOPA_RFR!AR14,EIOPA_RFR!AR14*(1+VLOOKUP($B$71,Int_Rate_Param,3,FALSE))),IF(EIOPA_RFR!AR14&lt;0%,EIOPA_RFR!AR14,EIOPA_RFR!AR14*(1+VLOOKUP($B53,Int_Rate_Param,3,FALSE))))</f>
        <v>2.1181999999999999E-2</v>
      </c>
      <c r="AS53" s="94">
        <f>IF($B53&gt;20,IF(EIOPA_RFR!AS14&lt;0%,EIOPA_RFR!AS14,EIOPA_RFR!AS14*(1+VLOOKUP($B$71,Int_Rate_Param,3,FALSE))),IF(EIOPA_RFR!AS14&lt;0%,EIOPA_RFR!AS14,EIOPA_RFR!AS14*(1+VLOOKUP($B53,Int_Rate_Param,3,FALSE))))</f>
        <v>-4.6999999999999999E-4</v>
      </c>
      <c r="AT53" s="94">
        <f>IF($B53&gt;20,IF(EIOPA_RFR!AT14&lt;0%,EIOPA_RFR!AT14,EIOPA_RFR!AT14*(1+VLOOKUP($B$71,Int_Rate_Param,3,FALSE))),IF(EIOPA_RFR!AT14&lt;0%,EIOPA_RFR!AT14,EIOPA_RFR!AT14*(1+VLOOKUP($B53,Int_Rate_Param,3,FALSE))))</f>
        <v>1.2186999999999998E-2</v>
      </c>
      <c r="AU53" s="94">
        <f>IF($B53&gt;20,IF(EIOPA_RFR!AU14&lt;0%,EIOPA_RFR!AU14,EIOPA_RFR!AU14*(1+VLOOKUP($B$71,Int_Rate_Param,3,FALSE))),IF(EIOPA_RFR!AU14&lt;0%,EIOPA_RFR!AU14,EIOPA_RFR!AU14*(1+VLOOKUP($B53,Int_Rate_Param,3,FALSE))))</f>
        <v>2.4545499999999998E-2</v>
      </c>
      <c r="AV53" s="94">
        <f>IF($B53&gt;20,IF(EIOPA_RFR!AV14&lt;0%,EIOPA_RFR!AV14,EIOPA_RFR!AV14*(1+VLOOKUP($B$71,Int_Rate_Param,3,FALSE))),IF(EIOPA_RFR!AV14&lt;0%,EIOPA_RFR!AV14,EIOPA_RFR!AV14*(1+VLOOKUP($B53,Int_Rate_Param,3,FALSE))))</f>
        <v>7.3709999999999991E-3</v>
      </c>
      <c r="AW53" s="94">
        <f>IF($B53&gt;20,IF(EIOPA_RFR!AW14&lt;0%,EIOPA_RFR!AW14,EIOPA_RFR!AW14*(1+VLOOKUP($B$71,Int_Rate_Param,3,FALSE))),IF(EIOPA_RFR!AW14&lt;0%,EIOPA_RFR!AW14,EIOPA_RFR!AW14*(1+VLOOKUP($B53,Int_Rate_Param,3,FALSE))))</f>
        <v>4.8649999999999995E-3</v>
      </c>
      <c r="AX53" s="94">
        <f>IF($B53&gt;20,IF(EIOPA_RFR!AX14&lt;0%,EIOPA_RFR!AX14,EIOPA_RFR!AX14*(1+VLOOKUP($B$71,Int_Rate_Param,3,FALSE))),IF(EIOPA_RFR!AX14&lt;0%,EIOPA_RFR!AX14,EIOPA_RFR!AX14*(1+VLOOKUP($B53,Int_Rate_Param,3,FALSE))))</f>
        <v>2.51335E-2</v>
      </c>
      <c r="AY53" s="94">
        <f>IF($B53&gt;20,IF(EIOPA_RFR!AY14&lt;0%,EIOPA_RFR!AY14,EIOPA_RFR!AY14*(1+VLOOKUP($B$71,Int_Rate_Param,3,FALSE))),IF(EIOPA_RFR!AY14&lt;0%,EIOPA_RFR!AY14,EIOPA_RFR!AY14*(1+VLOOKUP($B53,Int_Rate_Param,3,FALSE))))</f>
        <v>4.9909999999999998E-3</v>
      </c>
      <c r="AZ53" s="94">
        <f>IF($B53&gt;20,IF(EIOPA_RFR!AZ14&lt;0%,EIOPA_RFR!AZ14,EIOPA_RFR!AZ14*(1+VLOOKUP($B$71,Int_Rate_Param,3,FALSE))),IF(EIOPA_RFR!AZ14&lt;0%,EIOPA_RFR!AZ14,EIOPA_RFR!AZ14*(1+VLOOKUP($B53,Int_Rate_Param,3,FALSE))))</f>
        <v>1.8445E-3</v>
      </c>
      <c r="BA53" s="94">
        <f>IF($B53&gt;20,IF(EIOPA_RFR!BA14&lt;0%,EIOPA_RFR!BA14,EIOPA_RFR!BA14*(1+VLOOKUP($B$71,Int_Rate_Param,3,FALSE))),IF(EIOPA_RFR!BA14&lt;0%,EIOPA_RFR!BA14,EIOPA_RFR!BA14*(1+VLOOKUP($B53,Int_Rate_Param,3,FALSE))))</f>
        <v>5.4494999999999995E-3</v>
      </c>
      <c r="BB53" s="94">
        <f>IF($B53&gt;20,IF(EIOPA_RFR!BB14&lt;0%,EIOPA_RFR!BB14,EIOPA_RFR!BB14*(1+VLOOKUP($B$71,Int_Rate_Param,3,FALSE))),IF(EIOPA_RFR!BB14&lt;0%,EIOPA_RFR!BB14,EIOPA_RFR!BB14*(1+VLOOKUP($B53,Int_Rate_Param,3,FALSE))))</f>
        <v>4.1765499999999997E-2</v>
      </c>
      <c r="BC53" s="94">
        <f>IF($B53&gt;20,IF(EIOPA_RFR!BC14&lt;0%,EIOPA_RFR!BC14,EIOPA_RFR!BC14*(1+VLOOKUP($B$71,Int_Rate_Param,3,FALSE))),IF(EIOPA_RFR!BC14&lt;0%,EIOPA_RFR!BC14,EIOPA_RFR!BC14*(1+VLOOKUP($B53,Int_Rate_Param,3,FALSE))))</f>
        <v>5.1274999999999992E-3</v>
      </c>
    </row>
    <row r="54" spans="1:55" x14ac:dyDescent="0.25">
      <c r="A54">
        <f t="shared" si="1"/>
        <v>5</v>
      </c>
      <c r="B54" s="95">
        <v>3</v>
      </c>
      <c r="C54" s="94">
        <f>IF($B54&gt;20,IF(EIOPA_RFR!C15&lt;0%,EIOPA_RFR!C15,EIOPA_RFR!C15*(1+VLOOKUP($B$71,Int_Rate_Param,3,FALSE))),IF(EIOPA_RFR!C15&lt;0%,EIOPA_RFR!C15,EIOPA_RFR!C15*(1+VLOOKUP($B54,Int_Rate_Param,3,FALSE))))</f>
        <v>-1.39E-3</v>
      </c>
      <c r="D54" s="94">
        <f>IF($B54&gt;20,IF(EIOPA_RFR!D15&lt;0%,EIOPA_RFR!D15,EIOPA_RFR!D15*(1+VLOOKUP($B$71,Int_Rate_Param,3,FALSE))),IF(EIOPA_RFR!D15&lt;0%,EIOPA_RFR!D15,EIOPA_RFR!D15*(1+VLOOKUP($B54,Int_Rate_Param,3,FALSE))))</f>
        <v>-1.39E-3</v>
      </c>
      <c r="E54" s="94">
        <f>IF($B54&gt;20,IF(EIOPA_RFR!E15&lt;0%,EIOPA_RFR!E15,EIOPA_RFR!E15*(1+VLOOKUP($B$71,Int_Rate_Param,3,FALSE))),IF(EIOPA_RFR!E15&lt;0%,EIOPA_RFR!E15,EIOPA_RFR!E15*(1+VLOOKUP($B54,Int_Rate_Param,3,FALSE))))</f>
        <v>-1.39E-3</v>
      </c>
      <c r="F54" s="94">
        <f>IF($B54&gt;20,IF(EIOPA_RFR!F15&lt;0%,EIOPA_RFR!F15,EIOPA_RFR!F15*(1+VLOOKUP($B$71,Int_Rate_Param,3,FALSE))),IF(EIOPA_RFR!F15&lt;0%,EIOPA_RFR!F15,EIOPA_RFR!F15*(1+VLOOKUP($B54,Int_Rate_Param,3,FALSE))))</f>
        <v>-1.89E-3</v>
      </c>
      <c r="G54" s="94">
        <f>IF($B54&gt;20,IF(EIOPA_RFR!G15&lt;0%,EIOPA_RFR!G15,EIOPA_RFR!G15*(1+VLOOKUP($B$71,Int_Rate_Param,3,FALSE))),IF(EIOPA_RFR!G15&lt;0%,EIOPA_RFR!G15,EIOPA_RFR!G15*(1+VLOOKUP($B54,Int_Rate_Param,3,FALSE))))</f>
        <v>7.0399999999999994E-3</v>
      </c>
      <c r="H54" s="94">
        <f>IF($B54&gt;20,IF(EIOPA_RFR!H15&lt;0%,EIOPA_RFR!H15,EIOPA_RFR!H15*(1+VLOOKUP($B$71,Int_Rate_Param,3,FALSE))),IF(EIOPA_RFR!H15&lt;0%,EIOPA_RFR!H15,EIOPA_RFR!H15*(1+VLOOKUP($B54,Int_Rate_Param,3,FALSE))))</f>
        <v>-1.39E-3</v>
      </c>
      <c r="I54" s="94">
        <f>IF($B54&gt;20,IF(EIOPA_RFR!I15&lt;0%,EIOPA_RFR!I15,EIOPA_RFR!I15*(1+VLOOKUP($B$71,Int_Rate_Param,3,FALSE))),IF(EIOPA_RFR!I15&lt;0%,EIOPA_RFR!I15,EIOPA_RFR!I15*(1+VLOOKUP($B54,Int_Rate_Param,3,FALSE))))</f>
        <v>1.9095999999999998E-3</v>
      </c>
      <c r="J54" s="94">
        <f>IF($B54&gt;20,IF(EIOPA_RFR!J15&lt;0%,EIOPA_RFR!J15,EIOPA_RFR!J15*(1+VLOOKUP($B$71,Int_Rate_Param,3,FALSE))),IF(EIOPA_RFR!J15&lt;0%,EIOPA_RFR!J15,EIOPA_RFR!J15*(1+VLOOKUP($B54,Int_Rate_Param,3,FALSE))))</f>
        <v>-1.49E-3</v>
      </c>
      <c r="K54" s="94">
        <f>IF($B54&gt;20,IF(EIOPA_RFR!K15&lt;0%,EIOPA_RFR!K15,EIOPA_RFR!K15*(1+VLOOKUP($B$71,Int_Rate_Param,3,FALSE))),IF(EIOPA_RFR!K15&lt;0%,EIOPA_RFR!K15,EIOPA_RFR!K15*(1+VLOOKUP($B54,Int_Rate_Param,3,FALSE))))</f>
        <v>-1.39E-3</v>
      </c>
      <c r="L54" s="94">
        <f>IF($B54&gt;20,IF(EIOPA_RFR!L15&lt;0%,EIOPA_RFR!L15,EIOPA_RFR!L15*(1+VLOOKUP($B$71,Int_Rate_Param,3,FALSE))),IF(EIOPA_RFR!L15&lt;0%,EIOPA_RFR!L15,EIOPA_RFR!L15*(1+VLOOKUP($B54,Int_Rate_Param,3,FALSE))))</f>
        <v>-1.39E-3</v>
      </c>
      <c r="M54" s="94">
        <f>IF($B54&gt;20,IF(EIOPA_RFR!M15&lt;0%,EIOPA_RFR!M15,EIOPA_RFR!M15*(1+VLOOKUP($B$71,Int_Rate_Param,3,FALSE))),IF(EIOPA_RFR!M15&lt;0%,EIOPA_RFR!M15,EIOPA_RFR!M15*(1+VLOOKUP($B54,Int_Rate_Param,3,FALSE))))</f>
        <v>-1.39E-3</v>
      </c>
      <c r="N54" s="94">
        <f>IF($B54&gt;20,IF(EIOPA_RFR!N15&lt;0%,EIOPA_RFR!N15,EIOPA_RFR!N15*(1+VLOOKUP($B$71,Int_Rate_Param,3,FALSE))),IF(EIOPA_RFR!N15&lt;0%,EIOPA_RFR!N15,EIOPA_RFR!N15*(1+VLOOKUP($B54,Int_Rate_Param,3,FALSE))))</f>
        <v>-1.39E-3</v>
      </c>
      <c r="O54" s="94">
        <f>IF($B54&gt;20,IF(EIOPA_RFR!O15&lt;0%,EIOPA_RFR!O15,EIOPA_RFR!O15*(1+VLOOKUP($B$71,Int_Rate_Param,3,FALSE))),IF(EIOPA_RFR!O15&lt;0%,EIOPA_RFR!O15,EIOPA_RFR!O15*(1+VLOOKUP($B54,Int_Rate_Param,3,FALSE))))</f>
        <v>-1.39E-3</v>
      </c>
      <c r="P54" s="94">
        <f>IF($B54&gt;20,IF(EIOPA_RFR!P15&lt;0%,EIOPA_RFR!P15,EIOPA_RFR!P15*(1+VLOOKUP($B$71,Int_Rate_Param,3,FALSE))),IF(EIOPA_RFR!P15&lt;0%,EIOPA_RFR!P15,EIOPA_RFR!P15*(1+VLOOKUP($B54,Int_Rate_Param,3,FALSE))))</f>
        <v>4.2239999999999995E-3</v>
      </c>
      <c r="Q54" s="94">
        <f>IF($B54&gt;20,IF(EIOPA_RFR!Q15&lt;0%,EIOPA_RFR!Q15,EIOPA_RFR!Q15*(1+VLOOKUP($B$71,Int_Rate_Param,3,FALSE))),IF(EIOPA_RFR!Q15&lt;0%,EIOPA_RFR!Q15,EIOPA_RFR!Q15*(1+VLOOKUP($B54,Int_Rate_Param,3,FALSE))))</f>
        <v>2.1295999999999995E-2</v>
      </c>
      <c r="R54" s="94">
        <f>IF($B54&gt;20,IF(EIOPA_RFR!R15&lt;0%,EIOPA_RFR!R15,EIOPA_RFR!R15*(1+VLOOKUP($B$71,Int_Rate_Param,3,FALSE))),IF(EIOPA_RFR!R15&lt;0%,EIOPA_RFR!R15,EIOPA_RFR!R15*(1+VLOOKUP($B54,Int_Rate_Param,3,FALSE))))</f>
        <v>-1.39E-3</v>
      </c>
      <c r="S54" s="94">
        <f>IF($B54&gt;20,IF(EIOPA_RFR!S15&lt;0%,EIOPA_RFR!S15,EIOPA_RFR!S15*(1+VLOOKUP($B$71,Int_Rate_Param,3,FALSE))),IF(EIOPA_RFR!S15&lt;0%,EIOPA_RFR!S15,EIOPA_RFR!S15*(1+VLOOKUP($B54,Int_Rate_Param,3,FALSE))))</f>
        <v>-1.39E-3</v>
      </c>
      <c r="T54" s="94">
        <f>IF($B54&gt;20,IF(EIOPA_RFR!T15&lt;0%,EIOPA_RFR!T15,EIOPA_RFR!T15*(1+VLOOKUP($B$71,Int_Rate_Param,3,FALSE))),IF(EIOPA_RFR!T15&lt;0%,EIOPA_RFR!T15,EIOPA_RFR!T15*(1+VLOOKUP($B54,Int_Rate_Param,3,FALSE))))</f>
        <v>-1.39E-3</v>
      </c>
      <c r="U54" s="94">
        <f>IF($B54&gt;20,IF(EIOPA_RFR!U15&lt;0%,EIOPA_RFR!U15,EIOPA_RFR!U15*(1+VLOOKUP($B$71,Int_Rate_Param,3,FALSE))),IF(EIOPA_RFR!U15&lt;0%,EIOPA_RFR!U15,EIOPA_RFR!U15*(1+VLOOKUP($B54,Int_Rate_Param,3,FALSE))))</f>
        <v>-6.4799999999999996E-3</v>
      </c>
      <c r="V54" s="94">
        <f>IF($B54&gt;20,IF(EIOPA_RFR!V15&lt;0%,EIOPA_RFR!V15,EIOPA_RFR!V15*(1+VLOOKUP($B$71,Int_Rate_Param,3,FALSE))),IF(EIOPA_RFR!V15&lt;0%,EIOPA_RFR!V15,EIOPA_RFR!V15*(1+VLOOKUP($B54,Int_Rate_Param,3,FALSE))))</f>
        <v>-1.39E-3</v>
      </c>
      <c r="W54" s="94">
        <f>IF($B54&gt;20,IF(EIOPA_RFR!W15&lt;0%,EIOPA_RFR!W15,EIOPA_RFR!W15*(1+VLOOKUP($B$71,Int_Rate_Param,3,FALSE))),IF(EIOPA_RFR!W15&lt;0%,EIOPA_RFR!W15,EIOPA_RFR!W15*(1+VLOOKUP($B54,Int_Rate_Param,3,FALSE))))</f>
        <v>-1.39E-3</v>
      </c>
      <c r="X54" s="94">
        <f>IF($B54&gt;20,IF(EIOPA_RFR!X15&lt;0%,EIOPA_RFR!X15,EIOPA_RFR!X15*(1+VLOOKUP($B$71,Int_Rate_Param,3,FALSE))),IF(EIOPA_RFR!X15&lt;0%,EIOPA_RFR!X15,EIOPA_RFR!X15*(1+VLOOKUP($B54,Int_Rate_Param,3,FALSE))))</f>
        <v>-1.39E-3</v>
      </c>
      <c r="Y54" s="94">
        <f>IF($B54&gt;20,IF(EIOPA_RFR!Y15&lt;0%,EIOPA_RFR!Y15,EIOPA_RFR!Y15*(1+VLOOKUP($B$71,Int_Rate_Param,3,FALSE))),IF(EIOPA_RFR!Y15&lt;0%,EIOPA_RFR!Y15,EIOPA_RFR!Y15*(1+VLOOKUP($B54,Int_Rate_Param,3,FALSE))))</f>
        <v>-1.39E-3</v>
      </c>
      <c r="Z54" s="94">
        <f>IF($B54&gt;20,IF(EIOPA_RFR!Z15&lt;0%,EIOPA_RFR!Z15,EIOPA_RFR!Z15*(1+VLOOKUP($B$71,Int_Rate_Param,3,FALSE))),IF(EIOPA_RFR!Z15&lt;0%,EIOPA_RFR!Z15,EIOPA_RFR!Z15*(1+VLOOKUP($B54,Int_Rate_Param,3,FALSE))))</f>
        <v>5.2007999999999993E-3</v>
      </c>
      <c r="AA54" s="94">
        <f>IF($B54&gt;20,IF(EIOPA_RFR!AA15&lt;0%,EIOPA_RFR!AA15,EIOPA_RFR!AA15*(1+VLOOKUP($B$71,Int_Rate_Param,3,FALSE))),IF(EIOPA_RFR!AA15&lt;0%,EIOPA_RFR!AA15,EIOPA_RFR!AA15*(1+VLOOKUP($B54,Int_Rate_Param,3,FALSE))))</f>
        <v>9.6711999999999979E-3</v>
      </c>
      <c r="AB54" s="94">
        <f>IF($B54&gt;20,IF(EIOPA_RFR!AB15&lt;0%,EIOPA_RFR!AB15,EIOPA_RFR!AB15*(1+VLOOKUP($B$71,Int_Rate_Param,3,FALSE))),IF(EIOPA_RFR!AB15&lt;0%,EIOPA_RFR!AB15,EIOPA_RFR!AB15*(1+VLOOKUP($B54,Int_Rate_Param,3,FALSE))))</f>
        <v>-1.39E-3</v>
      </c>
      <c r="AC54" s="94">
        <f>IF($B54&gt;20,IF(EIOPA_RFR!AC15&lt;0%,EIOPA_RFR!AC15,EIOPA_RFR!AC15*(1+VLOOKUP($B$71,Int_Rate_Param,3,FALSE))),IF(EIOPA_RFR!AC15&lt;0%,EIOPA_RFR!AC15,EIOPA_RFR!AC15*(1+VLOOKUP($B54,Int_Rate_Param,3,FALSE))))</f>
        <v>8.5403999999999983E-3</v>
      </c>
      <c r="AD54" s="94">
        <f>IF($B54&gt;20,IF(EIOPA_RFR!AD15&lt;0%,EIOPA_RFR!AD15,EIOPA_RFR!AD15*(1+VLOOKUP($B$71,Int_Rate_Param,3,FALSE))),IF(EIOPA_RFR!AD15&lt;0%,EIOPA_RFR!AD15,EIOPA_RFR!AD15*(1+VLOOKUP($B54,Int_Rate_Param,3,FALSE))))</f>
        <v>3.7039199999999994E-2</v>
      </c>
      <c r="AE54" s="94">
        <f>IF($B54&gt;20,IF(EIOPA_RFR!AE15&lt;0%,EIOPA_RFR!AE15,EIOPA_RFR!AE15*(1+VLOOKUP($B$71,Int_Rate_Param,3,FALSE))),IF(EIOPA_RFR!AE15&lt;0%,EIOPA_RFR!AE15,EIOPA_RFR!AE15*(1+VLOOKUP($B54,Int_Rate_Param,3,FALSE))))</f>
        <v>-1.39E-3</v>
      </c>
      <c r="AF54" s="94">
        <f>IF($B54&gt;20,IF(EIOPA_RFR!AF15&lt;0%,EIOPA_RFR!AF15,EIOPA_RFR!AF15*(1+VLOOKUP($B$71,Int_Rate_Param,3,FALSE))),IF(EIOPA_RFR!AF15&lt;0%,EIOPA_RFR!AF15,EIOPA_RFR!AF15*(1+VLOOKUP($B54,Int_Rate_Param,3,FALSE))))</f>
        <v>-1.39E-3</v>
      </c>
      <c r="AG54" s="94">
        <f>IF($B54&gt;20,IF(EIOPA_RFR!AG15&lt;0%,EIOPA_RFR!AG15,EIOPA_RFR!AG15*(1+VLOOKUP($B$71,Int_Rate_Param,3,FALSE))),IF(EIOPA_RFR!AG15&lt;0%,EIOPA_RFR!AG15,EIOPA_RFR!AG15*(1+VLOOKUP($B54,Int_Rate_Param,3,FALSE))))</f>
        <v>-1.39E-3</v>
      </c>
      <c r="AH54" s="94">
        <f>IF($B54&gt;20,IF(EIOPA_RFR!AH15&lt;0%,EIOPA_RFR!AH15,EIOPA_RFR!AH15*(1+VLOOKUP($B$71,Int_Rate_Param,3,FALSE))),IF(EIOPA_RFR!AH15&lt;0%,EIOPA_RFR!AH15,EIOPA_RFR!AH15*(1+VLOOKUP($B54,Int_Rate_Param,3,FALSE))))</f>
        <v>-1.6199999999999999E-3</v>
      </c>
      <c r="AI54" s="94">
        <f>IF($B54&gt;20,IF(EIOPA_RFR!AI15&lt;0%,EIOPA_RFR!AI15,EIOPA_RFR!AI15*(1+VLOOKUP($B$71,Int_Rate_Param,3,FALSE))),IF(EIOPA_RFR!AI15&lt;0%,EIOPA_RFR!AI15,EIOPA_RFR!AI15*(1+VLOOKUP($B54,Int_Rate_Param,3,FALSE))))</f>
        <v>-6.4799999999999996E-3</v>
      </c>
      <c r="AJ54" s="94">
        <f>IF($B54&gt;20,IF(EIOPA_RFR!AJ15&lt;0%,EIOPA_RFR!AJ15,EIOPA_RFR!AJ15*(1+VLOOKUP($B$71,Int_Rate_Param,3,FALSE))),IF(EIOPA_RFR!AJ15&lt;0%,EIOPA_RFR!AJ15,EIOPA_RFR!AJ15*(1+VLOOKUP($B54,Int_Rate_Param,3,FALSE))))</f>
        <v>2.3451999999999995E-3</v>
      </c>
      <c r="AK54" s="94">
        <f>IF($B54&gt;20,IF(EIOPA_RFR!AK15&lt;0%,EIOPA_RFR!AK15,EIOPA_RFR!AK15*(1+VLOOKUP($B$71,Int_Rate_Param,3,FALSE))),IF(EIOPA_RFR!AK15&lt;0%,EIOPA_RFR!AK15,EIOPA_RFR!AK15*(1+VLOOKUP($B54,Int_Rate_Param,3,FALSE))))</f>
        <v>9.1871999999999978E-3</v>
      </c>
      <c r="AL54" s="94">
        <f>IF($B54&gt;20,IF(EIOPA_RFR!AL15&lt;0%,EIOPA_RFR!AL15,EIOPA_RFR!AL15*(1+VLOOKUP($B$71,Int_Rate_Param,3,FALSE))),IF(EIOPA_RFR!AL15&lt;0%,EIOPA_RFR!AL15,EIOPA_RFR!AL15*(1+VLOOKUP($B54,Int_Rate_Param,3,FALSE))))</f>
        <v>3.9767199999999996E-2</v>
      </c>
      <c r="AM54" s="94">
        <f>IF($B54&gt;20,IF(EIOPA_RFR!AM15&lt;0%,EIOPA_RFR!AM15,EIOPA_RFR!AM15*(1+VLOOKUP($B$71,Int_Rate_Param,3,FALSE))),IF(EIOPA_RFR!AM15&lt;0%,EIOPA_RFR!AM15,EIOPA_RFR!AM15*(1+VLOOKUP($B54,Int_Rate_Param,3,FALSE))))</f>
        <v>4.5804000000000001E-3</v>
      </c>
      <c r="AN54" s="94">
        <f>IF($B54&gt;20,IF(EIOPA_RFR!AN15&lt;0%,EIOPA_RFR!AN15,EIOPA_RFR!AN15*(1+VLOOKUP($B$71,Int_Rate_Param,3,FALSE))),IF(EIOPA_RFR!AN15&lt;0%,EIOPA_RFR!AN15,EIOPA_RFR!AN15*(1+VLOOKUP($B54,Int_Rate_Param,3,FALSE))))</f>
        <v>1.2671999999999998E-2</v>
      </c>
      <c r="AO54" s="94">
        <f>IF($B54&gt;20,IF(EIOPA_RFR!AO15&lt;0%,EIOPA_RFR!AO15,EIOPA_RFR!AO15*(1+VLOOKUP($B$71,Int_Rate_Param,3,FALSE))),IF(EIOPA_RFR!AO15&lt;0%,EIOPA_RFR!AO15,EIOPA_RFR!AO15*(1+VLOOKUP($B54,Int_Rate_Param,3,FALSE))))</f>
        <v>1.5188799999999999E-2</v>
      </c>
      <c r="AP54" s="94">
        <f>IF($B54&gt;20,IF(EIOPA_RFR!AP15&lt;0%,EIOPA_RFR!AP15,EIOPA_RFR!AP15*(1+VLOOKUP($B$71,Int_Rate_Param,3,FALSE))),IF(EIOPA_RFR!AP15&lt;0%,EIOPA_RFR!AP15,EIOPA_RFR!AP15*(1+VLOOKUP($B54,Int_Rate_Param,3,FALSE))))</f>
        <v>2.4138399999999997E-2</v>
      </c>
      <c r="AQ54" s="94">
        <f>IF($B54&gt;20,IF(EIOPA_RFR!AQ15&lt;0%,EIOPA_RFR!AQ15,EIOPA_RFR!AQ15*(1+VLOOKUP($B$71,Int_Rate_Param,3,FALSE))),IF(EIOPA_RFR!AQ15&lt;0%,EIOPA_RFR!AQ15,EIOPA_RFR!AQ15*(1+VLOOKUP($B54,Int_Rate_Param,3,FALSE))))</f>
        <v>6.8815999999999999E-3</v>
      </c>
      <c r="AR54" s="94">
        <f>IF($B54&gt;20,IF(EIOPA_RFR!AR15&lt;0%,EIOPA_RFR!AR15,EIOPA_RFR!AR15*(1+VLOOKUP($B$71,Int_Rate_Param,3,FALSE))),IF(EIOPA_RFR!AR15&lt;0%,EIOPA_RFR!AR15,EIOPA_RFR!AR15*(1+VLOOKUP($B54,Int_Rate_Param,3,FALSE))))</f>
        <v>2.7156799999999995E-2</v>
      </c>
      <c r="AS54" s="94">
        <f>IF($B54&gt;20,IF(EIOPA_RFR!AS15&lt;0%,EIOPA_RFR!AS15,EIOPA_RFR!AS15*(1+VLOOKUP($B$71,Int_Rate_Param,3,FALSE))),IF(EIOPA_RFR!AS15&lt;0%,EIOPA_RFR!AS15,EIOPA_RFR!AS15*(1+VLOOKUP($B54,Int_Rate_Param,3,FALSE))))</f>
        <v>-3.6000000000000002E-4</v>
      </c>
      <c r="AT54" s="94">
        <f>IF($B54&gt;20,IF(EIOPA_RFR!AT15&lt;0%,EIOPA_RFR!AT15,EIOPA_RFR!AT15*(1+VLOOKUP($B$71,Int_Rate_Param,3,FALSE))),IF(EIOPA_RFR!AT15&lt;0%,EIOPA_RFR!AT15,EIOPA_RFR!AT15*(1+VLOOKUP($B54,Int_Rate_Param,3,FALSE))))</f>
        <v>1.5637599999999998E-2</v>
      </c>
      <c r="AU54" s="94">
        <f>IF($B54&gt;20,IF(EIOPA_RFR!AU15&lt;0%,EIOPA_RFR!AU15,EIOPA_RFR!AU15*(1+VLOOKUP($B$71,Int_Rate_Param,3,FALSE))),IF(EIOPA_RFR!AU15&lt;0%,EIOPA_RFR!AU15,EIOPA_RFR!AU15*(1+VLOOKUP($B54,Int_Rate_Param,3,FALSE))))</f>
        <v>3.0918799999999996E-2</v>
      </c>
      <c r="AV54" s="94">
        <f>IF($B54&gt;20,IF(EIOPA_RFR!AV15&lt;0%,EIOPA_RFR!AV15,EIOPA_RFR!AV15*(1+VLOOKUP($B$71,Int_Rate_Param,3,FALSE))),IF(EIOPA_RFR!AV15&lt;0%,EIOPA_RFR!AV15,EIOPA_RFR!AV15*(1+VLOOKUP($B54,Int_Rate_Param,3,FALSE))))</f>
        <v>1.0326799999999999E-2</v>
      </c>
      <c r="AW54" s="94">
        <f>IF($B54&gt;20,IF(EIOPA_RFR!AW15&lt;0%,EIOPA_RFR!AW15,EIOPA_RFR!AW15*(1+VLOOKUP($B$71,Int_Rate_Param,3,FALSE))),IF(EIOPA_RFR!AW15&lt;0%,EIOPA_RFR!AW15,EIOPA_RFR!AW15*(1+VLOOKUP($B54,Int_Rate_Param,3,FALSE))))</f>
        <v>7.0795999999999993E-3</v>
      </c>
      <c r="AX54" s="94">
        <f>IF($B54&gt;20,IF(EIOPA_RFR!AX15&lt;0%,EIOPA_RFR!AX15,EIOPA_RFR!AX15*(1+VLOOKUP($B$71,Int_Rate_Param,3,FALSE))),IF(EIOPA_RFR!AX15&lt;0%,EIOPA_RFR!AX15,EIOPA_RFR!AX15*(1+VLOOKUP($B54,Int_Rate_Param,3,FALSE))))</f>
        <v>3.2023199999999995E-2</v>
      </c>
      <c r="AY54" s="94">
        <f>IF($B54&gt;20,IF(EIOPA_RFR!AY15&lt;0%,EIOPA_RFR!AY15,EIOPA_RFR!AY15*(1+VLOOKUP($B$71,Int_Rate_Param,3,FALSE))),IF(EIOPA_RFR!AY15&lt;0%,EIOPA_RFR!AY15,EIOPA_RFR!AY15*(1+VLOOKUP($B54,Int_Rate_Param,3,FALSE))))</f>
        <v>6.5779999999999988E-3</v>
      </c>
      <c r="AZ54" s="94">
        <f>IF($B54&gt;20,IF(EIOPA_RFR!AZ15&lt;0%,EIOPA_RFR!AZ15,EIOPA_RFR!AZ15*(1+VLOOKUP($B$71,Int_Rate_Param,3,FALSE))),IF(EIOPA_RFR!AZ15&lt;0%,EIOPA_RFR!AZ15,EIOPA_RFR!AZ15*(1+VLOOKUP($B54,Int_Rate_Param,3,FALSE))))</f>
        <v>2.7675999999999994E-3</v>
      </c>
      <c r="BA54" s="94">
        <f>IF($B54&gt;20,IF(EIOPA_RFR!BA15&lt;0%,EIOPA_RFR!BA15,EIOPA_RFR!BA15*(1+VLOOKUP($B$71,Int_Rate_Param,3,FALSE))),IF(EIOPA_RFR!BA15&lt;0%,EIOPA_RFR!BA15,EIOPA_RFR!BA15*(1+VLOOKUP($B54,Int_Rate_Param,3,FALSE))))</f>
        <v>7.7087999999999992E-3</v>
      </c>
      <c r="BB54" s="94">
        <f>IF($B54&gt;20,IF(EIOPA_RFR!BB15&lt;0%,EIOPA_RFR!BB15,EIOPA_RFR!BB15*(1+VLOOKUP($B$71,Int_Rate_Param,3,FALSE))),IF(EIOPA_RFR!BB15&lt;0%,EIOPA_RFR!BB15,EIOPA_RFR!BB15*(1+VLOOKUP($B54,Int_Rate_Param,3,FALSE))))</f>
        <v>5.1541599999999993E-2</v>
      </c>
      <c r="BC54" s="94">
        <f>IF($B54&gt;20,IF(EIOPA_RFR!BC15&lt;0%,EIOPA_RFR!BC15,EIOPA_RFR!BC15*(1+VLOOKUP($B$71,Int_Rate_Param,3,FALSE))),IF(EIOPA_RFR!BC15&lt;0%,EIOPA_RFR!BC15,EIOPA_RFR!BC15*(1+VLOOKUP($B54,Int_Rate_Param,3,FALSE))))</f>
        <v>7.299599999999999E-3</v>
      </c>
    </row>
    <row r="55" spans="1:55" x14ac:dyDescent="0.25">
      <c r="A55">
        <f t="shared" si="1"/>
        <v>6</v>
      </c>
      <c r="B55" s="95">
        <v>4</v>
      </c>
      <c r="C55" s="94">
        <f>IF($B55&gt;20,IF(EIOPA_RFR!C16&lt;0%,EIOPA_RFR!C16,EIOPA_RFR!C16*(1+VLOOKUP($B$71,Int_Rate_Param,3,FALSE))),IF(EIOPA_RFR!C16&lt;0%,EIOPA_RFR!C16,EIOPA_RFR!C16*(1+VLOOKUP($B55,Int_Rate_Param,3,FALSE))))</f>
        <v>-3.2000000000000003E-4</v>
      </c>
      <c r="D55" s="94">
        <f>IF($B55&gt;20,IF(EIOPA_RFR!D16&lt;0%,EIOPA_RFR!D16,EIOPA_RFR!D16*(1+VLOOKUP($B$71,Int_Rate_Param,3,FALSE))),IF(EIOPA_RFR!D16&lt;0%,EIOPA_RFR!D16,EIOPA_RFR!D16*(1+VLOOKUP($B55,Int_Rate_Param,3,FALSE))))</f>
        <v>-3.2000000000000003E-4</v>
      </c>
      <c r="E55" s="94">
        <f>IF($B55&gt;20,IF(EIOPA_RFR!E16&lt;0%,EIOPA_RFR!E16,EIOPA_RFR!E16*(1+VLOOKUP($B$71,Int_Rate_Param,3,FALSE))),IF(EIOPA_RFR!E16&lt;0%,EIOPA_RFR!E16,EIOPA_RFR!E16*(1+VLOOKUP($B55,Int_Rate_Param,3,FALSE))))</f>
        <v>-3.2000000000000003E-4</v>
      </c>
      <c r="F55" s="94">
        <f>IF($B55&gt;20,IF(EIOPA_RFR!F16&lt;0%,EIOPA_RFR!F16,EIOPA_RFR!F16*(1+VLOOKUP($B$71,Int_Rate_Param,3,FALSE))),IF(EIOPA_RFR!F16&lt;0%,EIOPA_RFR!F16,EIOPA_RFR!F16*(1+VLOOKUP($B55,Int_Rate_Param,3,FALSE))))</f>
        <v>-8.1999999999999998E-4</v>
      </c>
      <c r="G55" s="94">
        <f>IF($B55&gt;20,IF(EIOPA_RFR!G16&lt;0%,EIOPA_RFR!G16,EIOPA_RFR!G16*(1+VLOOKUP($B$71,Int_Rate_Param,3,FALSE))),IF(EIOPA_RFR!G16&lt;0%,EIOPA_RFR!G16,EIOPA_RFR!G16*(1+VLOOKUP($B55,Int_Rate_Param,3,FALSE))))</f>
        <v>1.0265E-2</v>
      </c>
      <c r="H55" s="94">
        <f>IF($B55&gt;20,IF(EIOPA_RFR!H16&lt;0%,EIOPA_RFR!H16,EIOPA_RFR!H16*(1+VLOOKUP($B$71,Int_Rate_Param,3,FALSE))),IF(EIOPA_RFR!H16&lt;0%,EIOPA_RFR!H16,EIOPA_RFR!H16*(1+VLOOKUP($B55,Int_Rate_Param,3,FALSE))))</f>
        <v>-3.2000000000000003E-4</v>
      </c>
      <c r="I55" s="94">
        <f>IF($B55&gt;20,IF(EIOPA_RFR!I16&lt;0%,EIOPA_RFR!I16,EIOPA_RFR!I16*(1+VLOOKUP($B$71,Int_Rate_Param,3,FALSE))),IF(EIOPA_RFR!I16&lt;0%,EIOPA_RFR!I16,EIOPA_RFR!I16*(1+VLOOKUP($B55,Int_Rate_Param,3,FALSE))))</f>
        <v>2.5850000000000001E-3</v>
      </c>
      <c r="J55" s="94">
        <f>IF($B55&gt;20,IF(EIOPA_RFR!J16&lt;0%,EIOPA_RFR!J16,EIOPA_RFR!J16*(1+VLOOKUP($B$71,Int_Rate_Param,3,FALSE))),IF(EIOPA_RFR!J16&lt;0%,EIOPA_RFR!J16,EIOPA_RFR!J16*(1+VLOOKUP($B55,Int_Rate_Param,3,FALSE))))</f>
        <v>-4.2000000000000002E-4</v>
      </c>
      <c r="K55" s="94">
        <f>IF($B55&gt;20,IF(EIOPA_RFR!K16&lt;0%,EIOPA_RFR!K16,EIOPA_RFR!K16*(1+VLOOKUP($B$71,Int_Rate_Param,3,FALSE))),IF(EIOPA_RFR!K16&lt;0%,EIOPA_RFR!K16,EIOPA_RFR!K16*(1+VLOOKUP($B55,Int_Rate_Param,3,FALSE))))</f>
        <v>-3.2000000000000003E-4</v>
      </c>
      <c r="L55" s="94">
        <f>IF($B55&gt;20,IF(EIOPA_RFR!L16&lt;0%,EIOPA_RFR!L16,EIOPA_RFR!L16*(1+VLOOKUP($B$71,Int_Rate_Param,3,FALSE))),IF(EIOPA_RFR!L16&lt;0%,EIOPA_RFR!L16,EIOPA_RFR!L16*(1+VLOOKUP($B55,Int_Rate_Param,3,FALSE))))</f>
        <v>-3.2000000000000003E-4</v>
      </c>
      <c r="M55" s="94">
        <f>IF($B55&gt;20,IF(EIOPA_RFR!M16&lt;0%,EIOPA_RFR!M16,EIOPA_RFR!M16*(1+VLOOKUP($B$71,Int_Rate_Param,3,FALSE))),IF(EIOPA_RFR!M16&lt;0%,EIOPA_RFR!M16,EIOPA_RFR!M16*(1+VLOOKUP($B55,Int_Rate_Param,3,FALSE))))</f>
        <v>-3.2000000000000003E-4</v>
      </c>
      <c r="N55" s="94">
        <f>IF($B55&gt;20,IF(EIOPA_RFR!N16&lt;0%,EIOPA_RFR!N16,EIOPA_RFR!N16*(1+VLOOKUP($B$71,Int_Rate_Param,3,FALSE))),IF(EIOPA_RFR!N16&lt;0%,EIOPA_RFR!N16,EIOPA_RFR!N16*(1+VLOOKUP($B55,Int_Rate_Param,3,FALSE))))</f>
        <v>-3.2000000000000003E-4</v>
      </c>
      <c r="O55" s="94">
        <f>IF($B55&gt;20,IF(EIOPA_RFR!O16&lt;0%,EIOPA_RFR!O16,EIOPA_RFR!O16*(1+VLOOKUP($B$71,Int_Rate_Param,3,FALSE))),IF(EIOPA_RFR!O16&lt;0%,EIOPA_RFR!O16,EIOPA_RFR!O16*(1+VLOOKUP($B55,Int_Rate_Param,3,FALSE))))</f>
        <v>-3.2000000000000003E-4</v>
      </c>
      <c r="P55" s="94">
        <f>IF($B55&gt;20,IF(EIOPA_RFR!P16&lt;0%,EIOPA_RFR!P16,EIOPA_RFR!P16*(1+VLOOKUP($B$71,Int_Rate_Param,3,FALSE))),IF(EIOPA_RFR!P16&lt;0%,EIOPA_RFR!P16,EIOPA_RFR!P16*(1+VLOOKUP($B55,Int_Rate_Param,3,FALSE))))</f>
        <v>6.8500000000000002E-3</v>
      </c>
      <c r="Q55" s="94">
        <f>IF($B55&gt;20,IF(EIOPA_RFR!Q16&lt;0%,EIOPA_RFR!Q16,EIOPA_RFR!Q16*(1+VLOOKUP($B$71,Int_Rate_Param,3,FALSE))),IF(EIOPA_RFR!Q16&lt;0%,EIOPA_RFR!Q16,EIOPA_RFR!Q16*(1+VLOOKUP($B55,Int_Rate_Param,3,FALSE))))</f>
        <v>2.41E-2</v>
      </c>
      <c r="R55" s="94">
        <f>IF($B55&gt;20,IF(EIOPA_RFR!R16&lt;0%,EIOPA_RFR!R16,EIOPA_RFR!R16*(1+VLOOKUP($B$71,Int_Rate_Param,3,FALSE))),IF(EIOPA_RFR!R16&lt;0%,EIOPA_RFR!R16,EIOPA_RFR!R16*(1+VLOOKUP($B55,Int_Rate_Param,3,FALSE))))</f>
        <v>-3.2000000000000003E-4</v>
      </c>
      <c r="S55" s="94">
        <f>IF($B55&gt;20,IF(EIOPA_RFR!S16&lt;0%,EIOPA_RFR!S16,EIOPA_RFR!S16*(1+VLOOKUP($B$71,Int_Rate_Param,3,FALSE))),IF(EIOPA_RFR!S16&lt;0%,EIOPA_RFR!S16,EIOPA_RFR!S16*(1+VLOOKUP($B55,Int_Rate_Param,3,FALSE))))</f>
        <v>-3.2000000000000003E-4</v>
      </c>
      <c r="T55" s="94">
        <f>IF($B55&gt;20,IF(EIOPA_RFR!T16&lt;0%,EIOPA_RFR!T16,EIOPA_RFR!T16*(1+VLOOKUP($B$71,Int_Rate_Param,3,FALSE))),IF(EIOPA_RFR!T16&lt;0%,EIOPA_RFR!T16,EIOPA_RFR!T16*(1+VLOOKUP($B55,Int_Rate_Param,3,FALSE))))</f>
        <v>-3.2000000000000003E-4</v>
      </c>
      <c r="U55" s="94">
        <f>IF($B55&gt;20,IF(EIOPA_RFR!U16&lt;0%,EIOPA_RFR!U16,EIOPA_RFR!U16*(1+VLOOKUP($B$71,Int_Rate_Param,3,FALSE))),IF(EIOPA_RFR!U16&lt;0%,EIOPA_RFR!U16,EIOPA_RFR!U16*(1+VLOOKUP($B55,Int_Rate_Param,3,FALSE))))</f>
        <v>-5.45E-3</v>
      </c>
      <c r="V55" s="94">
        <f>IF($B55&gt;20,IF(EIOPA_RFR!V16&lt;0%,EIOPA_RFR!V16,EIOPA_RFR!V16*(1+VLOOKUP($B$71,Int_Rate_Param,3,FALSE))),IF(EIOPA_RFR!V16&lt;0%,EIOPA_RFR!V16,EIOPA_RFR!V16*(1+VLOOKUP($B55,Int_Rate_Param,3,FALSE))))</f>
        <v>-3.2000000000000003E-4</v>
      </c>
      <c r="W55" s="94">
        <f>IF($B55&gt;20,IF(EIOPA_RFR!W16&lt;0%,EIOPA_RFR!W16,EIOPA_RFR!W16*(1+VLOOKUP($B$71,Int_Rate_Param,3,FALSE))),IF(EIOPA_RFR!W16&lt;0%,EIOPA_RFR!W16,EIOPA_RFR!W16*(1+VLOOKUP($B55,Int_Rate_Param,3,FALSE))))</f>
        <v>-3.2000000000000003E-4</v>
      </c>
      <c r="X55" s="94">
        <f>IF($B55&gt;20,IF(EIOPA_RFR!X16&lt;0%,EIOPA_RFR!X16,EIOPA_RFR!X16*(1+VLOOKUP($B$71,Int_Rate_Param,3,FALSE))),IF(EIOPA_RFR!X16&lt;0%,EIOPA_RFR!X16,EIOPA_RFR!X16*(1+VLOOKUP($B55,Int_Rate_Param,3,FALSE))))</f>
        <v>-3.2000000000000003E-4</v>
      </c>
      <c r="Y55" s="94">
        <f>IF($B55&gt;20,IF(EIOPA_RFR!Y16&lt;0%,EIOPA_RFR!Y16,EIOPA_RFR!Y16*(1+VLOOKUP($B$71,Int_Rate_Param,3,FALSE))),IF(EIOPA_RFR!Y16&lt;0%,EIOPA_RFR!Y16,EIOPA_RFR!Y16*(1+VLOOKUP($B55,Int_Rate_Param,3,FALSE))))</f>
        <v>-3.2000000000000003E-4</v>
      </c>
      <c r="Z55" s="94">
        <f>IF($B55&gt;20,IF(EIOPA_RFR!Z16&lt;0%,EIOPA_RFR!Z16,EIOPA_RFR!Z16*(1+VLOOKUP($B$71,Int_Rate_Param,3,FALSE))),IF(EIOPA_RFR!Z16&lt;0%,EIOPA_RFR!Z16,EIOPA_RFR!Z16*(1+VLOOKUP($B55,Int_Rate_Param,3,FALSE))))</f>
        <v>6.4450000000000002E-3</v>
      </c>
      <c r="AA55" s="94">
        <f>IF($B55&gt;20,IF(EIOPA_RFR!AA16&lt;0%,EIOPA_RFR!AA16,EIOPA_RFR!AA16*(1+VLOOKUP($B$71,Int_Rate_Param,3,FALSE))),IF(EIOPA_RFR!AA16&lt;0%,EIOPA_RFR!AA16,EIOPA_RFR!AA16*(1+VLOOKUP($B55,Int_Rate_Param,3,FALSE))))</f>
        <v>1.2525E-2</v>
      </c>
      <c r="AB55" s="94">
        <f>IF($B55&gt;20,IF(EIOPA_RFR!AB16&lt;0%,EIOPA_RFR!AB16,EIOPA_RFR!AB16*(1+VLOOKUP($B$71,Int_Rate_Param,3,FALSE))),IF(EIOPA_RFR!AB16&lt;0%,EIOPA_RFR!AB16,EIOPA_RFR!AB16*(1+VLOOKUP($B55,Int_Rate_Param,3,FALSE))))</f>
        <v>-3.2000000000000003E-4</v>
      </c>
      <c r="AC55" s="94">
        <f>IF($B55&gt;20,IF(EIOPA_RFR!AC16&lt;0%,EIOPA_RFR!AC16,EIOPA_RFR!AC16*(1+VLOOKUP($B$71,Int_Rate_Param,3,FALSE))),IF(EIOPA_RFR!AC16&lt;0%,EIOPA_RFR!AC16,EIOPA_RFR!AC16*(1+VLOOKUP($B55,Int_Rate_Param,3,FALSE))))</f>
        <v>1.1945000000000001E-2</v>
      </c>
      <c r="AD55" s="94">
        <f>IF($B55&gt;20,IF(EIOPA_RFR!AD16&lt;0%,EIOPA_RFR!AD16,EIOPA_RFR!AD16*(1+VLOOKUP($B$71,Int_Rate_Param,3,FALSE))),IF(EIOPA_RFR!AD16&lt;0%,EIOPA_RFR!AD16,EIOPA_RFR!AD16*(1+VLOOKUP($B55,Int_Rate_Param,3,FALSE))))</f>
        <v>4.1200000000000001E-2</v>
      </c>
      <c r="AE55" s="94">
        <f>IF($B55&gt;20,IF(EIOPA_RFR!AE16&lt;0%,EIOPA_RFR!AE16,EIOPA_RFR!AE16*(1+VLOOKUP($B$71,Int_Rate_Param,3,FALSE))),IF(EIOPA_RFR!AE16&lt;0%,EIOPA_RFR!AE16,EIOPA_RFR!AE16*(1+VLOOKUP($B55,Int_Rate_Param,3,FALSE))))</f>
        <v>-3.2000000000000003E-4</v>
      </c>
      <c r="AF55" s="94">
        <f>IF($B55&gt;20,IF(EIOPA_RFR!AF16&lt;0%,EIOPA_RFR!AF16,EIOPA_RFR!AF16*(1+VLOOKUP($B$71,Int_Rate_Param,3,FALSE))),IF(EIOPA_RFR!AF16&lt;0%,EIOPA_RFR!AF16,EIOPA_RFR!AF16*(1+VLOOKUP($B55,Int_Rate_Param,3,FALSE))))</f>
        <v>-3.2000000000000003E-4</v>
      </c>
      <c r="AG55" s="94">
        <f>IF($B55&gt;20,IF(EIOPA_RFR!AG16&lt;0%,EIOPA_RFR!AG16,EIOPA_RFR!AG16*(1+VLOOKUP($B$71,Int_Rate_Param,3,FALSE))),IF(EIOPA_RFR!AG16&lt;0%,EIOPA_RFR!AG16,EIOPA_RFR!AG16*(1+VLOOKUP($B55,Int_Rate_Param,3,FALSE))))</f>
        <v>-3.2000000000000003E-4</v>
      </c>
      <c r="AH55" s="94">
        <f>IF($B55&gt;20,IF(EIOPA_RFR!AH16&lt;0%,EIOPA_RFR!AH16,EIOPA_RFR!AH16*(1+VLOOKUP($B$71,Int_Rate_Param,3,FALSE))),IF(EIOPA_RFR!AH16&lt;0%,EIOPA_RFR!AH16,EIOPA_RFR!AH16*(1+VLOOKUP($B55,Int_Rate_Param,3,FALSE))))</f>
        <v>1.95E-4</v>
      </c>
      <c r="AI55" s="94">
        <f>IF($B55&gt;20,IF(EIOPA_RFR!AI16&lt;0%,EIOPA_RFR!AI16,EIOPA_RFR!AI16*(1+VLOOKUP($B$71,Int_Rate_Param,3,FALSE))),IF(EIOPA_RFR!AI16&lt;0%,EIOPA_RFR!AI16,EIOPA_RFR!AI16*(1+VLOOKUP($B55,Int_Rate_Param,3,FALSE))))</f>
        <v>-5.45E-3</v>
      </c>
      <c r="AJ55" s="94">
        <f>IF($B55&gt;20,IF(EIOPA_RFR!AJ16&lt;0%,EIOPA_RFR!AJ16,EIOPA_RFR!AJ16*(1+VLOOKUP($B$71,Int_Rate_Param,3,FALSE))),IF(EIOPA_RFR!AJ16&lt;0%,EIOPA_RFR!AJ16,EIOPA_RFR!AJ16*(1+VLOOKUP($B55,Int_Rate_Param,3,FALSE))))</f>
        <v>3.045E-3</v>
      </c>
      <c r="AK55" s="94">
        <f>IF($B55&gt;20,IF(EIOPA_RFR!AK16&lt;0%,EIOPA_RFR!AK16,EIOPA_RFR!AK16*(1+VLOOKUP($B$71,Int_Rate_Param,3,FALSE))),IF(EIOPA_RFR!AK16&lt;0%,EIOPA_RFR!AK16,EIOPA_RFR!AK16*(1+VLOOKUP($B55,Int_Rate_Param,3,FALSE))))</f>
        <v>1.1140000000000001E-2</v>
      </c>
      <c r="AL55" s="94">
        <f>IF($B55&gt;20,IF(EIOPA_RFR!AL16&lt;0%,EIOPA_RFR!AL16,EIOPA_RFR!AL16*(1+VLOOKUP($B$71,Int_Rate_Param,3,FALSE))),IF(EIOPA_RFR!AL16&lt;0%,EIOPA_RFR!AL16,EIOPA_RFR!AL16*(1+VLOOKUP($B55,Int_Rate_Param,3,FALSE))))</f>
        <v>4.5990000000000003E-2</v>
      </c>
      <c r="AM55" s="94">
        <f>IF($B55&gt;20,IF(EIOPA_RFR!AM16&lt;0%,EIOPA_RFR!AM16,EIOPA_RFR!AM16*(1+VLOOKUP($B$71,Int_Rate_Param,3,FALSE))),IF(EIOPA_RFR!AM16&lt;0%,EIOPA_RFR!AM16,EIOPA_RFR!AM16*(1+VLOOKUP($B55,Int_Rate_Param,3,FALSE))))</f>
        <v>5.7999999999999996E-3</v>
      </c>
      <c r="AN55" s="94">
        <f>IF($B55&gt;20,IF(EIOPA_RFR!AN16&lt;0%,EIOPA_RFR!AN16,EIOPA_RFR!AN16*(1+VLOOKUP($B$71,Int_Rate_Param,3,FALSE))),IF(EIOPA_RFR!AN16&lt;0%,EIOPA_RFR!AN16,EIOPA_RFR!AN16*(1+VLOOKUP($B55,Int_Rate_Param,3,FALSE))))</f>
        <v>1.5559999999999999E-2</v>
      </c>
      <c r="AO55" s="94">
        <f>IF($B55&gt;20,IF(EIOPA_RFR!AO16&lt;0%,EIOPA_RFR!AO16,EIOPA_RFR!AO16*(1+VLOOKUP($B$71,Int_Rate_Param,3,FALSE))),IF(EIOPA_RFR!AO16&lt;0%,EIOPA_RFR!AO16,EIOPA_RFR!AO16*(1+VLOOKUP($B55,Int_Rate_Param,3,FALSE))))</f>
        <v>1.7649999999999999E-2</v>
      </c>
      <c r="AP55" s="94">
        <f>IF($B55&gt;20,IF(EIOPA_RFR!AP16&lt;0%,EIOPA_RFR!AP16,EIOPA_RFR!AP16*(1+VLOOKUP($B$71,Int_Rate_Param,3,FALSE))),IF(EIOPA_RFR!AP16&lt;0%,EIOPA_RFR!AP16,EIOPA_RFR!AP16*(1+VLOOKUP($B55,Int_Rate_Param,3,FALSE))))</f>
        <v>2.8035000000000001E-2</v>
      </c>
      <c r="AQ55" s="94">
        <f>IF($B55&gt;20,IF(EIOPA_RFR!AQ16&lt;0%,EIOPA_RFR!AQ16,EIOPA_RFR!AQ16*(1+VLOOKUP($B$71,Int_Rate_Param,3,FALSE))),IF(EIOPA_RFR!AQ16&lt;0%,EIOPA_RFR!AQ16,EIOPA_RFR!AQ16*(1+VLOOKUP($B55,Int_Rate_Param,3,FALSE))))</f>
        <v>8.7550000000000006E-3</v>
      </c>
      <c r="AR55" s="94">
        <f>IF($B55&gt;20,IF(EIOPA_RFR!AR16&lt;0%,EIOPA_RFR!AR16,EIOPA_RFR!AR16*(1+VLOOKUP($B$71,Int_Rate_Param,3,FALSE))),IF(EIOPA_RFR!AR16&lt;0%,EIOPA_RFR!AR16,EIOPA_RFR!AR16*(1+VLOOKUP($B55,Int_Rate_Param,3,FALSE))))</f>
        <v>3.1434999999999998E-2</v>
      </c>
      <c r="AS55" s="94">
        <f>IF($B55&gt;20,IF(EIOPA_RFR!AS16&lt;0%,EIOPA_RFR!AS16,EIOPA_RFR!AS16*(1+VLOOKUP($B$71,Int_Rate_Param,3,FALSE))),IF(EIOPA_RFR!AS16&lt;0%,EIOPA_RFR!AS16,EIOPA_RFR!AS16*(1+VLOOKUP($B55,Int_Rate_Param,3,FALSE))))</f>
        <v>-1.8000000000000001E-4</v>
      </c>
      <c r="AT55" s="94">
        <f>IF($B55&gt;20,IF(EIOPA_RFR!AT16&lt;0%,EIOPA_RFR!AT16,EIOPA_RFR!AT16*(1+VLOOKUP($B$71,Int_Rate_Param,3,FALSE))),IF(EIOPA_RFR!AT16&lt;0%,EIOPA_RFR!AT16,EIOPA_RFR!AT16*(1+VLOOKUP($B55,Int_Rate_Param,3,FALSE))))</f>
        <v>1.8124999999999999E-2</v>
      </c>
      <c r="AU55" s="94">
        <f>IF($B55&gt;20,IF(EIOPA_RFR!AU16&lt;0%,EIOPA_RFR!AU16,EIOPA_RFR!AU16*(1+VLOOKUP($B$71,Int_Rate_Param,3,FALSE))),IF(EIOPA_RFR!AU16&lt;0%,EIOPA_RFR!AU16,EIOPA_RFR!AU16*(1+VLOOKUP($B55,Int_Rate_Param,3,FALSE))))</f>
        <v>3.5235000000000002E-2</v>
      </c>
      <c r="AV55" s="94">
        <f>IF($B55&gt;20,IF(EIOPA_RFR!AV16&lt;0%,EIOPA_RFR!AV16,EIOPA_RFR!AV16*(1+VLOOKUP($B$71,Int_Rate_Param,3,FALSE))),IF(EIOPA_RFR!AV16&lt;0%,EIOPA_RFR!AV16,EIOPA_RFR!AV16*(1+VLOOKUP($B55,Int_Rate_Param,3,FALSE))))</f>
        <v>1.278E-2</v>
      </c>
      <c r="AW55" s="94">
        <f>IF($B55&gt;20,IF(EIOPA_RFR!AW16&lt;0%,EIOPA_RFR!AW16,EIOPA_RFR!AW16*(1+VLOOKUP($B$71,Int_Rate_Param,3,FALSE))),IF(EIOPA_RFR!AW16&lt;0%,EIOPA_RFR!AW16,EIOPA_RFR!AW16*(1+VLOOKUP($B55,Int_Rate_Param,3,FALSE))))</f>
        <v>8.9350000000000002E-3</v>
      </c>
      <c r="AX55" s="94">
        <f>IF($B55&gt;20,IF(EIOPA_RFR!AX16&lt;0%,EIOPA_RFR!AX16,EIOPA_RFR!AX16*(1+VLOOKUP($B$71,Int_Rate_Param,3,FALSE))),IF(EIOPA_RFR!AX16&lt;0%,EIOPA_RFR!AX16,EIOPA_RFR!AX16*(1+VLOOKUP($B55,Int_Rate_Param,3,FALSE))))</f>
        <v>3.7089999999999998E-2</v>
      </c>
      <c r="AY55" s="94">
        <f>IF($B55&gt;20,IF(EIOPA_RFR!AY16&lt;0%,EIOPA_RFR!AY16,EIOPA_RFR!AY16*(1+VLOOKUP($B$71,Int_Rate_Param,3,FALSE))),IF(EIOPA_RFR!AY16&lt;0%,EIOPA_RFR!AY16,EIOPA_RFR!AY16*(1+VLOOKUP($B55,Int_Rate_Param,3,FALSE))))</f>
        <v>7.77E-3</v>
      </c>
      <c r="AZ55" s="94">
        <f>IF($B55&gt;20,IF(EIOPA_RFR!AZ16&lt;0%,EIOPA_RFR!AZ16,EIOPA_RFR!AZ16*(1+VLOOKUP($B$71,Int_Rate_Param,3,FALSE))),IF(EIOPA_RFR!AZ16&lt;0%,EIOPA_RFR!AZ16,EIOPA_RFR!AZ16*(1+VLOOKUP($B55,Int_Rate_Param,3,FALSE))))</f>
        <v>3.5750000000000001E-3</v>
      </c>
      <c r="BA55" s="94">
        <f>IF($B55&gt;20,IF(EIOPA_RFR!BA16&lt;0%,EIOPA_RFR!BA16,EIOPA_RFR!BA16*(1+VLOOKUP($B$71,Int_Rate_Param,3,FALSE))),IF(EIOPA_RFR!BA16&lt;0%,EIOPA_RFR!BA16,EIOPA_RFR!BA16*(1+VLOOKUP($B55,Int_Rate_Param,3,FALSE))))</f>
        <v>9.6399999999999993E-3</v>
      </c>
      <c r="BB55" s="94">
        <f>IF($B55&gt;20,IF(EIOPA_RFR!BB16&lt;0%,EIOPA_RFR!BB16,EIOPA_RFR!BB16*(1+VLOOKUP($B$71,Int_Rate_Param,3,FALSE))),IF(EIOPA_RFR!BB16&lt;0%,EIOPA_RFR!BB16,EIOPA_RFR!BB16*(1+VLOOKUP($B55,Int_Rate_Param,3,FALSE))))</f>
        <v>5.8025E-2</v>
      </c>
      <c r="BC55" s="94">
        <f>IF($B55&gt;20,IF(EIOPA_RFR!BC16&lt;0%,EIOPA_RFR!BC16,EIOPA_RFR!BC16*(1+VLOOKUP($B$71,Int_Rate_Param,3,FALSE))),IF(EIOPA_RFR!BC16&lt;0%,EIOPA_RFR!BC16,EIOPA_RFR!BC16*(1+VLOOKUP($B55,Int_Rate_Param,3,FALSE))))</f>
        <v>9.0050000000000009E-3</v>
      </c>
    </row>
    <row r="56" spans="1:55" x14ac:dyDescent="0.25">
      <c r="A56">
        <f t="shared" si="1"/>
        <v>7</v>
      </c>
      <c r="B56" s="95">
        <v>5</v>
      </c>
      <c r="C56" s="94">
        <f>IF($B56&gt;20,IF(EIOPA_RFR!C17&lt;0%,EIOPA_RFR!C17,EIOPA_RFR!C17*(1+VLOOKUP($B$71,Int_Rate_Param,3,FALSE))),IF(EIOPA_RFR!C17&lt;0%,EIOPA_RFR!C17,EIOPA_RFR!C17*(1+VLOOKUP($B56,Int_Rate_Param,3,FALSE))))</f>
        <v>4.4280000000000003E-4</v>
      </c>
      <c r="D56" s="94">
        <f>IF($B56&gt;20,IF(EIOPA_RFR!D17&lt;0%,EIOPA_RFR!D17,EIOPA_RFR!D17*(1+VLOOKUP($B$71,Int_Rate_Param,3,FALSE))),IF(EIOPA_RFR!D17&lt;0%,EIOPA_RFR!D17,EIOPA_RFR!D17*(1+VLOOKUP($B56,Int_Rate_Param,3,FALSE))))</f>
        <v>4.4280000000000003E-4</v>
      </c>
      <c r="E56" s="94">
        <f>IF($B56&gt;20,IF(EIOPA_RFR!E17&lt;0%,EIOPA_RFR!E17,EIOPA_RFR!E17*(1+VLOOKUP($B$71,Int_Rate_Param,3,FALSE))),IF(EIOPA_RFR!E17&lt;0%,EIOPA_RFR!E17,EIOPA_RFR!E17*(1+VLOOKUP($B56,Int_Rate_Param,3,FALSE))))</f>
        <v>4.4280000000000003E-4</v>
      </c>
      <c r="F56" s="94">
        <f>IF($B56&gt;20,IF(EIOPA_RFR!F17&lt;0%,EIOPA_RFR!F17,EIOPA_RFR!F17*(1+VLOOKUP($B$71,Int_Rate_Param,3,FALSE))),IF(EIOPA_RFR!F17&lt;0%,EIOPA_RFR!F17,EIOPA_RFR!F17*(1+VLOOKUP($B56,Int_Rate_Param,3,FALSE))))</f>
        <v>1.7280000000000003E-4</v>
      </c>
      <c r="G56" s="94">
        <f>IF($B56&gt;20,IF(EIOPA_RFR!G17&lt;0%,EIOPA_RFR!G17,EIOPA_RFR!G17*(1+VLOOKUP($B$71,Int_Rate_Param,3,FALSE))),IF(EIOPA_RFR!G17&lt;0%,EIOPA_RFR!G17,EIOPA_RFR!G17*(1+VLOOKUP($B56,Int_Rate_Param,3,FALSE))))</f>
        <v>1.2587400000000002E-2</v>
      </c>
      <c r="H56" s="94">
        <f>IF($B56&gt;20,IF(EIOPA_RFR!H17&lt;0%,EIOPA_RFR!H17,EIOPA_RFR!H17*(1+VLOOKUP($B$71,Int_Rate_Param,3,FALSE))),IF(EIOPA_RFR!H17&lt;0%,EIOPA_RFR!H17,EIOPA_RFR!H17*(1+VLOOKUP($B56,Int_Rate_Param,3,FALSE))))</f>
        <v>4.4280000000000003E-4</v>
      </c>
      <c r="I56" s="94">
        <f>IF($B56&gt;20,IF(EIOPA_RFR!I17&lt;0%,EIOPA_RFR!I17,EIOPA_RFR!I17*(1+VLOOKUP($B$71,Int_Rate_Param,3,FALSE))),IF(EIOPA_RFR!I17&lt;0%,EIOPA_RFR!I17,EIOPA_RFR!I17*(1+VLOOKUP($B56,Int_Rate_Param,3,FALSE))))</f>
        <v>3.2508000000000003E-3</v>
      </c>
      <c r="J56" s="94">
        <f>IF($B56&gt;20,IF(EIOPA_RFR!J17&lt;0%,EIOPA_RFR!J17,EIOPA_RFR!J17*(1+VLOOKUP($B$71,Int_Rate_Param,3,FALSE))),IF(EIOPA_RFR!J17&lt;0%,EIOPA_RFR!J17,EIOPA_RFR!J17*(1+VLOOKUP($B56,Int_Rate_Param,3,FALSE))))</f>
        <v>3.8880000000000007E-4</v>
      </c>
      <c r="K56" s="94">
        <f>IF($B56&gt;20,IF(EIOPA_RFR!K17&lt;0%,EIOPA_RFR!K17,EIOPA_RFR!K17*(1+VLOOKUP($B$71,Int_Rate_Param,3,FALSE))),IF(EIOPA_RFR!K17&lt;0%,EIOPA_RFR!K17,EIOPA_RFR!K17*(1+VLOOKUP($B56,Int_Rate_Param,3,FALSE))))</f>
        <v>4.4280000000000003E-4</v>
      </c>
      <c r="L56" s="94">
        <f>IF($B56&gt;20,IF(EIOPA_RFR!L17&lt;0%,EIOPA_RFR!L17,EIOPA_RFR!L17*(1+VLOOKUP($B$71,Int_Rate_Param,3,FALSE))),IF(EIOPA_RFR!L17&lt;0%,EIOPA_RFR!L17,EIOPA_RFR!L17*(1+VLOOKUP($B56,Int_Rate_Param,3,FALSE))))</f>
        <v>4.4280000000000003E-4</v>
      </c>
      <c r="M56" s="94">
        <f>IF($B56&gt;20,IF(EIOPA_RFR!M17&lt;0%,EIOPA_RFR!M17,EIOPA_RFR!M17*(1+VLOOKUP($B$71,Int_Rate_Param,3,FALSE))),IF(EIOPA_RFR!M17&lt;0%,EIOPA_RFR!M17,EIOPA_RFR!M17*(1+VLOOKUP($B56,Int_Rate_Param,3,FALSE))))</f>
        <v>4.4280000000000003E-4</v>
      </c>
      <c r="N56" s="94">
        <f>IF($B56&gt;20,IF(EIOPA_RFR!N17&lt;0%,EIOPA_RFR!N17,EIOPA_RFR!N17*(1+VLOOKUP($B$71,Int_Rate_Param,3,FALSE))),IF(EIOPA_RFR!N17&lt;0%,EIOPA_RFR!N17,EIOPA_RFR!N17*(1+VLOOKUP($B56,Int_Rate_Param,3,FALSE))))</f>
        <v>4.4280000000000003E-4</v>
      </c>
      <c r="O56" s="94">
        <f>IF($B56&gt;20,IF(EIOPA_RFR!O17&lt;0%,EIOPA_RFR!O17,EIOPA_RFR!O17*(1+VLOOKUP($B$71,Int_Rate_Param,3,FALSE))),IF(EIOPA_RFR!O17&lt;0%,EIOPA_RFR!O17,EIOPA_RFR!O17*(1+VLOOKUP($B56,Int_Rate_Param,3,FALSE))))</f>
        <v>4.4280000000000003E-4</v>
      </c>
      <c r="P56" s="94">
        <f>IF($B56&gt;20,IF(EIOPA_RFR!P17&lt;0%,EIOPA_RFR!P17,EIOPA_RFR!P17*(1+VLOOKUP($B$71,Int_Rate_Param,3,FALSE))),IF(EIOPA_RFR!P17&lt;0%,EIOPA_RFR!P17,EIOPA_RFR!P17*(1+VLOOKUP($B56,Int_Rate_Param,3,FALSE))))</f>
        <v>9.9576000000000022E-3</v>
      </c>
      <c r="Q56" s="94">
        <f>IF($B56&gt;20,IF(EIOPA_RFR!Q17&lt;0%,EIOPA_RFR!Q17,EIOPA_RFR!Q17*(1+VLOOKUP($B$71,Int_Rate_Param,3,FALSE))),IF(EIOPA_RFR!Q17&lt;0%,EIOPA_RFR!Q17,EIOPA_RFR!Q17*(1+VLOOKUP($B56,Int_Rate_Param,3,FALSE))))</f>
        <v>2.5898400000000002E-2</v>
      </c>
      <c r="R56" s="94">
        <f>IF($B56&gt;20,IF(EIOPA_RFR!R17&lt;0%,EIOPA_RFR!R17,EIOPA_RFR!R17*(1+VLOOKUP($B$71,Int_Rate_Param,3,FALSE))),IF(EIOPA_RFR!R17&lt;0%,EIOPA_RFR!R17,EIOPA_RFR!R17*(1+VLOOKUP($B56,Int_Rate_Param,3,FALSE))))</f>
        <v>4.4280000000000003E-4</v>
      </c>
      <c r="S56" s="94">
        <f>IF($B56&gt;20,IF(EIOPA_RFR!S17&lt;0%,EIOPA_RFR!S17,EIOPA_RFR!S17*(1+VLOOKUP($B$71,Int_Rate_Param,3,FALSE))),IF(EIOPA_RFR!S17&lt;0%,EIOPA_RFR!S17,EIOPA_RFR!S17*(1+VLOOKUP($B56,Int_Rate_Param,3,FALSE))))</f>
        <v>4.4280000000000003E-4</v>
      </c>
      <c r="T56" s="94">
        <f>IF($B56&gt;20,IF(EIOPA_RFR!T17&lt;0%,EIOPA_RFR!T17,EIOPA_RFR!T17*(1+VLOOKUP($B$71,Int_Rate_Param,3,FALSE))),IF(EIOPA_RFR!T17&lt;0%,EIOPA_RFR!T17,EIOPA_RFR!T17*(1+VLOOKUP($B56,Int_Rate_Param,3,FALSE))))</f>
        <v>4.4280000000000003E-4</v>
      </c>
      <c r="U56" s="94">
        <f>IF($B56&gt;20,IF(EIOPA_RFR!U17&lt;0%,EIOPA_RFR!U17,EIOPA_RFR!U17*(1+VLOOKUP($B$71,Int_Rate_Param,3,FALSE))),IF(EIOPA_RFR!U17&lt;0%,EIOPA_RFR!U17,EIOPA_RFR!U17*(1+VLOOKUP($B56,Int_Rate_Param,3,FALSE))))</f>
        <v>-4.3800000000000002E-3</v>
      </c>
      <c r="V56" s="94">
        <f>IF($B56&gt;20,IF(EIOPA_RFR!V17&lt;0%,EIOPA_RFR!V17,EIOPA_RFR!V17*(1+VLOOKUP($B$71,Int_Rate_Param,3,FALSE))),IF(EIOPA_RFR!V17&lt;0%,EIOPA_RFR!V17,EIOPA_RFR!V17*(1+VLOOKUP($B56,Int_Rate_Param,3,FALSE))))</f>
        <v>4.4280000000000003E-4</v>
      </c>
      <c r="W56" s="94">
        <f>IF($B56&gt;20,IF(EIOPA_RFR!W17&lt;0%,EIOPA_RFR!W17,EIOPA_RFR!W17*(1+VLOOKUP($B$71,Int_Rate_Param,3,FALSE))),IF(EIOPA_RFR!W17&lt;0%,EIOPA_RFR!W17,EIOPA_RFR!W17*(1+VLOOKUP($B56,Int_Rate_Param,3,FALSE))))</f>
        <v>4.4280000000000003E-4</v>
      </c>
      <c r="X56" s="94">
        <f>IF($B56&gt;20,IF(EIOPA_RFR!X17&lt;0%,EIOPA_RFR!X17,EIOPA_RFR!X17*(1+VLOOKUP($B$71,Int_Rate_Param,3,FALSE))),IF(EIOPA_RFR!X17&lt;0%,EIOPA_RFR!X17,EIOPA_RFR!X17*(1+VLOOKUP($B56,Int_Rate_Param,3,FALSE))))</f>
        <v>4.4280000000000003E-4</v>
      </c>
      <c r="Y56" s="94">
        <f>IF($B56&gt;20,IF(EIOPA_RFR!Y17&lt;0%,EIOPA_RFR!Y17,EIOPA_RFR!Y17*(1+VLOOKUP($B$71,Int_Rate_Param,3,FALSE))),IF(EIOPA_RFR!Y17&lt;0%,EIOPA_RFR!Y17,EIOPA_RFR!Y17*(1+VLOOKUP($B56,Int_Rate_Param,3,FALSE))))</f>
        <v>4.4280000000000003E-4</v>
      </c>
      <c r="Z56" s="94">
        <f>IF($B56&gt;20,IF(EIOPA_RFR!Z17&lt;0%,EIOPA_RFR!Z17,EIOPA_RFR!Z17*(1+VLOOKUP($B$71,Int_Rate_Param,3,FALSE))),IF(EIOPA_RFR!Z17&lt;0%,EIOPA_RFR!Z17,EIOPA_RFR!Z17*(1+VLOOKUP($B56,Int_Rate_Param,3,FALSE))))</f>
        <v>7.5654000000000008E-3</v>
      </c>
      <c r="AA56" s="94">
        <f>IF($B56&gt;20,IF(EIOPA_RFR!AA17&lt;0%,EIOPA_RFR!AA17,EIOPA_RFR!AA17*(1+VLOOKUP($B$71,Int_Rate_Param,3,FALSE))),IF(EIOPA_RFR!AA17&lt;0%,EIOPA_RFR!AA17,EIOPA_RFR!AA17*(1+VLOOKUP($B56,Int_Rate_Param,3,FALSE))))</f>
        <v>1.4790600000000001E-2</v>
      </c>
      <c r="AB56" s="94">
        <f>IF($B56&gt;20,IF(EIOPA_RFR!AB17&lt;0%,EIOPA_RFR!AB17,EIOPA_RFR!AB17*(1+VLOOKUP($B$71,Int_Rate_Param,3,FALSE))),IF(EIOPA_RFR!AB17&lt;0%,EIOPA_RFR!AB17,EIOPA_RFR!AB17*(1+VLOOKUP($B56,Int_Rate_Param,3,FALSE))))</f>
        <v>4.4280000000000003E-4</v>
      </c>
      <c r="AC56" s="94">
        <f>IF($B56&gt;20,IF(EIOPA_RFR!AC17&lt;0%,EIOPA_RFR!AC17,EIOPA_RFR!AC17*(1+VLOOKUP($B$71,Int_Rate_Param,3,FALSE))),IF(EIOPA_RFR!AC17&lt;0%,EIOPA_RFR!AC17,EIOPA_RFR!AC17*(1+VLOOKUP($B56,Int_Rate_Param,3,FALSE))))</f>
        <v>1.5055199999999999E-2</v>
      </c>
      <c r="AD56" s="94">
        <f>IF($B56&gt;20,IF(EIOPA_RFR!AD17&lt;0%,EIOPA_RFR!AD17,EIOPA_RFR!AD17*(1+VLOOKUP($B$71,Int_Rate_Param,3,FALSE))),IF(EIOPA_RFR!AD17&lt;0%,EIOPA_RFR!AD17,EIOPA_RFR!AD17*(1+VLOOKUP($B56,Int_Rate_Param,3,FALSE))))</f>
        <v>4.3804800000000005E-2</v>
      </c>
      <c r="AE56" s="94">
        <f>IF($B56&gt;20,IF(EIOPA_RFR!AE17&lt;0%,EIOPA_RFR!AE17,EIOPA_RFR!AE17*(1+VLOOKUP($B$71,Int_Rate_Param,3,FALSE))),IF(EIOPA_RFR!AE17&lt;0%,EIOPA_RFR!AE17,EIOPA_RFR!AE17*(1+VLOOKUP($B56,Int_Rate_Param,3,FALSE))))</f>
        <v>4.4280000000000003E-4</v>
      </c>
      <c r="AF56" s="94">
        <f>IF($B56&gt;20,IF(EIOPA_RFR!AF17&lt;0%,EIOPA_RFR!AF17,EIOPA_RFR!AF17*(1+VLOOKUP($B$71,Int_Rate_Param,3,FALSE))),IF(EIOPA_RFR!AF17&lt;0%,EIOPA_RFR!AF17,EIOPA_RFR!AF17*(1+VLOOKUP($B56,Int_Rate_Param,3,FALSE))))</f>
        <v>4.4280000000000003E-4</v>
      </c>
      <c r="AG56" s="94">
        <f>IF($B56&gt;20,IF(EIOPA_RFR!AG17&lt;0%,EIOPA_RFR!AG17,EIOPA_RFR!AG17*(1+VLOOKUP($B$71,Int_Rate_Param,3,FALSE))),IF(EIOPA_RFR!AG17&lt;0%,EIOPA_RFR!AG17,EIOPA_RFR!AG17*(1+VLOOKUP($B56,Int_Rate_Param,3,FALSE))))</f>
        <v>4.4280000000000003E-4</v>
      </c>
      <c r="AH56" s="94">
        <f>IF($B56&gt;20,IF(EIOPA_RFR!AH17&lt;0%,EIOPA_RFR!AH17,EIOPA_RFR!AH17*(1+VLOOKUP($B$71,Int_Rate_Param,3,FALSE))),IF(EIOPA_RFR!AH17&lt;0%,EIOPA_RFR!AH17,EIOPA_RFR!AH17*(1+VLOOKUP($B56,Int_Rate_Param,3,FALSE))))</f>
        <v>1.2852000000000002E-3</v>
      </c>
      <c r="AI56" s="94">
        <f>IF($B56&gt;20,IF(EIOPA_RFR!AI17&lt;0%,EIOPA_RFR!AI17,EIOPA_RFR!AI17*(1+VLOOKUP($B$71,Int_Rate_Param,3,FALSE))),IF(EIOPA_RFR!AI17&lt;0%,EIOPA_RFR!AI17,EIOPA_RFR!AI17*(1+VLOOKUP($B56,Int_Rate_Param,3,FALSE))))</f>
        <v>-4.3800000000000002E-3</v>
      </c>
      <c r="AJ56" s="94">
        <f>IF($B56&gt;20,IF(EIOPA_RFR!AJ17&lt;0%,EIOPA_RFR!AJ17,EIOPA_RFR!AJ17*(1+VLOOKUP($B$71,Int_Rate_Param,3,FALSE))),IF(EIOPA_RFR!AJ17&lt;0%,EIOPA_RFR!AJ17,EIOPA_RFR!AJ17*(1+VLOOKUP($B56,Int_Rate_Param,3,FALSE))))</f>
        <v>3.6936E-3</v>
      </c>
      <c r="AK56" s="94">
        <f>IF($B56&gt;20,IF(EIOPA_RFR!AK17&lt;0%,EIOPA_RFR!AK17,EIOPA_RFR!AK17*(1+VLOOKUP($B$71,Int_Rate_Param,3,FALSE))),IF(EIOPA_RFR!AK17&lt;0%,EIOPA_RFR!AK17,EIOPA_RFR!AK17*(1+VLOOKUP($B56,Int_Rate_Param,3,FALSE))))</f>
        <v>1.27548E-2</v>
      </c>
      <c r="AL56" s="94">
        <f>IF($B56&gt;20,IF(EIOPA_RFR!AL17&lt;0%,EIOPA_RFR!AL17,EIOPA_RFR!AL17*(1+VLOOKUP($B$71,Int_Rate_Param,3,FALSE))),IF(EIOPA_RFR!AL17&lt;0%,EIOPA_RFR!AL17,EIOPA_RFR!AL17*(1+VLOOKUP($B56,Int_Rate_Param,3,FALSE))))</f>
        <v>5.0144400000000006E-2</v>
      </c>
      <c r="AM56" s="94">
        <f>IF($B56&gt;20,IF(EIOPA_RFR!AM17&lt;0%,EIOPA_RFR!AM17,EIOPA_RFR!AM17*(1+VLOOKUP($B$71,Int_Rate_Param,3,FALSE))),IF(EIOPA_RFR!AM17&lt;0%,EIOPA_RFR!AM17,EIOPA_RFR!AM17*(1+VLOOKUP($B56,Int_Rate_Param,3,FALSE))))</f>
        <v>6.8310000000000003E-3</v>
      </c>
      <c r="AN56" s="94">
        <f>IF($B56&gt;20,IF(EIOPA_RFR!AN17&lt;0%,EIOPA_RFR!AN17,EIOPA_RFR!AN17*(1+VLOOKUP($B$71,Int_Rate_Param,3,FALSE))),IF(EIOPA_RFR!AN17&lt;0%,EIOPA_RFR!AN17,EIOPA_RFR!AN17*(1+VLOOKUP($B56,Int_Rate_Param,3,FALSE))))</f>
        <v>1.7965800000000001E-2</v>
      </c>
      <c r="AO56" s="94">
        <f>IF($B56&gt;20,IF(EIOPA_RFR!AO17&lt;0%,EIOPA_RFR!AO17,EIOPA_RFR!AO17*(1+VLOOKUP($B$71,Int_Rate_Param,3,FALSE))),IF(EIOPA_RFR!AO17&lt;0%,EIOPA_RFR!AO17,EIOPA_RFR!AO17*(1+VLOOKUP($B56,Int_Rate_Param,3,FALSE))))</f>
        <v>1.9623600000000001E-2</v>
      </c>
      <c r="AP56" s="94">
        <f>IF($B56&gt;20,IF(EIOPA_RFR!AP17&lt;0%,EIOPA_RFR!AP17,EIOPA_RFR!AP17*(1+VLOOKUP($B$71,Int_Rate_Param,3,FALSE))),IF(EIOPA_RFR!AP17&lt;0%,EIOPA_RFR!AP17,EIOPA_RFR!AP17*(1+VLOOKUP($B56,Int_Rate_Param,3,FALSE))))</f>
        <v>3.0742200000000004E-2</v>
      </c>
      <c r="AQ56" s="94">
        <f>IF($B56&gt;20,IF(EIOPA_RFR!AQ17&lt;0%,EIOPA_RFR!AQ17,EIOPA_RFR!AQ17*(1+VLOOKUP($B$71,Int_Rate_Param,3,FALSE))),IF(EIOPA_RFR!AQ17&lt;0%,EIOPA_RFR!AQ17,EIOPA_RFR!AQ17*(1+VLOOKUP($B56,Int_Rate_Param,3,FALSE))))</f>
        <v>1.0098000000000001E-2</v>
      </c>
      <c r="AR56" s="94">
        <f>IF($B56&gt;20,IF(EIOPA_RFR!AR17&lt;0%,EIOPA_RFR!AR17,EIOPA_RFR!AR17*(1+VLOOKUP($B$71,Int_Rate_Param,3,FALSE))),IF(EIOPA_RFR!AR17&lt;0%,EIOPA_RFR!AR17,EIOPA_RFR!AR17*(1+VLOOKUP($B56,Int_Rate_Param,3,FALSE))))</f>
        <v>3.4506000000000002E-2</v>
      </c>
      <c r="AS56" s="94">
        <f>IF($B56&gt;20,IF(EIOPA_RFR!AS17&lt;0%,EIOPA_RFR!AS17,EIOPA_RFR!AS17*(1+VLOOKUP($B$71,Int_Rate_Param,3,FALSE))),IF(EIOPA_RFR!AS17&lt;0%,EIOPA_RFR!AS17,EIOPA_RFR!AS17*(1+VLOOKUP($B56,Int_Rate_Param,3,FALSE))))</f>
        <v>3.2400000000000001E-5</v>
      </c>
      <c r="AT56" s="94">
        <f>IF($B56&gt;20,IF(EIOPA_RFR!AT17&lt;0%,EIOPA_RFR!AT17,EIOPA_RFR!AT17*(1+VLOOKUP($B$71,Int_Rate_Param,3,FALSE))),IF(EIOPA_RFR!AT17&lt;0%,EIOPA_RFR!AT17,EIOPA_RFR!AT17*(1+VLOOKUP($B56,Int_Rate_Param,3,FALSE))))</f>
        <v>2.0001599999999998E-2</v>
      </c>
      <c r="AU56" s="94">
        <f>IF($B56&gt;20,IF(EIOPA_RFR!AU17&lt;0%,EIOPA_RFR!AU17,EIOPA_RFR!AU17*(1+VLOOKUP($B$71,Int_Rate_Param,3,FALSE))),IF(EIOPA_RFR!AU17&lt;0%,EIOPA_RFR!AU17,EIOPA_RFR!AU17*(1+VLOOKUP($B56,Int_Rate_Param,3,FALSE))))</f>
        <v>3.8253600000000006E-2</v>
      </c>
      <c r="AV56" s="94">
        <f>IF($B56&gt;20,IF(EIOPA_RFR!AV17&lt;0%,EIOPA_RFR!AV17,EIOPA_RFR!AV17*(1+VLOOKUP($B$71,Int_Rate_Param,3,FALSE))),IF(EIOPA_RFR!AV17&lt;0%,EIOPA_RFR!AV17,EIOPA_RFR!AV17*(1+VLOOKUP($B56,Int_Rate_Param,3,FALSE))))</f>
        <v>1.4769000000000001E-2</v>
      </c>
      <c r="AW56" s="94">
        <f>IF($B56&gt;20,IF(EIOPA_RFR!AW17&lt;0%,EIOPA_RFR!AW17,EIOPA_RFR!AW17*(1+VLOOKUP($B$71,Int_Rate_Param,3,FALSE))),IF(EIOPA_RFR!AW17&lt;0%,EIOPA_RFR!AW17,EIOPA_RFR!AW17*(1+VLOOKUP($B56,Int_Rate_Param,3,FALSE))))</f>
        <v>1.04058E-2</v>
      </c>
      <c r="AX56" s="94">
        <f>IF($B56&gt;20,IF(EIOPA_RFR!AX17&lt;0%,EIOPA_RFR!AX17,EIOPA_RFR!AX17*(1+VLOOKUP($B$71,Int_Rate_Param,3,FALSE))),IF(EIOPA_RFR!AX17&lt;0%,EIOPA_RFR!AX17,EIOPA_RFR!AX17*(1+VLOOKUP($B56,Int_Rate_Param,3,FALSE))))</f>
        <v>4.0932000000000003E-2</v>
      </c>
      <c r="AY56" s="94">
        <f>IF($B56&gt;20,IF(EIOPA_RFR!AY17&lt;0%,EIOPA_RFR!AY17,EIOPA_RFR!AY17*(1+VLOOKUP($B$71,Int_Rate_Param,3,FALSE))),IF(EIOPA_RFR!AY17&lt;0%,EIOPA_RFR!AY17,EIOPA_RFR!AY17*(1+VLOOKUP($B56,Int_Rate_Param,3,FALSE))))</f>
        <v>8.6832000000000003E-3</v>
      </c>
      <c r="AZ56" s="94">
        <f>IF($B56&gt;20,IF(EIOPA_RFR!AZ17&lt;0%,EIOPA_RFR!AZ17,EIOPA_RFR!AZ17*(1+VLOOKUP($B$71,Int_Rate_Param,3,FALSE))),IF(EIOPA_RFR!AZ17&lt;0%,EIOPA_RFR!AZ17,EIOPA_RFR!AZ17*(1+VLOOKUP($B56,Int_Rate_Param,3,FALSE))))</f>
        <v>4.2605999999999998E-3</v>
      </c>
      <c r="BA56" s="94">
        <f>IF($B56&gt;20,IF(EIOPA_RFR!BA17&lt;0%,EIOPA_RFR!BA17,EIOPA_RFR!BA17*(1+VLOOKUP($B$71,Int_Rate_Param,3,FALSE))),IF(EIOPA_RFR!BA17&lt;0%,EIOPA_RFR!BA17,EIOPA_RFR!BA17*(1+VLOOKUP($B56,Int_Rate_Param,3,FALSE))))</f>
        <v>1.1285999999999999E-2</v>
      </c>
      <c r="BB56" s="94">
        <f>IF($B56&gt;20,IF(EIOPA_RFR!BB17&lt;0%,EIOPA_RFR!BB17,EIOPA_RFR!BB17*(1+VLOOKUP($B$71,Int_Rate_Param,3,FALSE))),IF(EIOPA_RFR!BB17&lt;0%,EIOPA_RFR!BB17,EIOPA_RFR!BB17*(1+VLOOKUP($B56,Int_Rate_Param,3,FALSE))))</f>
        <v>6.2089200000000004E-2</v>
      </c>
      <c r="BC56" s="94">
        <f>IF($B56&gt;20,IF(EIOPA_RFR!BC17&lt;0%,EIOPA_RFR!BC17,EIOPA_RFR!BC17*(1+VLOOKUP($B$71,Int_Rate_Param,3,FALSE))),IF(EIOPA_RFR!BC17&lt;0%,EIOPA_RFR!BC17,EIOPA_RFR!BC17*(1+VLOOKUP($B56,Int_Rate_Param,3,FALSE))))</f>
        <v>1.0324800000000002E-2</v>
      </c>
    </row>
    <row r="57" spans="1:55" x14ac:dyDescent="0.25">
      <c r="A57">
        <f t="shared" si="1"/>
        <v>8</v>
      </c>
      <c r="B57" s="95">
        <v>6</v>
      </c>
      <c r="C57" s="94">
        <f>IF($B57&gt;20,IF(EIOPA_RFR!C18&lt;0%,EIOPA_RFR!C18,EIOPA_RFR!C18*(1+VLOOKUP($B$71,Int_Rate_Param,3,FALSE))),IF(EIOPA_RFR!C18&lt;0%,EIOPA_RFR!C18,EIOPA_RFR!C18*(1+VLOOKUP($B57,Int_Rate_Param,3,FALSE))))</f>
        <v>1.1890000000000002E-3</v>
      </c>
      <c r="D57" s="94">
        <f>IF($B57&gt;20,IF(EIOPA_RFR!D18&lt;0%,EIOPA_RFR!D18,EIOPA_RFR!D18*(1+VLOOKUP($B$71,Int_Rate_Param,3,FALSE))),IF(EIOPA_RFR!D18&lt;0%,EIOPA_RFR!D18,EIOPA_RFR!D18*(1+VLOOKUP($B57,Int_Rate_Param,3,FALSE))))</f>
        <v>1.1890000000000002E-3</v>
      </c>
      <c r="E57" s="94">
        <f>IF($B57&gt;20,IF(EIOPA_RFR!E18&lt;0%,EIOPA_RFR!E18,EIOPA_RFR!E18*(1+VLOOKUP($B$71,Int_Rate_Param,3,FALSE))),IF(EIOPA_RFR!E18&lt;0%,EIOPA_RFR!E18,EIOPA_RFR!E18*(1+VLOOKUP($B57,Int_Rate_Param,3,FALSE))))</f>
        <v>1.1890000000000002E-3</v>
      </c>
      <c r="F57" s="94">
        <f>IF($B57&gt;20,IF(EIOPA_RFR!F18&lt;0%,EIOPA_RFR!F18,EIOPA_RFR!F18*(1+VLOOKUP($B$71,Int_Rate_Param,3,FALSE))),IF(EIOPA_RFR!F18&lt;0%,EIOPA_RFR!F18,EIOPA_RFR!F18*(1+VLOOKUP($B57,Int_Rate_Param,3,FALSE))))</f>
        <v>8.9900000000000006E-4</v>
      </c>
      <c r="G57" s="94">
        <f>IF($B57&gt;20,IF(EIOPA_RFR!G18&lt;0%,EIOPA_RFR!G18,EIOPA_RFR!G18*(1+VLOOKUP($B$71,Int_Rate_Param,3,FALSE))),IF(EIOPA_RFR!G18&lt;0%,EIOPA_RFR!G18,EIOPA_RFR!G18*(1+VLOOKUP($B57,Int_Rate_Param,3,FALSE))))</f>
        <v>1.45348E-2</v>
      </c>
      <c r="H57" s="94">
        <f>IF($B57&gt;20,IF(EIOPA_RFR!H18&lt;0%,EIOPA_RFR!H18,EIOPA_RFR!H18*(1+VLOOKUP($B$71,Int_Rate_Param,3,FALSE))),IF(EIOPA_RFR!H18&lt;0%,EIOPA_RFR!H18,EIOPA_RFR!H18*(1+VLOOKUP($B57,Int_Rate_Param,3,FALSE))))</f>
        <v>1.1890000000000002E-3</v>
      </c>
      <c r="I57" s="94">
        <f>IF($B57&gt;20,IF(EIOPA_RFR!I18&lt;0%,EIOPA_RFR!I18,EIOPA_RFR!I18*(1+VLOOKUP($B$71,Int_Rate_Param,3,FALSE))),IF(EIOPA_RFR!I18&lt;0%,EIOPA_RFR!I18,EIOPA_RFR!I18*(1+VLOOKUP($B57,Int_Rate_Param,3,FALSE))))</f>
        <v>3.9440000000000005E-3</v>
      </c>
      <c r="J57" s="94">
        <f>IF($B57&gt;20,IF(EIOPA_RFR!J18&lt;0%,EIOPA_RFR!J18,EIOPA_RFR!J18*(1+VLOOKUP($B$71,Int_Rate_Param,3,FALSE))),IF(EIOPA_RFR!J18&lt;0%,EIOPA_RFR!J18,EIOPA_RFR!J18*(1+VLOOKUP($B57,Int_Rate_Param,3,FALSE))))</f>
        <v>1.1310000000000001E-3</v>
      </c>
      <c r="K57" s="94">
        <f>IF($B57&gt;20,IF(EIOPA_RFR!K18&lt;0%,EIOPA_RFR!K18,EIOPA_RFR!K18*(1+VLOOKUP($B$71,Int_Rate_Param,3,FALSE))),IF(EIOPA_RFR!K18&lt;0%,EIOPA_RFR!K18,EIOPA_RFR!K18*(1+VLOOKUP($B57,Int_Rate_Param,3,FALSE))))</f>
        <v>1.1890000000000002E-3</v>
      </c>
      <c r="L57" s="94">
        <f>IF($B57&gt;20,IF(EIOPA_RFR!L18&lt;0%,EIOPA_RFR!L18,EIOPA_RFR!L18*(1+VLOOKUP($B$71,Int_Rate_Param,3,FALSE))),IF(EIOPA_RFR!L18&lt;0%,EIOPA_RFR!L18,EIOPA_RFR!L18*(1+VLOOKUP($B57,Int_Rate_Param,3,FALSE))))</f>
        <v>1.1890000000000002E-3</v>
      </c>
      <c r="M57" s="94">
        <f>IF($B57&gt;20,IF(EIOPA_RFR!M18&lt;0%,EIOPA_RFR!M18,EIOPA_RFR!M18*(1+VLOOKUP($B$71,Int_Rate_Param,3,FALSE))),IF(EIOPA_RFR!M18&lt;0%,EIOPA_RFR!M18,EIOPA_RFR!M18*(1+VLOOKUP($B57,Int_Rate_Param,3,FALSE))))</f>
        <v>1.1890000000000002E-3</v>
      </c>
      <c r="N57" s="94">
        <f>IF($B57&gt;20,IF(EIOPA_RFR!N18&lt;0%,EIOPA_RFR!N18,EIOPA_RFR!N18*(1+VLOOKUP($B$71,Int_Rate_Param,3,FALSE))),IF(EIOPA_RFR!N18&lt;0%,EIOPA_RFR!N18,EIOPA_RFR!N18*(1+VLOOKUP($B57,Int_Rate_Param,3,FALSE))))</f>
        <v>1.1890000000000002E-3</v>
      </c>
      <c r="O57" s="94">
        <f>IF($B57&gt;20,IF(EIOPA_RFR!O18&lt;0%,EIOPA_RFR!O18,EIOPA_RFR!O18*(1+VLOOKUP($B$71,Int_Rate_Param,3,FALSE))),IF(EIOPA_RFR!O18&lt;0%,EIOPA_RFR!O18,EIOPA_RFR!O18*(1+VLOOKUP($B57,Int_Rate_Param,3,FALSE))))</f>
        <v>1.1890000000000002E-3</v>
      </c>
      <c r="P57" s="94">
        <f>IF($B57&gt;20,IF(EIOPA_RFR!P18&lt;0%,EIOPA_RFR!P18,EIOPA_RFR!P18*(1+VLOOKUP($B$71,Int_Rate_Param,3,FALSE))),IF(EIOPA_RFR!P18&lt;0%,EIOPA_RFR!P18,EIOPA_RFR!P18*(1+VLOOKUP($B57,Int_Rate_Param,3,FALSE))))</f>
        <v>1.2876000000000002E-2</v>
      </c>
      <c r="Q57" s="94">
        <f>IF($B57&gt;20,IF(EIOPA_RFR!Q18&lt;0%,EIOPA_RFR!Q18,EIOPA_RFR!Q18*(1+VLOOKUP($B$71,Int_Rate_Param,3,FALSE))),IF(EIOPA_RFR!Q18&lt;0%,EIOPA_RFR!Q18,EIOPA_RFR!Q18*(1+VLOOKUP($B57,Int_Rate_Param,3,FALSE))))</f>
        <v>2.7724000000000006E-2</v>
      </c>
      <c r="R57" s="94">
        <f>IF($B57&gt;20,IF(EIOPA_RFR!R18&lt;0%,EIOPA_RFR!R18,EIOPA_RFR!R18*(1+VLOOKUP($B$71,Int_Rate_Param,3,FALSE))),IF(EIOPA_RFR!R18&lt;0%,EIOPA_RFR!R18,EIOPA_RFR!R18*(1+VLOOKUP($B57,Int_Rate_Param,3,FALSE))))</f>
        <v>1.1890000000000002E-3</v>
      </c>
      <c r="S57" s="94">
        <f>IF($B57&gt;20,IF(EIOPA_RFR!S18&lt;0%,EIOPA_RFR!S18,EIOPA_RFR!S18*(1+VLOOKUP($B$71,Int_Rate_Param,3,FALSE))),IF(EIOPA_RFR!S18&lt;0%,EIOPA_RFR!S18,EIOPA_RFR!S18*(1+VLOOKUP($B57,Int_Rate_Param,3,FALSE))))</f>
        <v>1.1890000000000002E-3</v>
      </c>
      <c r="T57" s="94">
        <f>IF($B57&gt;20,IF(EIOPA_RFR!T18&lt;0%,EIOPA_RFR!T18,EIOPA_RFR!T18*(1+VLOOKUP($B$71,Int_Rate_Param,3,FALSE))),IF(EIOPA_RFR!T18&lt;0%,EIOPA_RFR!T18,EIOPA_RFR!T18*(1+VLOOKUP($B57,Int_Rate_Param,3,FALSE))))</f>
        <v>1.1890000000000002E-3</v>
      </c>
      <c r="U57" s="94">
        <f>IF($B57&gt;20,IF(EIOPA_RFR!U18&lt;0%,EIOPA_RFR!U18,EIOPA_RFR!U18*(1+VLOOKUP($B$71,Int_Rate_Param,3,FALSE))),IF(EIOPA_RFR!U18&lt;0%,EIOPA_RFR!U18,EIOPA_RFR!U18*(1+VLOOKUP($B57,Int_Rate_Param,3,FALSE))))</f>
        <v>-3.2699999999999999E-3</v>
      </c>
      <c r="V57" s="94">
        <f>IF($B57&gt;20,IF(EIOPA_RFR!V18&lt;0%,EIOPA_RFR!V18,EIOPA_RFR!V18*(1+VLOOKUP($B$71,Int_Rate_Param,3,FALSE))),IF(EIOPA_RFR!V18&lt;0%,EIOPA_RFR!V18,EIOPA_RFR!V18*(1+VLOOKUP($B57,Int_Rate_Param,3,FALSE))))</f>
        <v>1.1890000000000002E-3</v>
      </c>
      <c r="W57" s="94">
        <f>IF($B57&gt;20,IF(EIOPA_RFR!W18&lt;0%,EIOPA_RFR!W18,EIOPA_RFR!W18*(1+VLOOKUP($B$71,Int_Rate_Param,3,FALSE))),IF(EIOPA_RFR!W18&lt;0%,EIOPA_RFR!W18,EIOPA_RFR!W18*(1+VLOOKUP($B57,Int_Rate_Param,3,FALSE))))</f>
        <v>1.1890000000000002E-3</v>
      </c>
      <c r="X57" s="94">
        <f>IF($B57&gt;20,IF(EIOPA_RFR!X18&lt;0%,EIOPA_RFR!X18,EIOPA_RFR!X18*(1+VLOOKUP($B$71,Int_Rate_Param,3,FALSE))),IF(EIOPA_RFR!X18&lt;0%,EIOPA_RFR!X18,EIOPA_RFR!X18*(1+VLOOKUP($B57,Int_Rate_Param,3,FALSE))))</f>
        <v>1.1890000000000002E-3</v>
      </c>
      <c r="Y57" s="94">
        <f>IF($B57&gt;20,IF(EIOPA_RFR!Y18&lt;0%,EIOPA_RFR!Y18,EIOPA_RFR!Y18*(1+VLOOKUP($B$71,Int_Rate_Param,3,FALSE))),IF(EIOPA_RFR!Y18&lt;0%,EIOPA_RFR!Y18,EIOPA_RFR!Y18*(1+VLOOKUP($B57,Int_Rate_Param,3,FALSE))))</f>
        <v>1.1890000000000002E-3</v>
      </c>
      <c r="Z57" s="94">
        <f>IF($B57&gt;20,IF(EIOPA_RFR!Z18&lt;0%,EIOPA_RFR!Z18,EIOPA_RFR!Z18*(1+VLOOKUP($B$71,Int_Rate_Param,3,FALSE))),IF(EIOPA_RFR!Z18&lt;0%,EIOPA_RFR!Z18,EIOPA_RFR!Z18*(1+VLOOKUP($B57,Int_Rate_Param,3,FALSE))))</f>
        <v>8.7870000000000014E-3</v>
      </c>
      <c r="AA57" s="94">
        <f>IF($B57&gt;20,IF(EIOPA_RFR!AA18&lt;0%,EIOPA_RFR!AA18,EIOPA_RFR!AA18*(1+VLOOKUP($B$71,Int_Rate_Param,3,FALSE))),IF(EIOPA_RFR!AA18&lt;0%,EIOPA_RFR!AA18,EIOPA_RFR!AA18*(1+VLOOKUP($B57,Int_Rate_Param,3,FALSE))))</f>
        <v>1.6808400000000001E-2</v>
      </c>
      <c r="AB57" s="94">
        <f>IF($B57&gt;20,IF(EIOPA_RFR!AB18&lt;0%,EIOPA_RFR!AB18,EIOPA_RFR!AB18*(1+VLOOKUP($B$71,Int_Rate_Param,3,FALSE))),IF(EIOPA_RFR!AB18&lt;0%,EIOPA_RFR!AB18,EIOPA_RFR!AB18*(1+VLOOKUP($B57,Int_Rate_Param,3,FALSE))))</f>
        <v>1.1890000000000002E-3</v>
      </c>
      <c r="AC57" s="94">
        <f>IF($B57&gt;20,IF(EIOPA_RFR!AC18&lt;0%,EIOPA_RFR!AC18,EIOPA_RFR!AC18*(1+VLOOKUP($B$71,Int_Rate_Param,3,FALSE))),IF(EIOPA_RFR!AC18&lt;0%,EIOPA_RFR!AC18,EIOPA_RFR!AC18*(1+VLOOKUP($B57,Int_Rate_Param,3,FALSE))))</f>
        <v>1.8130800000000002E-2</v>
      </c>
      <c r="AD57" s="94">
        <f>IF($B57&gt;20,IF(EIOPA_RFR!AD18&lt;0%,EIOPA_RFR!AD18,EIOPA_RFR!AD18*(1+VLOOKUP($B$71,Int_Rate_Param,3,FALSE))),IF(EIOPA_RFR!AD18&lt;0%,EIOPA_RFR!AD18,EIOPA_RFR!AD18*(1+VLOOKUP($B57,Int_Rate_Param,3,FALSE))))</f>
        <v>4.6411600000000004E-2</v>
      </c>
      <c r="AE57" s="94">
        <f>IF($B57&gt;20,IF(EIOPA_RFR!AE18&lt;0%,EIOPA_RFR!AE18,EIOPA_RFR!AE18*(1+VLOOKUP($B$71,Int_Rate_Param,3,FALSE))),IF(EIOPA_RFR!AE18&lt;0%,EIOPA_RFR!AE18,EIOPA_RFR!AE18*(1+VLOOKUP($B57,Int_Rate_Param,3,FALSE))))</f>
        <v>1.1890000000000002E-3</v>
      </c>
      <c r="AF57" s="94">
        <f>IF($B57&gt;20,IF(EIOPA_RFR!AF18&lt;0%,EIOPA_RFR!AF18,EIOPA_RFR!AF18*(1+VLOOKUP($B$71,Int_Rate_Param,3,FALSE))),IF(EIOPA_RFR!AF18&lt;0%,EIOPA_RFR!AF18,EIOPA_RFR!AF18*(1+VLOOKUP($B57,Int_Rate_Param,3,FALSE))))</f>
        <v>1.1890000000000002E-3</v>
      </c>
      <c r="AG57" s="94">
        <f>IF($B57&gt;20,IF(EIOPA_RFR!AG18&lt;0%,EIOPA_RFR!AG18,EIOPA_RFR!AG18*(1+VLOOKUP($B$71,Int_Rate_Param,3,FALSE))),IF(EIOPA_RFR!AG18&lt;0%,EIOPA_RFR!AG18,EIOPA_RFR!AG18*(1+VLOOKUP($B57,Int_Rate_Param,3,FALSE))))</f>
        <v>1.1890000000000002E-3</v>
      </c>
      <c r="AH57" s="94">
        <f>IF($B57&gt;20,IF(EIOPA_RFR!AH18&lt;0%,EIOPA_RFR!AH18,EIOPA_RFR!AH18*(1+VLOOKUP($B$71,Int_Rate_Param,3,FALSE))),IF(EIOPA_RFR!AH18&lt;0%,EIOPA_RFR!AH18,EIOPA_RFR!AH18*(1+VLOOKUP($B57,Int_Rate_Param,3,FALSE))))</f>
        <v>2.4766000000000007E-3</v>
      </c>
      <c r="AI57" s="94">
        <f>IF($B57&gt;20,IF(EIOPA_RFR!AI18&lt;0%,EIOPA_RFR!AI18,EIOPA_RFR!AI18*(1+VLOOKUP($B$71,Int_Rate_Param,3,FALSE))),IF(EIOPA_RFR!AI18&lt;0%,EIOPA_RFR!AI18,EIOPA_RFR!AI18*(1+VLOOKUP($B57,Int_Rate_Param,3,FALSE))))</f>
        <v>-3.2699999999999999E-3</v>
      </c>
      <c r="AJ57" s="94">
        <f>IF($B57&gt;20,IF(EIOPA_RFR!AJ18&lt;0%,EIOPA_RFR!AJ18,EIOPA_RFR!AJ18*(1+VLOOKUP($B$71,Int_Rate_Param,3,FALSE))),IF(EIOPA_RFR!AJ18&lt;0%,EIOPA_RFR!AJ18,EIOPA_RFR!AJ18*(1+VLOOKUP($B57,Int_Rate_Param,3,FALSE))))</f>
        <v>4.419600000000001E-3</v>
      </c>
      <c r="AK57" s="94">
        <f>IF($B57&gt;20,IF(EIOPA_RFR!AK18&lt;0%,EIOPA_RFR!AK18,EIOPA_RFR!AK18*(1+VLOOKUP($B$71,Int_Rate_Param,3,FALSE))),IF(EIOPA_RFR!AK18&lt;0%,EIOPA_RFR!AK18,EIOPA_RFR!AK18*(1+VLOOKUP($B57,Int_Rate_Param,3,FALSE))))</f>
        <v>1.4418800000000002E-2</v>
      </c>
      <c r="AL57" s="94">
        <f>IF($B57&gt;20,IF(EIOPA_RFR!AL18&lt;0%,EIOPA_RFR!AL18,EIOPA_RFR!AL18*(1+VLOOKUP($B$71,Int_Rate_Param,3,FALSE))),IF(EIOPA_RFR!AL18&lt;0%,EIOPA_RFR!AL18,EIOPA_RFR!AL18*(1+VLOOKUP($B57,Int_Rate_Param,3,FALSE))))</f>
        <v>5.4143000000000011E-2</v>
      </c>
      <c r="AM57" s="94">
        <f>IF($B57&gt;20,IF(EIOPA_RFR!AM18&lt;0%,EIOPA_RFR!AM18,EIOPA_RFR!AM18*(1+VLOOKUP($B$71,Int_Rate_Param,3,FALSE))),IF(EIOPA_RFR!AM18&lt;0%,EIOPA_RFR!AM18,EIOPA_RFR!AM18*(1+VLOOKUP($B57,Int_Rate_Param,3,FALSE))))</f>
        <v>7.8764000000000004E-3</v>
      </c>
      <c r="AN57" s="94">
        <f>IF($B57&gt;20,IF(EIOPA_RFR!AN18&lt;0%,EIOPA_RFR!AN18,EIOPA_RFR!AN18*(1+VLOOKUP($B$71,Int_Rate_Param,3,FALSE))),IF(EIOPA_RFR!AN18&lt;0%,EIOPA_RFR!AN18,EIOPA_RFR!AN18*(1+VLOOKUP($B57,Int_Rate_Param,3,FALSE))))</f>
        <v>2.0416000000000004E-2</v>
      </c>
      <c r="AO57" s="94">
        <f>IF($B57&gt;20,IF(EIOPA_RFR!AO18&lt;0%,EIOPA_RFR!AO18,EIOPA_RFR!AO18*(1+VLOOKUP($B$71,Int_Rate_Param,3,FALSE))),IF(EIOPA_RFR!AO18&lt;0%,EIOPA_RFR!AO18,EIOPA_RFR!AO18*(1+VLOOKUP($B57,Int_Rate_Param,3,FALSE))))</f>
        <v>2.1970400000000001E-2</v>
      </c>
      <c r="AP57" s="94">
        <f>IF($B57&gt;20,IF(EIOPA_RFR!AP18&lt;0%,EIOPA_RFR!AP18,EIOPA_RFR!AP18*(1+VLOOKUP($B$71,Int_Rate_Param,3,FALSE))),IF(EIOPA_RFR!AP18&lt;0%,EIOPA_RFR!AP18,EIOPA_RFR!AP18*(1+VLOOKUP($B57,Int_Rate_Param,3,FALSE))))</f>
        <v>3.3860400000000006E-2</v>
      </c>
      <c r="AQ57" s="94">
        <f>IF($B57&gt;20,IF(EIOPA_RFR!AQ18&lt;0%,EIOPA_RFR!AQ18,EIOPA_RFR!AQ18*(1+VLOOKUP($B$71,Int_Rate_Param,3,FALSE))),IF(EIOPA_RFR!AQ18&lt;0%,EIOPA_RFR!AQ18,EIOPA_RFR!AQ18*(1+VLOOKUP($B57,Int_Rate_Param,3,FALSE))))</f>
        <v>1.14202E-2</v>
      </c>
      <c r="AR57" s="94">
        <f>IF($B57&gt;20,IF(EIOPA_RFR!AR18&lt;0%,EIOPA_RFR!AR18,EIOPA_RFR!AR18*(1+VLOOKUP($B$71,Int_Rate_Param,3,FALSE))),IF(EIOPA_RFR!AR18&lt;0%,EIOPA_RFR!AR18,EIOPA_RFR!AR18*(1+VLOOKUP($B57,Int_Rate_Param,3,FALSE))))</f>
        <v>3.7653600000000009E-2</v>
      </c>
      <c r="AS57" s="94">
        <f>IF($B57&gt;20,IF(EIOPA_RFR!AS18&lt;0%,EIOPA_RFR!AS18,EIOPA_RFR!AS18*(1+VLOOKUP($B$71,Int_Rate_Param,3,FALSE))),IF(EIOPA_RFR!AS18&lt;0%,EIOPA_RFR!AS18,EIOPA_RFR!AS18*(1+VLOOKUP($B57,Int_Rate_Param,3,FALSE))))</f>
        <v>1.9140000000000002E-4</v>
      </c>
      <c r="AT57" s="94">
        <f>IF($B57&gt;20,IF(EIOPA_RFR!AT18&lt;0%,EIOPA_RFR!AT18,EIOPA_RFR!AT18*(1+VLOOKUP($B$71,Int_Rate_Param,3,FALSE))),IF(EIOPA_RFR!AT18&lt;0%,EIOPA_RFR!AT18,EIOPA_RFR!AT18*(1+VLOOKUP($B57,Int_Rate_Param,3,FALSE))))</f>
        <v>2.1802200000000001E-2</v>
      </c>
      <c r="AU57" s="94">
        <f>IF($B57&gt;20,IF(EIOPA_RFR!AU18&lt;0%,EIOPA_RFR!AU18,EIOPA_RFR!AU18*(1+VLOOKUP($B$71,Int_Rate_Param,3,FALSE))),IF(EIOPA_RFR!AU18&lt;0%,EIOPA_RFR!AU18,EIOPA_RFR!AU18*(1+VLOOKUP($B57,Int_Rate_Param,3,FALSE))))</f>
        <v>4.1487400000000001E-2</v>
      </c>
      <c r="AV57" s="94">
        <f>IF($B57&gt;20,IF(EIOPA_RFR!AV18&lt;0%,EIOPA_RFR!AV18,EIOPA_RFR!AV18*(1+VLOOKUP($B$71,Int_Rate_Param,3,FALSE))),IF(EIOPA_RFR!AV18&lt;0%,EIOPA_RFR!AV18,EIOPA_RFR!AV18*(1+VLOOKUP($B57,Int_Rate_Param,3,FALSE))))</f>
        <v>1.6785200000000004E-2</v>
      </c>
      <c r="AW57" s="94">
        <f>IF($B57&gt;20,IF(EIOPA_RFR!AW18&lt;0%,EIOPA_RFR!AW18,EIOPA_RFR!AW18*(1+VLOOKUP($B$71,Int_Rate_Param,3,FALSE))),IF(EIOPA_RFR!AW18&lt;0%,EIOPA_RFR!AW18,EIOPA_RFR!AW18*(1+VLOOKUP($B57,Int_Rate_Param,3,FALSE))))</f>
        <v>1.1872600000000001E-2</v>
      </c>
      <c r="AX57" s="94">
        <f>IF($B57&gt;20,IF(EIOPA_RFR!AX18&lt;0%,EIOPA_RFR!AX18,EIOPA_RFR!AX18*(1+VLOOKUP($B$71,Int_Rate_Param,3,FALSE))),IF(EIOPA_RFR!AX18&lt;0%,EIOPA_RFR!AX18,EIOPA_RFR!AX18*(1+VLOOKUP($B57,Int_Rate_Param,3,FALSE))))</f>
        <v>4.4845600000000006E-2</v>
      </c>
      <c r="AY57" s="94">
        <f>IF($B57&gt;20,IF(EIOPA_RFR!AY18&lt;0%,EIOPA_RFR!AY18,EIOPA_RFR!AY18*(1+VLOOKUP($B$71,Int_Rate_Param,3,FALSE))),IF(EIOPA_RFR!AY18&lt;0%,EIOPA_RFR!AY18,EIOPA_RFR!AY18*(1+VLOOKUP($B57,Int_Rate_Param,3,FALSE))))</f>
        <v>9.5642000000000019E-3</v>
      </c>
      <c r="AZ57" s="94">
        <f>IF($B57&gt;20,IF(EIOPA_RFR!AZ18&lt;0%,EIOPA_RFR!AZ18,EIOPA_RFR!AZ18*(1+VLOOKUP($B$71,Int_Rate_Param,3,FALSE))),IF(EIOPA_RFR!AZ18&lt;0%,EIOPA_RFR!AZ18,EIOPA_RFR!AZ18*(1+VLOOKUP($B57,Int_Rate_Param,3,FALSE))))</f>
        <v>5.0170000000000006E-3</v>
      </c>
      <c r="BA57" s="94">
        <f>IF($B57&gt;20,IF(EIOPA_RFR!BA18&lt;0%,EIOPA_RFR!BA18,EIOPA_RFR!BA18*(1+VLOOKUP($B$71,Int_Rate_Param,3,FALSE))),IF(EIOPA_RFR!BA18&lt;0%,EIOPA_RFR!BA18,EIOPA_RFR!BA18*(1+VLOOKUP($B57,Int_Rate_Param,3,FALSE))))</f>
        <v>1.28644E-2</v>
      </c>
      <c r="BB57" s="94">
        <f>IF($B57&gt;20,IF(EIOPA_RFR!BB18&lt;0%,EIOPA_RFR!BB18,EIOPA_RFR!BB18*(1+VLOOKUP($B$71,Int_Rate_Param,3,FALSE))),IF(EIOPA_RFR!BB18&lt;0%,EIOPA_RFR!BB18,EIOPA_RFR!BB18*(1+VLOOKUP($B57,Int_Rate_Param,3,FALSE))))</f>
        <v>6.5534200000000001E-2</v>
      </c>
      <c r="BC57" s="94">
        <f>IF($B57&gt;20,IF(EIOPA_RFR!BC18&lt;0%,EIOPA_RFR!BC18,EIOPA_RFR!BC18*(1+VLOOKUP($B$71,Int_Rate_Param,3,FALSE))),IF(EIOPA_RFR!BC18&lt;0%,EIOPA_RFR!BC18,EIOPA_RFR!BC18*(1+VLOOKUP($B57,Int_Rate_Param,3,FALSE))))</f>
        <v>1.1634800000000002E-2</v>
      </c>
    </row>
    <row r="58" spans="1:55" x14ac:dyDescent="0.25">
      <c r="A58">
        <f t="shared" si="1"/>
        <v>9</v>
      </c>
      <c r="B58" s="95">
        <v>7</v>
      </c>
      <c r="C58" s="94">
        <f>IF($B58&gt;20,IF(EIOPA_RFR!C19&lt;0%,EIOPA_RFR!C19,EIOPA_RFR!C19*(1+VLOOKUP($B$71,Int_Rate_Param,3,FALSE))),IF(EIOPA_RFR!C19&lt;0%,EIOPA_RFR!C19,EIOPA_RFR!C19*(1+VLOOKUP($B58,Int_Rate_Param,3,FALSE))))</f>
        <v>2.0008000000000001E-3</v>
      </c>
      <c r="D58" s="94">
        <f>IF($B58&gt;20,IF(EIOPA_RFR!D19&lt;0%,EIOPA_RFR!D19,EIOPA_RFR!D19*(1+VLOOKUP($B$71,Int_Rate_Param,3,FALSE))),IF(EIOPA_RFR!D19&lt;0%,EIOPA_RFR!D19,EIOPA_RFR!D19*(1+VLOOKUP($B58,Int_Rate_Param,3,FALSE))))</f>
        <v>2.0008000000000001E-3</v>
      </c>
      <c r="E58" s="94">
        <f>IF($B58&gt;20,IF(EIOPA_RFR!E19&lt;0%,EIOPA_RFR!E19,EIOPA_RFR!E19*(1+VLOOKUP($B$71,Int_Rate_Param,3,FALSE))),IF(EIOPA_RFR!E19&lt;0%,EIOPA_RFR!E19,EIOPA_RFR!E19*(1+VLOOKUP($B58,Int_Rate_Param,3,FALSE))))</f>
        <v>2.0008000000000001E-3</v>
      </c>
      <c r="F58" s="94">
        <f>IF($B58&gt;20,IF(EIOPA_RFR!F19&lt;0%,EIOPA_RFR!F19,EIOPA_RFR!F19*(1+VLOOKUP($B$71,Int_Rate_Param,3,FALSE))),IF(EIOPA_RFR!F19&lt;0%,EIOPA_RFR!F19,EIOPA_RFR!F19*(1+VLOOKUP($B58,Int_Rate_Param,3,FALSE))))</f>
        <v>1.6957999999999999E-3</v>
      </c>
      <c r="G58" s="94">
        <f>IF($B58&gt;20,IF(EIOPA_RFR!G19&lt;0%,EIOPA_RFR!G19,EIOPA_RFR!G19*(1+VLOOKUP($B$71,Int_Rate_Param,3,FALSE))),IF(EIOPA_RFR!G19&lt;0%,EIOPA_RFR!G19,EIOPA_RFR!G19*(1+VLOOKUP($B58,Int_Rate_Param,3,FALSE))))</f>
        <v>1.60491E-2</v>
      </c>
      <c r="H58" s="94">
        <f>IF($B58&gt;20,IF(EIOPA_RFR!H19&lt;0%,EIOPA_RFR!H19,EIOPA_RFR!H19*(1+VLOOKUP($B$71,Int_Rate_Param,3,FALSE))),IF(EIOPA_RFR!H19&lt;0%,EIOPA_RFR!H19,EIOPA_RFR!H19*(1+VLOOKUP($B58,Int_Rate_Param,3,FALSE))))</f>
        <v>2.0008000000000001E-3</v>
      </c>
      <c r="I58" s="94">
        <f>IF($B58&gt;20,IF(EIOPA_RFR!I19&lt;0%,EIOPA_RFR!I19,EIOPA_RFR!I19*(1+VLOOKUP($B$71,Int_Rate_Param,3,FALSE))),IF(EIOPA_RFR!I19&lt;0%,EIOPA_RFR!I19,EIOPA_RFR!I19*(1+VLOOKUP($B58,Int_Rate_Param,3,FALSE))))</f>
        <v>4.5688999999999999E-3</v>
      </c>
      <c r="J58" s="94">
        <f>IF($B58&gt;20,IF(EIOPA_RFR!J19&lt;0%,EIOPA_RFR!J19,EIOPA_RFR!J19*(1+VLOOKUP($B$71,Int_Rate_Param,3,FALSE))),IF(EIOPA_RFR!J19&lt;0%,EIOPA_RFR!J19,EIOPA_RFR!J19*(1+VLOOKUP($B58,Int_Rate_Param,3,FALSE))))</f>
        <v>1.9398E-3</v>
      </c>
      <c r="K58" s="94">
        <f>IF($B58&gt;20,IF(EIOPA_RFR!K19&lt;0%,EIOPA_RFR!K19,EIOPA_RFR!K19*(1+VLOOKUP($B$71,Int_Rate_Param,3,FALSE))),IF(EIOPA_RFR!K19&lt;0%,EIOPA_RFR!K19,EIOPA_RFR!K19*(1+VLOOKUP($B58,Int_Rate_Param,3,FALSE))))</f>
        <v>2.0008000000000001E-3</v>
      </c>
      <c r="L58" s="94">
        <f>IF($B58&gt;20,IF(EIOPA_RFR!L19&lt;0%,EIOPA_RFR!L19,EIOPA_RFR!L19*(1+VLOOKUP($B$71,Int_Rate_Param,3,FALSE))),IF(EIOPA_RFR!L19&lt;0%,EIOPA_RFR!L19,EIOPA_RFR!L19*(1+VLOOKUP($B58,Int_Rate_Param,3,FALSE))))</f>
        <v>2.0008000000000001E-3</v>
      </c>
      <c r="M58" s="94">
        <f>IF($B58&gt;20,IF(EIOPA_RFR!M19&lt;0%,EIOPA_RFR!M19,EIOPA_RFR!M19*(1+VLOOKUP($B$71,Int_Rate_Param,3,FALSE))),IF(EIOPA_RFR!M19&lt;0%,EIOPA_RFR!M19,EIOPA_RFR!M19*(1+VLOOKUP($B58,Int_Rate_Param,3,FALSE))))</f>
        <v>2.0008000000000001E-3</v>
      </c>
      <c r="N58" s="94">
        <f>IF($B58&gt;20,IF(EIOPA_RFR!N19&lt;0%,EIOPA_RFR!N19,EIOPA_RFR!N19*(1+VLOOKUP($B$71,Int_Rate_Param,3,FALSE))),IF(EIOPA_RFR!N19&lt;0%,EIOPA_RFR!N19,EIOPA_RFR!N19*(1+VLOOKUP($B58,Int_Rate_Param,3,FALSE))))</f>
        <v>2.0008000000000001E-3</v>
      </c>
      <c r="O58" s="94">
        <f>IF($B58&gt;20,IF(EIOPA_RFR!O19&lt;0%,EIOPA_RFR!O19,EIOPA_RFR!O19*(1+VLOOKUP($B$71,Int_Rate_Param,3,FALSE))),IF(EIOPA_RFR!O19&lt;0%,EIOPA_RFR!O19,EIOPA_RFR!O19*(1+VLOOKUP($B58,Int_Rate_Param,3,FALSE))))</f>
        <v>2.0008000000000001E-3</v>
      </c>
      <c r="P58" s="94">
        <f>IF($B58&gt;20,IF(EIOPA_RFR!P19&lt;0%,EIOPA_RFR!P19,EIOPA_RFR!P19*(1+VLOOKUP($B$71,Int_Rate_Param,3,FALSE))),IF(EIOPA_RFR!P19&lt;0%,EIOPA_RFR!P19,EIOPA_RFR!P19*(1+VLOOKUP($B58,Int_Rate_Param,3,FALSE))))</f>
        <v>1.56221E-2</v>
      </c>
      <c r="Q58" s="94">
        <f>IF($B58&gt;20,IF(EIOPA_RFR!Q19&lt;0%,EIOPA_RFR!Q19,EIOPA_RFR!Q19*(1+VLOOKUP($B$71,Int_Rate_Param,3,FALSE))),IF(EIOPA_RFR!Q19&lt;0%,EIOPA_RFR!Q19,EIOPA_RFR!Q19*(1+VLOOKUP($B58,Int_Rate_Param,3,FALSE))))</f>
        <v>2.9121399999999999E-2</v>
      </c>
      <c r="R58" s="94">
        <f>IF($B58&gt;20,IF(EIOPA_RFR!R19&lt;0%,EIOPA_RFR!R19,EIOPA_RFR!R19*(1+VLOOKUP($B$71,Int_Rate_Param,3,FALSE))),IF(EIOPA_RFR!R19&lt;0%,EIOPA_RFR!R19,EIOPA_RFR!R19*(1+VLOOKUP($B58,Int_Rate_Param,3,FALSE))))</f>
        <v>2.0008000000000001E-3</v>
      </c>
      <c r="S58" s="94">
        <f>IF($B58&gt;20,IF(EIOPA_RFR!S19&lt;0%,EIOPA_RFR!S19,EIOPA_RFR!S19*(1+VLOOKUP($B$71,Int_Rate_Param,3,FALSE))),IF(EIOPA_RFR!S19&lt;0%,EIOPA_RFR!S19,EIOPA_RFR!S19*(1+VLOOKUP($B58,Int_Rate_Param,3,FALSE))))</f>
        <v>2.0008000000000001E-3</v>
      </c>
      <c r="T58" s="94">
        <f>IF($B58&gt;20,IF(EIOPA_RFR!T19&lt;0%,EIOPA_RFR!T19,EIOPA_RFR!T19*(1+VLOOKUP($B$71,Int_Rate_Param,3,FALSE))),IF(EIOPA_RFR!T19&lt;0%,EIOPA_RFR!T19,EIOPA_RFR!T19*(1+VLOOKUP($B58,Int_Rate_Param,3,FALSE))))</f>
        <v>2.0008000000000001E-3</v>
      </c>
      <c r="U58" s="94">
        <f>IF($B58&gt;20,IF(EIOPA_RFR!U19&lt;0%,EIOPA_RFR!U19,EIOPA_RFR!U19*(1+VLOOKUP($B$71,Int_Rate_Param,3,FALSE))),IF(EIOPA_RFR!U19&lt;0%,EIOPA_RFR!U19,EIOPA_RFR!U19*(1+VLOOKUP($B58,Int_Rate_Param,3,FALSE))))</f>
        <v>-2.1800000000000001E-3</v>
      </c>
      <c r="V58" s="94">
        <f>IF($B58&gt;20,IF(EIOPA_RFR!V19&lt;0%,EIOPA_RFR!V19,EIOPA_RFR!V19*(1+VLOOKUP($B$71,Int_Rate_Param,3,FALSE))),IF(EIOPA_RFR!V19&lt;0%,EIOPA_RFR!V19,EIOPA_RFR!V19*(1+VLOOKUP($B58,Int_Rate_Param,3,FALSE))))</f>
        <v>2.0008000000000001E-3</v>
      </c>
      <c r="W58" s="94">
        <f>IF($B58&gt;20,IF(EIOPA_RFR!W19&lt;0%,EIOPA_RFR!W19,EIOPA_RFR!W19*(1+VLOOKUP($B$71,Int_Rate_Param,3,FALSE))),IF(EIOPA_RFR!W19&lt;0%,EIOPA_RFR!W19,EIOPA_RFR!W19*(1+VLOOKUP($B58,Int_Rate_Param,3,FALSE))))</f>
        <v>2.0008000000000001E-3</v>
      </c>
      <c r="X58" s="94">
        <f>IF($B58&gt;20,IF(EIOPA_RFR!X19&lt;0%,EIOPA_RFR!X19,EIOPA_RFR!X19*(1+VLOOKUP($B$71,Int_Rate_Param,3,FALSE))),IF(EIOPA_RFR!X19&lt;0%,EIOPA_RFR!X19,EIOPA_RFR!X19*(1+VLOOKUP($B58,Int_Rate_Param,3,FALSE))))</f>
        <v>2.0008000000000001E-3</v>
      </c>
      <c r="Y58" s="94">
        <f>IF($B58&gt;20,IF(EIOPA_RFR!Y19&lt;0%,EIOPA_RFR!Y19,EIOPA_RFR!Y19*(1+VLOOKUP($B$71,Int_Rate_Param,3,FALSE))),IF(EIOPA_RFR!Y19&lt;0%,EIOPA_RFR!Y19,EIOPA_RFR!Y19*(1+VLOOKUP($B58,Int_Rate_Param,3,FALSE))))</f>
        <v>2.0008000000000001E-3</v>
      </c>
      <c r="Z58" s="94">
        <f>IF($B58&gt;20,IF(EIOPA_RFR!Z19&lt;0%,EIOPA_RFR!Z19,EIOPA_RFR!Z19*(1+VLOOKUP($B$71,Int_Rate_Param,3,FALSE))),IF(EIOPA_RFR!Z19&lt;0%,EIOPA_RFR!Z19,EIOPA_RFR!Z19*(1+VLOOKUP($B58,Int_Rate_Param,3,FALSE))))</f>
        <v>9.8759E-3</v>
      </c>
      <c r="AA58" s="94">
        <f>IF($B58&gt;20,IF(EIOPA_RFR!AA19&lt;0%,EIOPA_RFR!AA19,EIOPA_RFR!AA19*(1+VLOOKUP($B$71,Int_Rate_Param,3,FALSE))),IF(EIOPA_RFR!AA19&lt;0%,EIOPA_RFR!AA19,EIOPA_RFR!AA19*(1+VLOOKUP($B58,Int_Rate_Param,3,FALSE))))</f>
        <v>1.8379300000000001E-2</v>
      </c>
      <c r="AB58" s="94">
        <f>IF($B58&gt;20,IF(EIOPA_RFR!AB19&lt;0%,EIOPA_RFR!AB19,EIOPA_RFR!AB19*(1+VLOOKUP($B$71,Int_Rate_Param,3,FALSE))),IF(EIOPA_RFR!AB19&lt;0%,EIOPA_RFR!AB19,EIOPA_RFR!AB19*(1+VLOOKUP($B58,Int_Rate_Param,3,FALSE))))</f>
        <v>2.0008000000000001E-3</v>
      </c>
      <c r="AC58" s="94">
        <f>IF($B58&gt;20,IF(EIOPA_RFR!AC19&lt;0%,EIOPA_RFR!AC19,EIOPA_RFR!AC19*(1+VLOOKUP($B$71,Int_Rate_Param,3,FALSE))),IF(EIOPA_RFR!AC19&lt;0%,EIOPA_RFR!AC19,EIOPA_RFR!AC19*(1+VLOOKUP($B58,Int_Rate_Param,3,FALSE))))</f>
        <v>2.0678999999999999E-2</v>
      </c>
      <c r="AD58" s="94">
        <f>IF($B58&gt;20,IF(EIOPA_RFR!AD19&lt;0%,EIOPA_RFR!AD19,EIOPA_RFR!AD19*(1+VLOOKUP($B$71,Int_Rate_Param,3,FALSE))),IF(EIOPA_RFR!AD19&lt;0%,EIOPA_RFR!AD19,EIOPA_RFR!AD19*(1+VLOOKUP($B58,Int_Rate_Param,3,FALSE))))</f>
        <v>4.8226600000000001E-2</v>
      </c>
      <c r="AE58" s="94">
        <f>IF($B58&gt;20,IF(EIOPA_RFR!AE19&lt;0%,EIOPA_RFR!AE19,EIOPA_RFR!AE19*(1+VLOOKUP($B$71,Int_Rate_Param,3,FALSE))),IF(EIOPA_RFR!AE19&lt;0%,EIOPA_RFR!AE19,EIOPA_RFR!AE19*(1+VLOOKUP($B58,Int_Rate_Param,3,FALSE))))</f>
        <v>2.0008000000000001E-3</v>
      </c>
      <c r="AF58" s="94">
        <f>IF($B58&gt;20,IF(EIOPA_RFR!AF19&lt;0%,EIOPA_RFR!AF19,EIOPA_RFR!AF19*(1+VLOOKUP($B$71,Int_Rate_Param,3,FALSE))),IF(EIOPA_RFR!AF19&lt;0%,EIOPA_RFR!AF19,EIOPA_RFR!AF19*(1+VLOOKUP($B58,Int_Rate_Param,3,FALSE))))</f>
        <v>2.0008000000000001E-3</v>
      </c>
      <c r="AG58" s="94">
        <f>IF($B58&gt;20,IF(EIOPA_RFR!AG19&lt;0%,EIOPA_RFR!AG19,EIOPA_RFR!AG19*(1+VLOOKUP($B$71,Int_Rate_Param,3,FALSE))),IF(EIOPA_RFR!AG19&lt;0%,EIOPA_RFR!AG19,EIOPA_RFR!AG19*(1+VLOOKUP($B58,Int_Rate_Param,3,FALSE))))</f>
        <v>2.0008000000000001E-3</v>
      </c>
      <c r="AH58" s="94">
        <f>IF($B58&gt;20,IF(EIOPA_RFR!AH19&lt;0%,EIOPA_RFR!AH19,EIOPA_RFR!AH19*(1+VLOOKUP($B$71,Int_Rate_Param,3,FALSE))),IF(EIOPA_RFR!AH19&lt;0%,EIOPA_RFR!AH19,EIOPA_RFR!AH19*(1+VLOOKUP($B58,Int_Rate_Param,3,FALSE))))</f>
        <v>3.7210000000000003E-3</v>
      </c>
      <c r="AI58" s="94">
        <f>IF($B58&gt;20,IF(EIOPA_RFR!AI19&lt;0%,EIOPA_RFR!AI19,EIOPA_RFR!AI19*(1+VLOOKUP($B$71,Int_Rate_Param,3,FALSE))),IF(EIOPA_RFR!AI19&lt;0%,EIOPA_RFR!AI19,EIOPA_RFR!AI19*(1+VLOOKUP($B58,Int_Rate_Param,3,FALSE))))</f>
        <v>-2.1800000000000001E-3</v>
      </c>
      <c r="AJ58" s="94">
        <f>IF($B58&gt;20,IF(EIOPA_RFR!AJ19&lt;0%,EIOPA_RFR!AJ19,EIOPA_RFR!AJ19*(1+VLOOKUP($B$71,Int_Rate_Param,3,FALSE))),IF(EIOPA_RFR!AJ19&lt;0%,EIOPA_RFR!AJ19,EIOPA_RFR!AJ19*(1+VLOOKUP($B58,Int_Rate_Param,3,FALSE))))</f>
        <v>5.1057000000000003E-3</v>
      </c>
      <c r="AK58" s="94">
        <f>IF($B58&gt;20,IF(EIOPA_RFR!AK19&lt;0%,EIOPA_RFR!AK19,EIOPA_RFR!AK19*(1+VLOOKUP($B$71,Int_Rate_Param,3,FALSE))),IF(EIOPA_RFR!AK19&lt;0%,EIOPA_RFR!AK19,EIOPA_RFR!AK19*(1+VLOOKUP($B58,Int_Rate_Param,3,FALSE))))</f>
        <v>1.5762399999999999E-2</v>
      </c>
      <c r="AL58" s="94">
        <f>IF($B58&gt;20,IF(EIOPA_RFR!AL19&lt;0%,EIOPA_RFR!AL19,EIOPA_RFR!AL19*(1+VLOOKUP($B$71,Int_Rate_Param,3,FALSE))),IF(EIOPA_RFR!AL19&lt;0%,EIOPA_RFR!AL19,EIOPA_RFR!AL19*(1+VLOOKUP($B58,Int_Rate_Param,3,FALSE))))</f>
        <v>5.6998399999999998E-2</v>
      </c>
      <c r="AM58" s="94">
        <f>IF($B58&gt;20,IF(EIOPA_RFR!AM19&lt;0%,EIOPA_RFR!AM19,EIOPA_RFR!AM19*(1+VLOOKUP($B$71,Int_Rate_Param,3,FALSE))),IF(EIOPA_RFR!AM19&lt;0%,EIOPA_RFR!AM19,EIOPA_RFR!AM19*(1+VLOOKUP($B58,Int_Rate_Param,3,FALSE))))</f>
        <v>8.8632999999999993E-3</v>
      </c>
      <c r="AN58" s="94">
        <f>IF($B58&gt;20,IF(EIOPA_RFR!AN19&lt;0%,EIOPA_RFR!AN19,EIOPA_RFR!AN19*(1+VLOOKUP($B$71,Int_Rate_Param,3,FALSE))),IF(EIOPA_RFR!AN19&lt;0%,EIOPA_RFR!AN19,EIOPA_RFR!AN19*(1+VLOOKUP($B58,Int_Rate_Param,3,FALSE))))</f>
        <v>2.2435799999999999E-2</v>
      </c>
      <c r="AO58" s="94">
        <f>IF($B58&gt;20,IF(EIOPA_RFR!AO19&lt;0%,EIOPA_RFR!AO19,EIOPA_RFR!AO19*(1+VLOOKUP($B$71,Int_Rate_Param,3,FALSE))),IF(EIOPA_RFR!AO19&lt;0%,EIOPA_RFR!AO19,EIOPA_RFR!AO19*(1+VLOOKUP($B58,Int_Rate_Param,3,FALSE))))</f>
        <v>2.4040099999999998E-2</v>
      </c>
      <c r="AP58" s="94">
        <f>IF($B58&gt;20,IF(EIOPA_RFR!AP19&lt;0%,EIOPA_RFR!AP19,EIOPA_RFR!AP19*(1+VLOOKUP($B$71,Int_Rate_Param,3,FALSE))),IF(EIOPA_RFR!AP19&lt;0%,EIOPA_RFR!AP19,EIOPA_RFR!AP19*(1+VLOOKUP($B58,Int_Rate_Param,3,FALSE))))</f>
        <v>3.6295000000000001E-2</v>
      </c>
      <c r="AQ58" s="94">
        <f>IF($B58&gt;20,IF(EIOPA_RFR!AQ19&lt;0%,EIOPA_RFR!AQ19,EIOPA_RFR!AQ19*(1+VLOOKUP($B$71,Int_Rate_Param,3,FALSE))),IF(EIOPA_RFR!AQ19&lt;0%,EIOPA_RFR!AQ19,EIOPA_RFR!AQ19*(1+VLOOKUP($B58,Int_Rate_Param,3,FALSE))))</f>
        <v>1.25355E-2</v>
      </c>
      <c r="AR58" s="94">
        <f>IF($B58&gt;20,IF(EIOPA_RFR!AR19&lt;0%,EIOPA_RFR!AR19,EIOPA_RFR!AR19*(1+VLOOKUP($B$71,Int_Rate_Param,3,FALSE))),IF(EIOPA_RFR!AR19&lt;0%,EIOPA_RFR!AR19,EIOPA_RFR!AR19*(1+VLOOKUP($B58,Int_Rate_Param,3,FALSE))))</f>
        <v>4.0046499999999999E-2</v>
      </c>
      <c r="AS58" s="94">
        <f>IF($B58&gt;20,IF(EIOPA_RFR!AS19&lt;0%,EIOPA_RFR!AS19,EIOPA_RFR!AS19*(1+VLOOKUP($B$71,Int_Rate_Param,3,FALSE))),IF(EIOPA_RFR!AS19&lt;0%,EIOPA_RFR!AS19,EIOPA_RFR!AS19*(1+VLOOKUP($B58,Int_Rate_Param,3,FALSE))))</f>
        <v>3.7209999999999999E-4</v>
      </c>
      <c r="AT58" s="94">
        <f>IF($B58&gt;20,IF(EIOPA_RFR!AT19&lt;0%,EIOPA_RFR!AT19,EIOPA_RFR!AT19*(1+VLOOKUP($B$71,Int_Rate_Param,3,FALSE))),IF(EIOPA_RFR!AT19&lt;0%,EIOPA_RFR!AT19,EIOPA_RFR!AT19*(1+VLOOKUP($B58,Int_Rate_Param,3,FALSE))))</f>
        <v>2.3216599999999997E-2</v>
      </c>
      <c r="AU58" s="94">
        <f>IF($B58&gt;20,IF(EIOPA_RFR!AU19&lt;0%,EIOPA_RFR!AU19,EIOPA_RFR!AU19*(1+VLOOKUP($B$71,Int_Rate_Param,3,FALSE))),IF(EIOPA_RFR!AU19&lt;0%,EIOPA_RFR!AU19,EIOPA_RFR!AU19*(1+VLOOKUP($B58,Int_Rate_Param,3,FALSE))))</f>
        <v>4.4066399999999999E-2</v>
      </c>
      <c r="AV58" s="94">
        <f>IF($B58&gt;20,IF(EIOPA_RFR!AV19&lt;0%,EIOPA_RFR!AV19,EIOPA_RFR!AV19*(1+VLOOKUP($B$71,Int_Rate_Param,3,FALSE))),IF(EIOPA_RFR!AV19&lt;0%,EIOPA_RFR!AV19,EIOPA_RFR!AV19*(1+VLOOKUP($B58,Int_Rate_Param,3,FALSE))))</f>
        <v>1.8464699999999997E-2</v>
      </c>
      <c r="AW58" s="94">
        <f>IF($B58&gt;20,IF(EIOPA_RFR!AW19&lt;0%,EIOPA_RFR!AW19,EIOPA_RFR!AW19*(1+VLOOKUP($B$71,Int_Rate_Param,3,FALSE))),IF(EIOPA_RFR!AW19&lt;0%,EIOPA_RFR!AW19,EIOPA_RFR!AW19*(1+VLOOKUP($B58,Int_Rate_Param,3,FALSE))))</f>
        <v>1.3139399999999999E-2</v>
      </c>
      <c r="AX58" s="94">
        <f>IF($B58&gt;20,IF(EIOPA_RFR!AX19&lt;0%,EIOPA_RFR!AX19,EIOPA_RFR!AX19*(1+VLOOKUP($B$71,Int_Rate_Param,3,FALSE))),IF(EIOPA_RFR!AX19&lt;0%,EIOPA_RFR!AX19,EIOPA_RFR!AX19*(1+VLOOKUP($B58,Int_Rate_Param,3,FALSE))))</f>
        <v>4.7976499999999998E-2</v>
      </c>
      <c r="AY58" s="94">
        <f>IF($B58&gt;20,IF(EIOPA_RFR!AY19&lt;0%,EIOPA_RFR!AY19,EIOPA_RFR!AY19*(1+VLOOKUP($B$71,Int_Rate_Param,3,FALSE))),IF(EIOPA_RFR!AY19&lt;0%,EIOPA_RFR!AY19,EIOPA_RFR!AY19*(1+VLOOKUP($B58,Int_Rate_Param,3,FALSE))))</f>
        <v>1.02907E-2</v>
      </c>
      <c r="AZ58" s="94">
        <f>IF($B58&gt;20,IF(EIOPA_RFR!AZ19&lt;0%,EIOPA_RFR!AZ19,EIOPA_RFR!AZ19*(1+VLOOKUP($B$71,Int_Rate_Param,3,FALSE))),IF(EIOPA_RFR!AZ19&lt;0%,EIOPA_RFR!AZ19,EIOPA_RFR!AZ19*(1+VLOOKUP($B58,Int_Rate_Param,3,FALSE))))</f>
        <v>5.6180999999999991E-3</v>
      </c>
      <c r="BA58" s="94">
        <f>IF($B58&gt;20,IF(EIOPA_RFR!BA19&lt;0%,EIOPA_RFR!BA19,EIOPA_RFR!BA19*(1+VLOOKUP($B$71,Int_Rate_Param,3,FALSE))),IF(EIOPA_RFR!BA19&lt;0%,EIOPA_RFR!BA19,EIOPA_RFR!BA19*(1+VLOOKUP($B58,Int_Rate_Param,3,FALSE))))</f>
        <v>1.41703E-2</v>
      </c>
      <c r="BB58" s="94">
        <f>IF($B58&gt;20,IF(EIOPA_RFR!BB19&lt;0%,EIOPA_RFR!BB19,EIOPA_RFR!BB19*(1+VLOOKUP($B$71,Int_Rate_Param,3,FALSE))),IF(EIOPA_RFR!BB19&lt;0%,EIOPA_RFR!BB19,EIOPA_RFR!BB19*(1+VLOOKUP($B58,Int_Rate_Param,3,FALSE))))</f>
        <v>6.7575800000000005E-2</v>
      </c>
      <c r="BC58" s="94">
        <f>IF($B58&gt;20,IF(EIOPA_RFR!BC19&lt;0%,EIOPA_RFR!BC19,EIOPA_RFR!BC19*(1+VLOOKUP($B$71,Int_Rate_Param,3,FALSE))),IF(EIOPA_RFR!BC19&lt;0%,EIOPA_RFR!BC19,EIOPA_RFR!BC19*(1+VLOOKUP($B58,Int_Rate_Param,3,FALSE))))</f>
        <v>1.2718500000000001E-2</v>
      </c>
    </row>
    <row r="59" spans="1:55" x14ac:dyDescent="0.25">
      <c r="A59">
        <f t="shared" si="1"/>
        <v>10</v>
      </c>
      <c r="B59" s="95">
        <v>8</v>
      </c>
      <c r="C59" s="94">
        <f>IF($B59&gt;20,IF(EIOPA_RFR!C20&lt;0%,EIOPA_RFR!C20,EIOPA_RFR!C20*(1+VLOOKUP($B$71,Int_Rate_Param,3,FALSE))),IF(EIOPA_RFR!C20&lt;0%,EIOPA_RFR!C20,EIOPA_RFR!C20*(1+VLOOKUP($B59,Int_Rate_Param,3,FALSE))))</f>
        <v>2.8928000000000001E-3</v>
      </c>
      <c r="D59" s="94">
        <f>IF($B59&gt;20,IF(EIOPA_RFR!D20&lt;0%,EIOPA_RFR!D20,EIOPA_RFR!D20*(1+VLOOKUP($B$71,Int_Rate_Param,3,FALSE))),IF(EIOPA_RFR!D20&lt;0%,EIOPA_RFR!D20,EIOPA_RFR!D20*(1+VLOOKUP($B59,Int_Rate_Param,3,FALSE))))</f>
        <v>2.8928000000000001E-3</v>
      </c>
      <c r="E59" s="94">
        <f>IF($B59&gt;20,IF(EIOPA_RFR!E20&lt;0%,EIOPA_RFR!E20,EIOPA_RFR!E20*(1+VLOOKUP($B$71,Int_Rate_Param,3,FALSE))),IF(EIOPA_RFR!E20&lt;0%,EIOPA_RFR!E20,EIOPA_RFR!E20*(1+VLOOKUP($B59,Int_Rate_Param,3,FALSE))))</f>
        <v>2.8928000000000001E-3</v>
      </c>
      <c r="F59" s="94">
        <f>IF($B59&gt;20,IF(EIOPA_RFR!F20&lt;0%,EIOPA_RFR!F20,EIOPA_RFR!F20*(1+VLOOKUP($B$71,Int_Rate_Param,3,FALSE))),IF(EIOPA_RFR!F20&lt;0%,EIOPA_RFR!F20,EIOPA_RFR!F20*(1+VLOOKUP($B59,Int_Rate_Param,3,FALSE))))</f>
        <v>2.5663999999999999E-3</v>
      </c>
      <c r="G59" s="94">
        <f>IF($B59&gt;20,IF(EIOPA_RFR!G20&lt;0%,EIOPA_RFR!G20,EIOPA_RFR!G20*(1+VLOOKUP($B$71,Int_Rate_Param,3,FALSE))),IF(EIOPA_RFR!G20&lt;0%,EIOPA_RFR!G20,EIOPA_RFR!G20*(1+VLOOKUP($B59,Int_Rate_Param,3,FALSE))))</f>
        <v>1.7491200000000002E-2</v>
      </c>
      <c r="H59" s="94">
        <f>IF($B59&gt;20,IF(EIOPA_RFR!H20&lt;0%,EIOPA_RFR!H20,EIOPA_RFR!H20*(1+VLOOKUP($B$71,Int_Rate_Param,3,FALSE))),IF(EIOPA_RFR!H20&lt;0%,EIOPA_RFR!H20,EIOPA_RFR!H20*(1+VLOOKUP($B59,Int_Rate_Param,3,FALSE))))</f>
        <v>2.8928000000000001E-3</v>
      </c>
      <c r="I59" s="94">
        <f>IF($B59&gt;20,IF(EIOPA_RFR!I20&lt;0%,EIOPA_RFR!I20,EIOPA_RFR!I20*(1+VLOOKUP($B$71,Int_Rate_Param,3,FALSE))),IF(EIOPA_RFR!I20&lt;0%,EIOPA_RFR!I20,EIOPA_RFR!I20*(1+VLOOKUP($B59,Int_Rate_Param,3,FALSE))))</f>
        <v>5.2415999999999999E-3</v>
      </c>
      <c r="J59" s="94">
        <f>IF($B59&gt;20,IF(EIOPA_RFR!J20&lt;0%,EIOPA_RFR!J20,EIOPA_RFR!J20*(1+VLOOKUP($B$71,Int_Rate_Param,3,FALSE))),IF(EIOPA_RFR!J20&lt;0%,EIOPA_RFR!J20,EIOPA_RFR!J20*(1+VLOOKUP($B59,Int_Rate_Param,3,FALSE))))</f>
        <v>2.8288000000000002E-3</v>
      </c>
      <c r="K59" s="94">
        <f>IF($B59&gt;20,IF(EIOPA_RFR!K20&lt;0%,EIOPA_RFR!K20,EIOPA_RFR!K20*(1+VLOOKUP($B$71,Int_Rate_Param,3,FALSE))),IF(EIOPA_RFR!K20&lt;0%,EIOPA_RFR!K20,EIOPA_RFR!K20*(1+VLOOKUP($B59,Int_Rate_Param,3,FALSE))))</f>
        <v>2.8928000000000001E-3</v>
      </c>
      <c r="L59" s="94">
        <f>IF($B59&gt;20,IF(EIOPA_RFR!L20&lt;0%,EIOPA_RFR!L20,EIOPA_RFR!L20*(1+VLOOKUP($B$71,Int_Rate_Param,3,FALSE))),IF(EIOPA_RFR!L20&lt;0%,EIOPA_RFR!L20,EIOPA_RFR!L20*(1+VLOOKUP($B59,Int_Rate_Param,3,FALSE))))</f>
        <v>2.8928000000000001E-3</v>
      </c>
      <c r="M59" s="94">
        <f>IF($B59&gt;20,IF(EIOPA_RFR!M20&lt;0%,EIOPA_RFR!M20,EIOPA_RFR!M20*(1+VLOOKUP($B$71,Int_Rate_Param,3,FALSE))),IF(EIOPA_RFR!M20&lt;0%,EIOPA_RFR!M20,EIOPA_RFR!M20*(1+VLOOKUP($B59,Int_Rate_Param,3,FALSE))))</f>
        <v>2.8928000000000001E-3</v>
      </c>
      <c r="N59" s="94">
        <f>IF($B59&gt;20,IF(EIOPA_RFR!N20&lt;0%,EIOPA_RFR!N20,EIOPA_RFR!N20*(1+VLOOKUP($B$71,Int_Rate_Param,3,FALSE))),IF(EIOPA_RFR!N20&lt;0%,EIOPA_RFR!N20,EIOPA_RFR!N20*(1+VLOOKUP($B59,Int_Rate_Param,3,FALSE))))</f>
        <v>2.8928000000000001E-3</v>
      </c>
      <c r="O59" s="94">
        <f>IF($B59&gt;20,IF(EIOPA_RFR!O20&lt;0%,EIOPA_RFR!O20,EIOPA_RFR!O20*(1+VLOOKUP($B$71,Int_Rate_Param,3,FALSE))),IF(EIOPA_RFR!O20&lt;0%,EIOPA_RFR!O20,EIOPA_RFR!O20*(1+VLOOKUP($B59,Int_Rate_Param,3,FALSE))))</f>
        <v>2.8928000000000001E-3</v>
      </c>
      <c r="P59" s="94">
        <f>IF($B59&gt;20,IF(EIOPA_RFR!P20&lt;0%,EIOPA_RFR!P20,EIOPA_RFR!P20*(1+VLOOKUP($B$71,Int_Rate_Param,3,FALSE))),IF(EIOPA_RFR!P20&lt;0%,EIOPA_RFR!P20,EIOPA_RFR!P20*(1+VLOOKUP($B59,Int_Rate_Param,3,FALSE))))</f>
        <v>1.8009600000000001E-2</v>
      </c>
      <c r="Q59" s="94">
        <f>IF($B59&gt;20,IF(EIOPA_RFR!Q20&lt;0%,EIOPA_RFR!Q20,EIOPA_RFR!Q20*(1+VLOOKUP($B$71,Int_Rate_Param,3,FALSE))),IF(EIOPA_RFR!Q20&lt;0%,EIOPA_RFR!Q20,EIOPA_RFR!Q20*(1+VLOOKUP($B59,Int_Rate_Param,3,FALSE))))</f>
        <v>3.0528E-2</v>
      </c>
      <c r="R59" s="94">
        <f>IF($B59&gt;20,IF(EIOPA_RFR!R20&lt;0%,EIOPA_RFR!R20,EIOPA_RFR!R20*(1+VLOOKUP($B$71,Int_Rate_Param,3,FALSE))),IF(EIOPA_RFR!R20&lt;0%,EIOPA_RFR!R20,EIOPA_RFR!R20*(1+VLOOKUP($B59,Int_Rate_Param,3,FALSE))))</f>
        <v>2.8928000000000001E-3</v>
      </c>
      <c r="S59" s="94">
        <f>IF($B59&gt;20,IF(EIOPA_RFR!S20&lt;0%,EIOPA_RFR!S20,EIOPA_RFR!S20*(1+VLOOKUP($B$71,Int_Rate_Param,3,FALSE))),IF(EIOPA_RFR!S20&lt;0%,EIOPA_RFR!S20,EIOPA_RFR!S20*(1+VLOOKUP($B59,Int_Rate_Param,3,FALSE))))</f>
        <v>2.8928000000000001E-3</v>
      </c>
      <c r="T59" s="94">
        <f>IF($B59&gt;20,IF(EIOPA_RFR!T20&lt;0%,EIOPA_RFR!T20,EIOPA_RFR!T20*(1+VLOOKUP($B$71,Int_Rate_Param,3,FALSE))),IF(EIOPA_RFR!T20&lt;0%,EIOPA_RFR!T20,EIOPA_RFR!T20*(1+VLOOKUP($B59,Int_Rate_Param,3,FALSE))))</f>
        <v>2.8928000000000001E-3</v>
      </c>
      <c r="U59" s="94">
        <f>IF($B59&gt;20,IF(EIOPA_RFR!U20&lt;0%,EIOPA_RFR!U20,EIOPA_RFR!U20*(1+VLOOKUP($B$71,Int_Rate_Param,3,FALSE))),IF(EIOPA_RFR!U20&lt;0%,EIOPA_RFR!U20,EIOPA_RFR!U20*(1+VLOOKUP($B59,Int_Rate_Param,3,FALSE))))</f>
        <v>-1.2099999999999999E-3</v>
      </c>
      <c r="V59" s="94">
        <f>IF($B59&gt;20,IF(EIOPA_RFR!V20&lt;0%,EIOPA_RFR!V20,EIOPA_RFR!V20*(1+VLOOKUP($B$71,Int_Rate_Param,3,FALSE))),IF(EIOPA_RFR!V20&lt;0%,EIOPA_RFR!V20,EIOPA_RFR!V20*(1+VLOOKUP($B59,Int_Rate_Param,3,FALSE))))</f>
        <v>2.8928000000000001E-3</v>
      </c>
      <c r="W59" s="94">
        <f>IF($B59&gt;20,IF(EIOPA_RFR!W20&lt;0%,EIOPA_RFR!W20,EIOPA_RFR!W20*(1+VLOOKUP($B$71,Int_Rate_Param,3,FALSE))),IF(EIOPA_RFR!W20&lt;0%,EIOPA_RFR!W20,EIOPA_RFR!W20*(1+VLOOKUP($B59,Int_Rate_Param,3,FALSE))))</f>
        <v>2.8928000000000001E-3</v>
      </c>
      <c r="X59" s="94">
        <f>IF($B59&gt;20,IF(EIOPA_RFR!X20&lt;0%,EIOPA_RFR!X20,EIOPA_RFR!X20*(1+VLOOKUP($B$71,Int_Rate_Param,3,FALSE))),IF(EIOPA_RFR!X20&lt;0%,EIOPA_RFR!X20,EIOPA_RFR!X20*(1+VLOOKUP($B59,Int_Rate_Param,3,FALSE))))</f>
        <v>2.8928000000000001E-3</v>
      </c>
      <c r="Y59" s="94">
        <f>IF($B59&gt;20,IF(EIOPA_RFR!Y20&lt;0%,EIOPA_RFR!Y20,EIOPA_RFR!Y20*(1+VLOOKUP($B$71,Int_Rate_Param,3,FALSE))),IF(EIOPA_RFR!Y20&lt;0%,EIOPA_RFR!Y20,EIOPA_RFR!Y20*(1+VLOOKUP($B59,Int_Rate_Param,3,FALSE))))</f>
        <v>2.8928000000000001E-3</v>
      </c>
      <c r="Z59" s="94">
        <f>IF($B59&gt;20,IF(EIOPA_RFR!Z20&lt;0%,EIOPA_RFR!Z20,EIOPA_RFR!Z20*(1+VLOOKUP($B$71,Int_Rate_Param,3,FALSE))),IF(EIOPA_RFR!Z20&lt;0%,EIOPA_RFR!Z20,EIOPA_RFR!Z20*(1+VLOOKUP($B59,Int_Rate_Param,3,FALSE))))</f>
        <v>1.09312E-2</v>
      </c>
      <c r="AA59" s="94">
        <f>IF($B59&gt;20,IF(EIOPA_RFR!AA20&lt;0%,EIOPA_RFR!AA20,EIOPA_RFR!AA20*(1+VLOOKUP($B$71,Int_Rate_Param,3,FALSE))),IF(EIOPA_RFR!AA20&lt;0%,EIOPA_RFR!AA20,EIOPA_RFR!AA20*(1+VLOOKUP($B59,Int_Rate_Param,3,FALSE))))</f>
        <v>2.0044800000000002E-2</v>
      </c>
      <c r="AB59" s="94">
        <f>IF($B59&gt;20,IF(EIOPA_RFR!AB20&lt;0%,EIOPA_RFR!AB20,EIOPA_RFR!AB20*(1+VLOOKUP($B$71,Int_Rate_Param,3,FALSE))),IF(EIOPA_RFR!AB20&lt;0%,EIOPA_RFR!AB20,EIOPA_RFR!AB20*(1+VLOOKUP($B59,Int_Rate_Param,3,FALSE))))</f>
        <v>2.8928000000000001E-3</v>
      </c>
      <c r="AC59" s="94">
        <f>IF($B59&gt;20,IF(EIOPA_RFR!AC20&lt;0%,EIOPA_RFR!AC20,EIOPA_RFR!AC20*(1+VLOOKUP($B$71,Int_Rate_Param,3,FALSE))),IF(EIOPA_RFR!AC20&lt;0%,EIOPA_RFR!AC20,EIOPA_RFR!AC20*(1+VLOOKUP($B59,Int_Rate_Param,3,FALSE))))</f>
        <v>2.2918400000000002E-2</v>
      </c>
      <c r="AD59" s="94">
        <f>IF($B59&gt;20,IF(EIOPA_RFR!AD20&lt;0%,EIOPA_RFR!AD20,EIOPA_RFR!AD20*(1+VLOOKUP($B$71,Int_Rate_Param,3,FALSE))),IF(EIOPA_RFR!AD20&lt;0%,EIOPA_RFR!AD20,EIOPA_RFR!AD20*(1+VLOOKUP($B59,Int_Rate_Param,3,FALSE))))</f>
        <v>5.0054399999999999E-2</v>
      </c>
      <c r="AE59" s="94">
        <f>IF($B59&gt;20,IF(EIOPA_RFR!AE20&lt;0%,EIOPA_RFR!AE20,EIOPA_RFR!AE20*(1+VLOOKUP($B$71,Int_Rate_Param,3,FALSE))),IF(EIOPA_RFR!AE20&lt;0%,EIOPA_RFR!AE20,EIOPA_RFR!AE20*(1+VLOOKUP($B59,Int_Rate_Param,3,FALSE))))</f>
        <v>2.8928000000000001E-3</v>
      </c>
      <c r="AF59" s="94">
        <f>IF($B59&gt;20,IF(EIOPA_RFR!AF20&lt;0%,EIOPA_RFR!AF20,EIOPA_RFR!AF20*(1+VLOOKUP($B$71,Int_Rate_Param,3,FALSE))),IF(EIOPA_RFR!AF20&lt;0%,EIOPA_RFR!AF20,EIOPA_RFR!AF20*(1+VLOOKUP($B59,Int_Rate_Param,3,FALSE))))</f>
        <v>2.8928000000000001E-3</v>
      </c>
      <c r="AG59" s="94">
        <f>IF($B59&gt;20,IF(EIOPA_RFR!AG20&lt;0%,EIOPA_RFR!AG20,EIOPA_RFR!AG20*(1+VLOOKUP($B$71,Int_Rate_Param,3,FALSE))),IF(EIOPA_RFR!AG20&lt;0%,EIOPA_RFR!AG20,EIOPA_RFR!AG20*(1+VLOOKUP($B59,Int_Rate_Param,3,FALSE))))</f>
        <v>2.8928000000000001E-3</v>
      </c>
      <c r="AH59" s="94">
        <f>IF($B59&gt;20,IF(EIOPA_RFR!AH20&lt;0%,EIOPA_RFR!AH20,EIOPA_RFR!AH20*(1+VLOOKUP($B$71,Int_Rate_Param,3,FALSE))),IF(EIOPA_RFR!AH20&lt;0%,EIOPA_RFR!AH20,EIOPA_RFR!AH20*(1+VLOOKUP($B59,Int_Rate_Param,3,FALSE))))</f>
        <v>4.9471999999999997E-3</v>
      </c>
      <c r="AI59" s="94">
        <f>IF($B59&gt;20,IF(EIOPA_RFR!AI20&lt;0%,EIOPA_RFR!AI20,EIOPA_RFR!AI20*(1+VLOOKUP($B$71,Int_Rate_Param,3,FALSE))),IF(EIOPA_RFR!AI20&lt;0%,EIOPA_RFR!AI20,EIOPA_RFR!AI20*(1+VLOOKUP($B59,Int_Rate_Param,3,FALSE))))</f>
        <v>-1.2099999999999999E-3</v>
      </c>
      <c r="AJ59" s="94">
        <f>IF($B59&gt;20,IF(EIOPA_RFR!AJ20&lt;0%,EIOPA_RFR!AJ20,EIOPA_RFR!AJ20*(1+VLOOKUP($B$71,Int_Rate_Param,3,FALSE))),IF(EIOPA_RFR!AJ20&lt;0%,EIOPA_RFR!AJ20,EIOPA_RFR!AJ20*(1+VLOOKUP($B59,Int_Rate_Param,3,FALSE))))</f>
        <v>5.8111999999999999E-3</v>
      </c>
      <c r="AK59" s="94">
        <f>IF($B59&gt;20,IF(EIOPA_RFR!AK20&lt;0%,EIOPA_RFR!AK20,EIOPA_RFR!AK20*(1+VLOOKUP($B$71,Int_Rate_Param,3,FALSE))),IF(EIOPA_RFR!AK20&lt;0%,EIOPA_RFR!AK20,EIOPA_RFR!AK20*(1+VLOOKUP($B59,Int_Rate_Param,3,FALSE))))</f>
        <v>1.71392E-2</v>
      </c>
      <c r="AL59" s="94">
        <f>IF($B59&gt;20,IF(EIOPA_RFR!AL20&lt;0%,EIOPA_RFR!AL20,EIOPA_RFR!AL20*(1+VLOOKUP($B$71,Int_Rate_Param,3,FALSE))),IF(EIOPA_RFR!AL20&lt;0%,EIOPA_RFR!AL20,EIOPA_RFR!AL20*(1+VLOOKUP($B59,Int_Rate_Param,3,FALSE))))</f>
        <v>5.9846400000000001E-2</v>
      </c>
      <c r="AM59" s="94">
        <f>IF($B59&gt;20,IF(EIOPA_RFR!AM20&lt;0%,EIOPA_RFR!AM20,EIOPA_RFR!AM20*(1+VLOOKUP($B$71,Int_Rate_Param,3,FALSE))),IF(EIOPA_RFR!AM20&lt;0%,EIOPA_RFR!AM20,EIOPA_RFR!AM20*(1+VLOOKUP($B59,Int_Rate_Param,3,FALSE))))</f>
        <v>9.8816000000000008E-3</v>
      </c>
      <c r="AN59" s="94">
        <f>IF($B59&gt;20,IF(EIOPA_RFR!AN20&lt;0%,EIOPA_RFR!AN20,EIOPA_RFR!AN20*(1+VLOOKUP($B$71,Int_Rate_Param,3,FALSE))),IF(EIOPA_RFR!AN20&lt;0%,EIOPA_RFR!AN20,EIOPA_RFR!AN20*(1+VLOOKUP($B59,Int_Rate_Param,3,FALSE))))</f>
        <v>2.4307200000000001E-2</v>
      </c>
      <c r="AO59" s="94">
        <f>IF($B59&gt;20,IF(EIOPA_RFR!AO20&lt;0%,EIOPA_RFR!AO20,EIOPA_RFR!AO20*(1+VLOOKUP($B$71,Int_Rate_Param,3,FALSE))),IF(EIOPA_RFR!AO20&lt;0%,EIOPA_RFR!AO20,EIOPA_RFR!AO20*(1+VLOOKUP($B59,Int_Rate_Param,3,FALSE))))</f>
        <v>2.5996800000000004E-2</v>
      </c>
      <c r="AP59" s="94">
        <f>IF($B59&gt;20,IF(EIOPA_RFR!AP20&lt;0%,EIOPA_RFR!AP20,EIOPA_RFR!AP20*(1+VLOOKUP($B$71,Int_Rate_Param,3,FALSE))),IF(EIOPA_RFR!AP20&lt;0%,EIOPA_RFR!AP20,EIOPA_RFR!AP20*(1+VLOOKUP($B59,Int_Rate_Param,3,FALSE))))</f>
        <v>3.8860800000000001E-2</v>
      </c>
      <c r="AQ59" s="94">
        <f>IF($B59&gt;20,IF(EIOPA_RFR!AQ20&lt;0%,EIOPA_RFR!AQ20,EIOPA_RFR!AQ20*(1+VLOOKUP($B$71,Int_Rate_Param,3,FALSE))),IF(EIOPA_RFR!AQ20&lt;0%,EIOPA_RFR!AQ20,EIOPA_RFR!AQ20*(1+VLOOKUP($B59,Int_Rate_Param,3,FALSE))))</f>
        <v>1.3612800000000001E-2</v>
      </c>
      <c r="AR59" s="94">
        <f>IF($B59&gt;20,IF(EIOPA_RFR!AR20&lt;0%,EIOPA_RFR!AR20,EIOPA_RFR!AR20*(1+VLOOKUP($B$71,Int_Rate_Param,3,FALSE))),IF(EIOPA_RFR!AR20&lt;0%,EIOPA_RFR!AR20,EIOPA_RFR!AR20*(1+VLOOKUP($B59,Int_Rate_Param,3,FALSE))))</f>
        <v>4.2534400000000007E-2</v>
      </c>
      <c r="AS59" s="94">
        <f>IF($B59&gt;20,IF(EIOPA_RFR!AS20&lt;0%,EIOPA_RFR!AS20,EIOPA_RFR!AS20*(1+VLOOKUP($B$71,Int_Rate_Param,3,FALSE))),IF(EIOPA_RFR!AS20&lt;0%,EIOPA_RFR!AS20,EIOPA_RFR!AS20*(1+VLOOKUP($B59,Int_Rate_Param,3,FALSE))))</f>
        <v>6.0159999999999999E-4</v>
      </c>
      <c r="AT59" s="94">
        <f>IF($B59&gt;20,IF(EIOPA_RFR!AT20&lt;0%,EIOPA_RFR!AT20,EIOPA_RFR!AT20*(1+VLOOKUP($B$71,Int_Rate_Param,3,FALSE))),IF(EIOPA_RFR!AT20&lt;0%,EIOPA_RFR!AT20,EIOPA_RFR!AT20*(1+VLOOKUP($B59,Int_Rate_Param,3,FALSE))))</f>
        <v>2.4691200000000003E-2</v>
      </c>
      <c r="AU59" s="94">
        <f>IF($B59&gt;20,IF(EIOPA_RFR!AU20&lt;0%,EIOPA_RFR!AU20,EIOPA_RFR!AU20*(1+VLOOKUP($B$71,Int_Rate_Param,3,FALSE))),IF(EIOPA_RFR!AU20&lt;0%,EIOPA_RFR!AU20,EIOPA_RFR!AU20*(1+VLOOKUP($B59,Int_Rate_Param,3,FALSE))))</f>
        <v>4.6572800000000004E-2</v>
      </c>
      <c r="AV59" s="94">
        <f>IF($B59&gt;20,IF(EIOPA_RFR!AV20&lt;0%,EIOPA_RFR!AV20,EIOPA_RFR!AV20*(1+VLOOKUP($B$71,Int_Rate_Param,3,FALSE))),IF(EIOPA_RFR!AV20&lt;0%,EIOPA_RFR!AV20,EIOPA_RFR!AV20*(1+VLOOKUP($B59,Int_Rate_Param,3,FALSE))))</f>
        <v>2.0089600000000003E-2</v>
      </c>
      <c r="AW59" s="94">
        <f>IF($B59&gt;20,IF(EIOPA_RFR!AW20&lt;0%,EIOPA_RFR!AW20,EIOPA_RFR!AW20*(1+VLOOKUP($B$71,Int_Rate_Param,3,FALSE))),IF(EIOPA_RFR!AW20&lt;0%,EIOPA_RFR!AW20,EIOPA_RFR!AW20*(1+VLOOKUP($B59,Int_Rate_Param,3,FALSE))))</f>
        <v>1.44E-2</v>
      </c>
      <c r="AX59" s="94">
        <f>IF($B59&gt;20,IF(EIOPA_RFR!AX20&lt;0%,EIOPA_RFR!AX20,EIOPA_RFR!AX20*(1+VLOOKUP($B$71,Int_Rate_Param,3,FALSE))),IF(EIOPA_RFR!AX20&lt;0%,EIOPA_RFR!AX20,EIOPA_RFR!AX20*(1+VLOOKUP($B59,Int_Rate_Param,3,FALSE))))</f>
        <v>5.1104000000000004E-2</v>
      </c>
      <c r="AY59" s="94">
        <f>IF($B59&gt;20,IF(EIOPA_RFR!AY20&lt;0%,EIOPA_RFR!AY20,EIOPA_RFR!AY20*(1+VLOOKUP($B$71,Int_Rate_Param,3,FALSE))),IF(EIOPA_RFR!AY20&lt;0%,EIOPA_RFR!AY20,EIOPA_RFR!AY20*(1+VLOOKUP($B59,Int_Rate_Param,3,FALSE))))</f>
        <v>1.10528E-2</v>
      </c>
      <c r="AZ59" s="94">
        <f>IF($B59&gt;20,IF(EIOPA_RFR!AZ20&lt;0%,EIOPA_RFR!AZ20,EIOPA_RFR!AZ20*(1+VLOOKUP($B$71,Int_Rate_Param,3,FALSE))),IF(EIOPA_RFR!AZ20&lt;0%,EIOPA_RFR!AZ20,EIOPA_RFR!AZ20*(1+VLOOKUP($B59,Int_Rate_Param,3,FALSE))))</f>
        <v>6.2848000000000001E-3</v>
      </c>
      <c r="BA59" s="94">
        <f>IF($B59&gt;20,IF(EIOPA_RFR!BA20&lt;0%,EIOPA_RFR!BA20,EIOPA_RFR!BA20*(1+VLOOKUP($B$71,Int_Rate_Param,3,FALSE))),IF(EIOPA_RFR!BA20&lt;0%,EIOPA_RFR!BA20,EIOPA_RFR!BA20*(1+VLOOKUP($B59,Int_Rate_Param,3,FALSE))))</f>
        <v>1.5449600000000001E-2</v>
      </c>
      <c r="BB59" s="94">
        <f>IF($B59&gt;20,IF(EIOPA_RFR!BB20&lt;0%,EIOPA_RFR!BB20,EIOPA_RFR!BB20*(1+VLOOKUP($B$71,Int_Rate_Param,3,FALSE))),IF(EIOPA_RFR!BB20&lt;0%,EIOPA_RFR!BB20,EIOPA_RFR!BB20*(1+VLOOKUP($B59,Int_Rate_Param,3,FALSE))))</f>
        <v>6.9683200000000001E-2</v>
      </c>
      <c r="BC59" s="94">
        <f>IF($B59&gt;20,IF(EIOPA_RFR!BC20&lt;0%,EIOPA_RFR!BC20,EIOPA_RFR!BC20*(1+VLOOKUP($B$71,Int_Rate_Param,3,FALSE))),IF(EIOPA_RFR!BC20&lt;0%,EIOPA_RFR!BC20,EIOPA_RFR!BC20*(1+VLOOKUP($B59,Int_Rate_Param,3,FALSE))))</f>
        <v>1.3772800000000002E-2</v>
      </c>
    </row>
    <row r="60" spans="1:55" x14ac:dyDescent="0.25">
      <c r="A60">
        <f t="shared" si="1"/>
        <v>11</v>
      </c>
      <c r="B60" s="95">
        <v>9</v>
      </c>
      <c r="C60" s="94">
        <f>IF($B60&gt;20,IF(EIOPA_RFR!C21&lt;0%,EIOPA_RFR!C21,EIOPA_RFR!C21*(1+VLOOKUP($B$71,Int_Rate_Param,3,FALSE))),IF(EIOPA_RFR!C21&lt;0%,EIOPA_RFR!C21,EIOPA_RFR!C21*(1+VLOOKUP($B60,Int_Rate_Param,3,FALSE))))</f>
        <v>3.8256999999999996E-3</v>
      </c>
      <c r="D60" s="94">
        <f>IF($B60&gt;20,IF(EIOPA_RFR!D21&lt;0%,EIOPA_RFR!D21,EIOPA_RFR!D21*(1+VLOOKUP($B$71,Int_Rate_Param,3,FALSE))),IF(EIOPA_RFR!D21&lt;0%,EIOPA_RFR!D21,EIOPA_RFR!D21*(1+VLOOKUP($B60,Int_Rate_Param,3,FALSE))))</f>
        <v>3.8256999999999996E-3</v>
      </c>
      <c r="E60" s="94">
        <f>IF($B60&gt;20,IF(EIOPA_RFR!E21&lt;0%,EIOPA_RFR!E21,EIOPA_RFR!E21*(1+VLOOKUP($B$71,Int_Rate_Param,3,FALSE))),IF(EIOPA_RFR!E21&lt;0%,EIOPA_RFR!E21,EIOPA_RFR!E21*(1+VLOOKUP($B60,Int_Rate_Param,3,FALSE))))</f>
        <v>3.8256999999999996E-3</v>
      </c>
      <c r="F60" s="94">
        <f>IF($B60&gt;20,IF(EIOPA_RFR!F21&lt;0%,EIOPA_RFR!F21,EIOPA_RFR!F21*(1+VLOOKUP($B$71,Int_Rate_Param,3,FALSE))),IF(EIOPA_RFR!F21&lt;0%,EIOPA_RFR!F21,EIOPA_RFR!F21*(1+VLOOKUP($B60,Int_Rate_Param,3,FALSE))))</f>
        <v>3.4839999999999997E-3</v>
      </c>
      <c r="G60" s="94">
        <f>IF($B60&gt;20,IF(EIOPA_RFR!G21&lt;0%,EIOPA_RFR!G21,EIOPA_RFR!G21*(1+VLOOKUP($B$71,Int_Rate_Param,3,FALSE))),IF(EIOPA_RFR!G21&lt;0%,EIOPA_RFR!G21,EIOPA_RFR!G21*(1+VLOOKUP($B60,Int_Rate_Param,3,FALSE))))</f>
        <v>1.89275E-2</v>
      </c>
      <c r="H60" s="94">
        <f>IF($B60&gt;20,IF(EIOPA_RFR!H21&lt;0%,EIOPA_RFR!H21,EIOPA_RFR!H21*(1+VLOOKUP($B$71,Int_Rate_Param,3,FALSE))),IF(EIOPA_RFR!H21&lt;0%,EIOPA_RFR!H21,EIOPA_RFR!H21*(1+VLOOKUP($B60,Int_Rate_Param,3,FALSE))))</f>
        <v>3.8256999999999996E-3</v>
      </c>
      <c r="I60" s="94">
        <f>IF($B60&gt;20,IF(EIOPA_RFR!I21&lt;0%,EIOPA_RFR!I21,EIOPA_RFR!I21*(1+VLOOKUP($B$71,Int_Rate_Param,3,FALSE))),IF(EIOPA_RFR!I21&lt;0%,EIOPA_RFR!I21,EIOPA_RFR!I21*(1+VLOOKUP($B60,Int_Rate_Param,3,FALSE))))</f>
        <v>5.9763999999999998E-3</v>
      </c>
      <c r="J60" s="94">
        <f>IF($B60&gt;20,IF(EIOPA_RFR!J21&lt;0%,EIOPA_RFR!J21,EIOPA_RFR!J21*(1+VLOOKUP($B$71,Int_Rate_Param,3,FALSE))),IF(EIOPA_RFR!J21&lt;0%,EIOPA_RFR!J21,EIOPA_RFR!J21*(1+VLOOKUP($B60,Int_Rate_Param,3,FALSE))))</f>
        <v>3.7586999999999998E-3</v>
      </c>
      <c r="K60" s="94">
        <f>IF($B60&gt;20,IF(EIOPA_RFR!K21&lt;0%,EIOPA_RFR!K21,EIOPA_RFR!K21*(1+VLOOKUP($B$71,Int_Rate_Param,3,FALSE))),IF(EIOPA_RFR!K21&lt;0%,EIOPA_RFR!K21,EIOPA_RFR!K21*(1+VLOOKUP($B60,Int_Rate_Param,3,FALSE))))</f>
        <v>3.8256999999999996E-3</v>
      </c>
      <c r="L60" s="94">
        <f>IF($B60&gt;20,IF(EIOPA_RFR!L21&lt;0%,EIOPA_RFR!L21,EIOPA_RFR!L21*(1+VLOOKUP($B$71,Int_Rate_Param,3,FALSE))),IF(EIOPA_RFR!L21&lt;0%,EIOPA_RFR!L21,EIOPA_RFR!L21*(1+VLOOKUP($B60,Int_Rate_Param,3,FALSE))))</f>
        <v>3.8256999999999996E-3</v>
      </c>
      <c r="M60" s="94">
        <f>IF($B60&gt;20,IF(EIOPA_RFR!M21&lt;0%,EIOPA_RFR!M21,EIOPA_RFR!M21*(1+VLOOKUP($B$71,Int_Rate_Param,3,FALSE))),IF(EIOPA_RFR!M21&lt;0%,EIOPA_RFR!M21,EIOPA_RFR!M21*(1+VLOOKUP($B60,Int_Rate_Param,3,FALSE))))</f>
        <v>3.8256999999999996E-3</v>
      </c>
      <c r="N60" s="94">
        <f>IF($B60&gt;20,IF(EIOPA_RFR!N21&lt;0%,EIOPA_RFR!N21,EIOPA_RFR!N21*(1+VLOOKUP($B$71,Int_Rate_Param,3,FALSE))),IF(EIOPA_RFR!N21&lt;0%,EIOPA_RFR!N21,EIOPA_RFR!N21*(1+VLOOKUP($B60,Int_Rate_Param,3,FALSE))))</f>
        <v>3.8256999999999996E-3</v>
      </c>
      <c r="O60" s="94">
        <f>IF($B60&gt;20,IF(EIOPA_RFR!O21&lt;0%,EIOPA_RFR!O21,EIOPA_RFR!O21*(1+VLOOKUP($B$71,Int_Rate_Param,3,FALSE))),IF(EIOPA_RFR!O21&lt;0%,EIOPA_RFR!O21,EIOPA_RFR!O21*(1+VLOOKUP($B60,Int_Rate_Param,3,FALSE))))</f>
        <v>3.8256999999999996E-3</v>
      </c>
      <c r="P60" s="94">
        <f>IF($B60&gt;20,IF(EIOPA_RFR!P21&lt;0%,EIOPA_RFR!P21,EIOPA_RFR!P21*(1+VLOOKUP($B$71,Int_Rate_Param,3,FALSE))),IF(EIOPA_RFR!P21&lt;0%,EIOPA_RFR!P21,EIOPA_RFR!P21*(1+VLOOKUP($B60,Int_Rate_Param,3,FALSE))))</f>
        <v>2.0180399999999998E-2</v>
      </c>
      <c r="Q60" s="94">
        <f>IF($B60&gt;20,IF(EIOPA_RFR!Q21&lt;0%,EIOPA_RFR!Q21,EIOPA_RFR!Q21*(1+VLOOKUP($B$71,Int_Rate_Param,3,FALSE))),IF(EIOPA_RFR!Q21&lt;0%,EIOPA_RFR!Q21,EIOPA_RFR!Q21*(1+VLOOKUP($B60,Int_Rate_Param,3,FALSE))))</f>
        <v>3.1918799999999997E-2</v>
      </c>
      <c r="R60" s="94">
        <f>IF($B60&gt;20,IF(EIOPA_RFR!R21&lt;0%,EIOPA_RFR!R21,EIOPA_RFR!R21*(1+VLOOKUP($B$71,Int_Rate_Param,3,FALSE))),IF(EIOPA_RFR!R21&lt;0%,EIOPA_RFR!R21,EIOPA_RFR!R21*(1+VLOOKUP($B60,Int_Rate_Param,3,FALSE))))</f>
        <v>3.8256999999999996E-3</v>
      </c>
      <c r="S60" s="94">
        <f>IF($B60&gt;20,IF(EIOPA_RFR!S21&lt;0%,EIOPA_RFR!S21,EIOPA_RFR!S21*(1+VLOOKUP($B$71,Int_Rate_Param,3,FALSE))),IF(EIOPA_RFR!S21&lt;0%,EIOPA_RFR!S21,EIOPA_RFR!S21*(1+VLOOKUP($B60,Int_Rate_Param,3,FALSE))))</f>
        <v>3.8256999999999996E-3</v>
      </c>
      <c r="T60" s="94">
        <f>IF($B60&gt;20,IF(EIOPA_RFR!T21&lt;0%,EIOPA_RFR!T21,EIOPA_RFR!T21*(1+VLOOKUP($B$71,Int_Rate_Param,3,FALSE))),IF(EIOPA_RFR!T21&lt;0%,EIOPA_RFR!T21,EIOPA_RFR!T21*(1+VLOOKUP($B60,Int_Rate_Param,3,FALSE))))</f>
        <v>3.8256999999999996E-3</v>
      </c>
      <c r="U60" s="94">
        <f>IF($B60&gt;20,IF(EIOPA_RFR!U21&lt;0%,EIOPA_RFR!U21,EIOPA_RFR!U21*(1+VLOOKUP($B$71,Int_Rate_Param,3,FALSE))),IF(EIOPA_RFR!U21&lt;0%,EIOPA_RFR!U21,EIOPA_RFR!U21*(1+VLOOKUP($B60,Int_Rate_Param,3,FALSE))))</f>
        <v>-3.3E-4</v>
      </c>
      <c r="V60" s="94">
        <f>IF($B60&gt;20,IF(EIOPA_RFR!V21&lt;0%,EIOPA_RFR!V21,EIOPA_RFR!V21*(1+VLOOKUP($B$71,Int_Rate_Param,3,FALSE))),IF(EIOPA_RFR!V21&lt;0%,EIOPA_RFR!V21,EIOPA_RFR!V21*(1+VLOOKUP($B60,Int_Rate_Param,3,FALSE))))</f>
        <v>3.8256999999999996E-3</v>
      </c>
      <c r="W60" s="94">
        <f>IF($B60&gt;20,IF(EIOPA_RFR!W21&lt;0%,EIOPA_RFR!W21,EIOPA_RFR!W21*(1+VLOOKUP($B$71,Int_Rate_Param,3,FALSE))),IF(EIOPA_RFR!W21&lt;0%,EIOPA_RFR!W21,EIOPA_RFR!W21*(1+VLOOKUP($B60,Int_Rate_Param,3,FALSE))))</f>
        <v>3.8256999999999996E-3</v>
      </c>
      <c r="X60" s="94">
        <f>IF($B60&gt;20,IF(EIOPA_RFR!X21&lt;0%,EIOPA_RFR!X21,EIOPA_RFR!X21*(1+VLOOKUP($B$71,Int_Rate_Param,3,FALSE))),IF(EIOPA_RFR!X21&lt;0%,EIOPA_RFR!X21,EIOPA_RFR!X21*(1+VLOOKUP($B60,Int_Rate_Param,3,FALSE))))</f>
        <v>3.8256999999999996E-3</v>
      </c>
      <c r="Y60" s="94">
        <f>IF($B60&gt;20,IF(EIOPA_RFR!Y21&lt;0%,EIOPA_RFR!Y21,EIOPA_RFR!Y21*(1+VLOOKUP($B$71,Int_Rate_Param,3,FALSE))),IF(EIOPA_RFR!Y21&lt;0%,EIOPA_RFR!Y21,EIOPA_RFR!Y21*(1+VLOOKUP($B60,Int_Rate_Param,3,FALSE))))</f>
        <v>3.8256999999999996E-3</v>
      </c>
      <c r="Z60" s="94">
        <f>IF($B60&gt;20,IF(EIOPA_RFR!Z21&lt;0%,EIOPA_RFR!Z21,EIOPA_RFR!Z21*(1+VLOOKUP($B$71,Int_Rate_Param,3,FALSE))),IF(EIOPA_RFR!Z21&lt;0%,EIOPA_RFR!Z21,EIOPA_RFR!Z21*(1+VLOOKUP($B60,Int_Rate_Param,3,FALSE))))</f>
        <v>1.1905899999999999E-2</v>
      </c>
      <c r="AA60" s="94">
        <f>IF($B60&gt;20,IF(EIOPA_RFR!AA21&lt;0%,EIOPA_RFR!AA21,EIOPA_RFR!AA21*(1+VLOOKUP($B$71,Int_Rate_Param,3,FALSE))),IF(EIOPA_RFR!AA21&lt;0%,EIOPA_RFR!AA21,EIOPA_RFR!AA21*(1+VLOOKUP($B60,Int_Rate_Param,3,FALSE))))</f>
        <v>2.16276E-2</v>
      </c>
      <c r="AB60" s="94">
        <f>IF($B60&gt;20,IF(EIOPA_RFR!AB21&lt;0%,EIOPA_RFR!AB21,EIOPA_RFR!AB21*(1+VLOOKUP($B$71,Int_Rate_Param,3,FALSE))),IF(EIOPA_RFR!AB21&lt;0%,EIOPA_RFR!AB21,EIOPA_RFR!AB21*(1+VLOOKUP($B60,Int_Rate_Param,3,FALSE))))</f>
        <v>3.8256999999999996E-3</v>
      </c>
      <c r="AC60" s="94">
        <f>IF($B60&gt;20,IF(EIOPA_RFR!AC21&lt;0%,EIOPA_RFR!AC21,EIOPA_RFR!AC21*(1+VLOOKUP($B$71,Int_Rate_Param,3,FALSE))),IF(EIOPA_RFR!AC21&lt;0%,EIOPA_RFR!AC21,EIOPA_RFR!AC21*(1+VLOOKUP($B60,Int_Rate_Param,3,FALSE))))</f>
        <v>2.5044599999999997E-2</v>
      </c>
      <c r="AD60" s="94">
        <f>IF($B60&gt;20,IF(EIOPA_RFR!AD21&lt;0%,EIOPA_RFR!AD21,EIOPA_RFR!AD21*(1+VLOOKUP($B$71,Int_Rate_Param,3,FALSE))),IF(EIOPA_RFR!AD21&lt;0%,EIOPA_RFR!AD21,EIOPA_RFR!AD21*(1+VLOOKUP($B60,Int_Rate_Param,3,FALSE))))</f>
        <v>5.1851299999999996E-2</v>
      </c>
      <c r="AE60" s="94">
        <f>IF($B60&gt;20,IF(EIOPA_RFR!AE21&lt;0%,EIOPA_RFR!AE21,EIOPA_RFR!AE21*(1+VLOOKUP($B$71,Int_Rate_Param,3,FALSE))),IF(EIOPA_RFR!AE21&lt;0%,EIOPA_RFR!AE21,EIOPA_RFR!AE21*(1+VLOOKUP($B60,Int_Rate_Param,3,FALSE))))</f>
        <v>3.8256999999999996E-3</v>
      </c>
      <c r="AF60" s="94">
        <f>IF($B60&gt;20,IF(EIOPA_RFR!AF21&lt;0%,EIOPA_RFR!AF21,EIOPA_RFR!AF21*(1+VLOOKUP($B$71,Int_Rate_Param,3,FALSE))),IF(EIOPA_RFR!AF21&lt;0%,EIOPA_RFR!AF21,EIOPA_RFR!AF21*(1+VLOOKUP($B60,Int_Rate_Param,3,FALSE))))</f>
        <v>3.8256999999999996E-3</v>
      </c>
      <c r="AG60" s="94">
        <f>IF($B60&gt;20,IF(EIOPA_RFR!AG21&lt;0%,EIOPA_RFR!AG21,EIOPA_RFR!AG21*(1+VLOOKUP($B$71,Int_Rate_Param,3,FALSE))),IF(EIOPA_RFR!AG21&lt;0%,EIOPA_RFR!AG21,EIOPA_RFR!AG21*(1+VLOOKUP($B60,Int_Rate_Param,3,FALSE))))</f>
        <v>3.8256999999999996E-3</v>
      </c>
      <c r="AH60" s="94">
        <f>IF($B60&gt;20,IF(EIOPA_RFR!AH21&lt;0%,EIOPA_RFR!AH21,EIOPA_RFR!AH21*(1+VLOOKUP($B$71,Int_Rate_Param,3,FALSE))),IF(EIOPA_RFR!AH21&lt;0%,EIOPA_RFR!AH21,EIOPA_RFR!AH21*(1+VLOOKUP($B60,Int_Rate_Param,3,FALSE))))</f>
        <v>6.1237999999999996E-3</v>
      </c>
      <c r="AI60" s="94">
        <f>IF($B60&gt;20,IF(EIOPA_RFR!AI21&lt;0%,EIOPA_RFR!AI21,EIOPA_RFR!AI21*(1+VLOOKUP($B$71,Int_Rate_Param,3,FALSE))),IF(EIOPA_RFR!AI21&lt;0%,EIOPA_RFR!AI21,EIOPA_RFR!AI21*(1+VLOOKUP($B60,Int_Rate_Param,3,FALSE))))</f>
        <v>-3.3E-4</v>
      </c>
      <c r="AJ60" s="94">
        <f>IF($B60&gt;20,IF(EIOPA_RFR!AJ21&lt;0%,EIOPA_RFR!AJ21,EIOPA_RFR!AJ21*(1+VLOOKUP($B$71,Int_Rate_Param,3,FALSE))),IF(EIOPA_RFR!AJ21&lt;0%,EIOPA_RFR!AJ21,EIOPA_RFR!AJ21*(1+VLOOKUP($B60,Int_Rate_Param,3,FALSE))))</f>
        <v>6.5324999999999992E-3</v>
      </c>
      <c r="AK60" s="94">
        <f>IF($B60&gt;20,IF(EIOPA_RFR!AK21&lt;0%,EIOPA_RFR!AK21,EIOPA_RFR!AK21*(1+VLOOKUP($B$71,Int_Rate_Param,3,FALSE))),IF(EIOPA_RFR!AK21&lt;0%,EIOPA_RFR!AK21,EIOPA_RFR!AK21*(1+VLOOKUP($B60,Int_Rate_Param,3,FALSE))))</f>
        <v>1.8478599999999998E-2</v>
      </c>
      <c r="AL60" s="94">
        <f>IF($B60&gt;20,IF(EIOPA_RFR!AL21&lt;0%,EIOPA_RFR!AL21,EIOPA_RFR!AL21*(1+VLOOKUP($B$71,Int_Rate_Param,3,FALSE))),IF(EIOPA_RFR!AL21&lt;0%,EIOPA_RFR!AL21,EIOPA_RFR!AL21*(1+VLOOKUP($B60,Int_Rate_Param,3,FALSE))))</f>
        <v>6.2732099999999999E-2</v>
      </c>
      <c r="AM60" s="94">
        <f>IF($B60&gt;20,IF(EIOPA_RFR!AM21&lt;0%,EIOPA_RFR!AM21,EIOPA_RFR!AM21*(1+VLOOKUP($B$71,Int_Rate_Param,3,FALSE))),IF(EIOPA_RFR!AM21&lt;0%,EIOPA_RFR!AM21,EIOPA_RFR!AM21*(1+VLOOKUP($B60,Int_Rate_Param,3,FALSE))))</f>
        <v>1.09277E-2</v>
      </c>
      <c r="AN60" s="94">
        <f>IF($B60&gt;20,IF(EIOPA_RFR!AN21&lt;0%,EIOPA_RFR!AN21,EIOPA_RFR!AN21*(1+VLOOKUP($B$71,Int_Rate_Param,3,FALSE))),IF(EIOPA_RFR!AN21&lt;0%,EIOPA_RFR!AN21,EIOPA_RFR!AN21*(1+VLOOKUP($B60,Int_Rate_Param,3,FALSE))))</f>
        <v>2.6049599999999996E-2</v>
      </c>
      <c r="AO60" s="94">
        <f>IF($B60&gt;20,IF(EIOPA_RFR!AO21&lt;0%,EIOPA_RFR!AO21,EIOPA_RFR!AO21*(1+VLOOKUP($B$71,Int_Rate_Param,3,FALSE))),IF(EIOPA_RFR!AO21&lt;0%,EIOPA_RFR!AO21,EIOPA_RFR!AO21*(1+VLOOKUP($B60,Int_Rate_Param,3,FALSE))))</f>
        <v>2.7825099999999995E-2</v>
      </c>
      <c r="AP60" s="94">
        <f>IF($B60&gt;20,IF(EIOPA_RFR!AP21&lt;0%,EIOPA_RFR!AP21,EIOPA_RFR!AP21*(1+VLOOKUP($B$71,Int_Rate_Param,3,FALSE))),IF(EIOPA_RFR!AP21&lt;0%,EIOPA_RFR!AP21,EIOPA_RFR!AP21*(1+VLOOKUP($B60,Int_Rate_Param,3,FALSE))))</f>
        <v>4.14261E-2</v>
      </c>
      <c r="AQ60" s="94">
        <f>IF($B60&gt;20,IF(EIOPA_RFR!AQ21&lt;0%,EIOPA_RFR!AQ21,EIOPA_RFR!AQ21*(1+VLOOKUP($B$71,Int_Rate_Param,3,FALSE))),IF(EIOPA_RFR!AQ21&lt;0%,EIOPA_RFR!AQ21,EIOPA_RFR!AQ21*(1+VLOOKUP($B60,Int_Rate_Param,3,FALSE))))</f>
        <v>1.4659599999999998E-2</v>
      </c>
      <c r="AR60" s="94">
        <f>IF($B60&gt;20,IF(EIOPA_RFR!AR21&lt;0%,EIOPA_RFR!AR21,EIOPA_RFR!AR21*(1+VLOOKUP($B$71,Int_Rate_Param,3,FALSE))),IF(EIOPA_RFR!AR21&lt;0%,EIOPA_RFR!AR21,EIOPA_RFR!AR21*(1+VLOOKUP($B60,Int_Rate_Param,3,FALSE))))</f>
        <v>4.5050799999999988E-2</v>
      </c>
      <c r="AS60" s="94">
        <f>IF($B60&gt;20,IF(EIOPA_RFR!AS21&lt;0%,EIOPA_RFR!AS21,EIOPA_RFR!AS21*(1+VLOOKUP($B$71,Int_Rate_Param,3,FALSE))),IF(EIOPA_RFR!AS21&lt;0%,EIOPA_RFR!AS21,EIOPA_RFR!AS21*(1+VLOOKUP($B60,Int_Rate_Param,3,FALSE))))</f>
        <v>8.6429999999999981E-4</v>
      </c>
      <c r="AT60" s="94">
        <f>IF($B60&gt;20,IF(EIOPA_RFR!AT21&lt;0%,EIOPA_RFR!AT21,EIOPA_RFR!AT21*(1+VLOOKUP($B$71,Int_Rate_Param,3,FALSE))),IF(EIOPA_RFR!AT21&lt;0%,EIOPA_RFR!AT21,EIOPA_RFR!AT21*(1+VLOOKUP($B60,Int_Rate_Param,3,FALSE))))</f>
        <v>2.6223799999999999E-2</v>
      </c>
      <c r="AU60" s="94">
        <f>IF($B60&gt;20,IF(EIOPA_RFR!AU21&lt;0%,EIOPA_RFR!AU21,EIOPA_RFR!AU21*(1+VLOOKUP($B$71,Int_Rate_Param,3,FALSE))),IF(EIOPA_RFR!AU21&lt;0%,EIOPA_RFR!AU21,EIOPA_RFR!AU21*(1+VLOOKUP($B60,Int_Rate_Param,3,FALSE))))</f>
        <v>4.9070799999999998E-2</v>
      </c>
      <c r="AV60" s="94">
        <f>IF($B60&gt;20,IF(EIOPA_RFR!AV21&lt;0%,EIOPA_RFR!AV21,EIOPA_RFR!AV21*(1+VLOOKUP($B$71,Int_Rate_Param,3,FALSE))),IF(EIOPA_RFR!AV21&lt;0%,EIOPA_RFR!AV21,EIOPA_RFR!AV21*(1+VLOOKUP($B60,Int_Rate_Param,3,FALSE))))</f>
        <v>2.1667799999999997E-2</v>
      </c>
      <c r="AW60" s="94">
        <f>IF($B60&gt;20,IF(EIOPA_RFR!AW21&lt;0%,EIOPA_RFR!AW21,EIOPA_RFR!AW21*(1+VLOOKUP($B$71,Int_Rate_Param,3,FALSE))),IF(EIOPA_RFR!AW21&lt;0%,EIOPA_RFR!AW21,EIOPA_RFR!AW21*(1+VLOOKUP($B60,Int_Rate_Param,3,FALSE))))</f>
        <v>1.5631099999999998E-2</v>
      </c>
      <c r="AX60" s="94">
        <f>IF($B60&gt;20,IF(EIOPA_RFR!AX21&lt;0%,EIOPA_RFR!AX21,EIOPA_RFR!AX21*(1+VLOOKUP($B$71,Int_Rate_Param,3,FALSE))),IF(EIOPA_RFR!AX21&lt;0%,EIOPA_RFR!AX21,EIOPA_RFR!AX21*(1+VLOOKUP($B60,Int_Rate_Param,3,FALSE))))</f>
        <v>5.4223099999999996E-2</v>
      </c>
      <c r="AY60" s="94">
        <f>IF($B60&gt;20,IF(EIOPA_RFR!AY21&lt;0%,EIOPA_RFR!AY21,EIOPA_RFR!AY21*(1+VLOOKUP($B$71,Int_Rate_Param,3,FALSE))),IF(EIOPA_RFR!AY21&lt;0%,EIOPA_RFR!AY21,EIOPA_RFR!AY21*(1+VLOOKUP($B60,Int_Rate_Param,3,FALSE))))</f>
        <v>1.1825499999999997E-2</v>
      </c>
      <c r="AZ60" s="94">
        <f>IF($B60&gt;20,IF(EIOPA_RFR!AZ21&lt;0%,EIOPA_RFR!AZ21,EIOPA_RFR!AZ21*(1+VLOOKUP($B$71,Int_Rate_Param,3,FALSE))),IF(EIOPA_RFR!AZ21&lt;0%,EIOPA_RFR!AZ21,EIOPA_RFR!AZ21*(1+VLOOKUP($B60,Int_Rate_Param,3,FALSE))))</f>
        <v>6.9746999999999995E-3</v>
      </c>
      <c r="BA60" s="94">
        <f>IF($B60&gt;20,IF(EIOPA_RFR!BA21&lt;0%,EIOPA_RFR!BA21,EIOPA_RFR!BA21*(1+VLOOKUP($B$71,Int_Rate_Param,3,FALSE))),IF(EIOPA_RFR!BA21&lt;0%,EIOPA_RFR!BA21,EIOPA_RFR!BA21*(1+VLOOKUP($B60,Int_Rate_Param,3,FALSE))))</f>
        <v>1.66964E-2</v>
      </c>
      <c r="BB60" s="94">
        <f>IF($B60&gt;20,IF(EIOPA_RFR!BB21&lt;0%,EIOPA_RFR!BB21,EIOPA_RFR!BB21*(1+VLOOKUP($B$71,Int_Rate_Param,3,FALSE))),IF(EIOPA_RFR!BB21&lt;0%,EIOPA_RFR!BB21,EIOPA_RFR!BB21*(1+VLOOKUP($B60,Int_Rate_Param,3,FALSE))))</f>
        <v>7.1837399999999996E-2</v>
      </c>
      <c r="BC60" s="94">
        <f>IF($B60&gt;20,IF(EIOPA_RFR!BC21&lt;0%,EIOPA_RFR!BC21,EIOPA_RFR!BC21*(1+VLOOKUP($B$71,Int_Rate_Param,3,FALSE))),IF(EIOPA_RFR!BC21&lt;0%,EIOPA_RFR!BC21,EIOPA_RFR!BC21*(1+VLOOKUP($B60,Int_Rate_Param,3,FALSE))))</f>
        <v>1.4813699999999999E-2</v>
      </c>
    </row>
    <row r="61" spans="1:55" x14ac:dyDescent="0.25">
      <c r="A61">
        <f t="shared" si="1"/>
        <v>12</v>
      </c>
      <c r="B61" s="95">
        <v>10</v>
      </c>
      <c r="C61" s="94">
        <f>IF($B61&gt;20,IF(EIOPA_RFR!C22&lt;0%,EIOPA_RFR!C22,EIOPA_RFR!C22*(1+VLOOKUP($B$71,Int_Rate_Param,3,FALSE))),IF(EIOPA_RFR!C22&lt;0%,EIOPA_RFR!C22,EIOPA_RFR!C22*(1+VLOOKUP($B61,Int_Rate_Param,3,FALSE))))</f>
        <v>4.6712999999999998E-3</v>
      </c>
      <c r="D61" s="94">
        <f>IF($B61&gt;20,IF(EIOPA_RFR!D22&lt;0%,EIOPA_RFR!D22,EIOPA_RFR!D22*(1+VLOOKUP($B$71,Int_Rate_Param,3,FALSE))),IF(EIOPA_RFR!D22&lt;0%,EIOPA_RFR!D22,EIOPA_RFR!D22*(1+VLOOKUP($B61,Int_Rate_Param,3,FALSE))))</f>
        <v>4.6712999999999998E-3</v>
      </c>
      <c r="E61" s="94">
        <f>IF($B61&gt;20,IF(EIOPA_RFR!E22&lt;0%,EIOPA_RFR!E22,EIOPA_RFR!E22*(1+VLOOKUP($B$71,Int_Rate_Param,3,FALSE))),IF(EIOPA_RFR!E22&lt;0%,EIOPA_RFR!E22,EIOPA_RFR!E22*(1+VLOOKUP($B61,Int_Rate_Param,3,FALSE))))</f>
        <v>4.6712999999999998E-3</v>
      </c>
      <c r="F61" s="94">
        <f>IF($B61&gt;20,IF(EIOPA_RFR!F22&lt;0%,EIOPA_RFR!F22,EIOPA_RFR!F22*(1+VLOOKUP($B$71,Int_Rate_Param,3,FALSE))),IF(EIOPA_RFR!F22&lt;0%,EIOPA_RFR!F22,EIOPA_RFR!F22*(1+VLOOKUP($B61,Int_Rate_Param,3,FALSE))))</f>
        <v>4.3193999999999993E-3</v>
      </c>
      <c r="G61" s="94">
        <f>IF($B61&gt;20,IF(EIOPA_RFR!G22&lt;0%,EIOPA_RFR!G22,EIOPA_RFR!G22*(1+VLOOKUP($B$71,Int_Rate_Param,3,FALSE))),IF(EIOPA_RFR!G22&lt;0%,EIOPA_RFR!G22,EIOPA_RFR!G22*(1+VLOOKUP($B61,Int_Rate_Param,3,FALSE))))</f>
        <v>2.0037599999999999E-2</v>
      </c>
      <c r="H61" s="94">
        <f>IF($B61&gt;20,IF(EIOPA_RFR!H22&lt;0%,EIOPA_RFR!H22,EIOPA_RFR!H22*(1+VLOOKUP($B$71,Int_Rate_Param,3,FALSE))),IF(EIOPA_RFR!H22&lt;0%,EIOPA_RFR!H22,EIOPA_RFR!H22*(1+VLOOKUP($B61,Int_Rate_Param,3,FALSE))))</f>
        <v>4.6712999999999998E-3</v>
      </c>
      <c r="I61" s="94">
        <f>IF($B61&gt;20,IF(EIOPA_RFR!I22&lt;0%,EIOPA_RFR!I22,EIOPA_RFR!I22*(1+VLOOKUP($B$71,Int_Rate_Param,3,FALSE))),IF(EIOPA_RFR!I22&lt;0%,EIOPA_RFR!I22,EIOPA_RFR!I22*(1+VLOOKUP($B61,Int_Rate_Param,3,FALSE))))</f>
        <v>6.7067999999999989E-3</v>
      </c>
      <c r="J61" s="94">
        <f>IF($B61&gt;20,IF(EIOPA_RFR!J22&lt;0%,EIOPA_RFR!J22,EIOPA_RFR!J22*(1+VLOOKUP($B$71,Int_Rate_Param,3,FALSE))),IF(EIOPA_RFR!J22&lt;0%,EIOPA_RFR!J22,EIOPA_RFR!J22*(1+VLOOKUP($B61,Int_Rate_Param,3,FALSE))))</f>
        <v>4.6022999999999993E-3</v>
      </c>
      <c r="K61" s="94">
        <f>IF($B61&gt;20,IF(EIOPA_RFR!K22&lt;0%,EIOPA_RFR!K22,EIOPA_RFR!K22*(1+VLOOKUP($B$71,Int_Rate_Param,3,FALSE))),IF(EIOPA_RFR!K22&lt;0%,EIOPA_RFR!K22,EIOPA_RFR!K22*(1+VLOOKUP($B61,Int_Rate_Param,3,FALSE))))</f>
        <v>4.6712999999999998E-3</v>
      </c>
      <c r="L61" s="94">
        <f>IF($B61&gt;20,IF(EIOPA_RFR!L22&lt;0%,EIOPA_RFR!L22,EIOPA_RFR!L22*(1+VLOOKUP($B$71,Int_Rate_Param,3,FALSE))),IF(EIOPA_RFR!L22&lt;0%,EIOPA_RFR!L22,EIOPA_RFR!L22*(1+VLOOKUP($B61,Int_Rate_Param,3,FALSE))))</f>
        <v>4.6712999999999998E-3</v>
      </c>
      <c r="M61" s="94">
        <f>IF($B61&gt;20,IF(EIOPA_RFR!M22&lt;0%,EIOPA_RFR!M22,EIOPA_RFR!M22*(1+VLOOKUP($B$71,Int_Rate_Param,3,FALSE))),IF(EIOPA_RFR!M22&lt;0%,EIOPA_RFR!M22,EIOPA_RFR!M22*(1+VLOOKUP($B61,Int_Rate_Param,3,FALSE))))</f>
        <v>4.6712999999999998E-3</v>
      </c>
      <c r="N61" s="94">
        <f>IF($B61&gt;20,IF(EIOPA_RFR!N22&lt;0%,EIOPA_RFR!N22,EIOPA_RFR!N22*(1+VLOOKUP($B$71,Int_Rate_Param,3,FALSE))),IF(EIOPA_RFR!N22&lt;0%,EIOPA_RFR!N22,EIOPA_RFR!N22*(1+VLOOKUP($B61,Int_Rate_Param,3,FALSE))))</f>
        <v>4.6712999999999998E-3</v>
      </c>
      <c r="O61" s="94">
        <f>IF($B61&gt;20,IF(EIOPA_RFR!O22&lt;0%,EIOPA_RFR!O22,EIOPA_RFR!O22*(1+VLOOKUP($B$71,Int_Rate_Param,3,FALSE))),IF(EIOPA_RFR!O22&lt;0%,EIOPA_RFR!O22,EIOPA_RFR!O22*(1+VLOOKUP($B61,Int_Rate_Param,3,FALSE))))</f>
        <v>4.6712999999999998E-3</v>
      </c>
      <c r="P61" s="94">
        <f>IF($B61&gt;20,IF(EIOPA_RFR!P22&lt;0%,EIOPA_RFR!P22,EIOPA_RFR!P22*(1+VLOOKUP($B$71,Int_Rate_Param,3,FALSE))),IF(EIOPA_RFR!P22&lt;0%,EIOPA_RFR!P22,EIOPA_RFR!P22*(1+VLOOKUP($B61,Int_Rate_Param,3,FALSE))))</f>
        <v>2.1872999999999997E-2</v>
      </c>
      <c r="Q61" s="94">
        <f>IF($B61&gt;20,IF(EIOPA_RFR!Q22&lt;0%,EIOPA_RFR!Q22,EIOPA_RFR!Q22*(1+VLOOKUP($B$71,Int_Rate_Param,3,FALSE))),IF(EIOPA_RFR!Q22&lt;0%,EIOPA_RFR!Q22,EIOPA_RFR!Q22*(1+VLOOKUP($B61,Int_Rate_Param,3,FALSE))))</f>
        <v>3.2809499999999998E-2</v>
      </c>
      <c r="R61" s="94">
        <f>IF($B61&gt;20,IF(EIOPA_RFR!R22&lt;0%,EIOPA_RFR!R22,EIOPA_RFR!R22*(1+VLOOKUP($B$71,Int_Rate_Param,3,FALSE))),IF(EIOPA_RFR!R22&lt;0%,EIOPA_RFR!R22,EIOPA_RFR!R22*(1+VLOOKUP($B61,Int_Rate_Param,3,FALSE))))</f>
        <v>4.6712999999999998E-3</v>
      </c>
      <c r="S61" s="94">
        <f>IF($B61&gt;20,IF(EIOPA_RFR!S22&lt;0%,EIOPA_RFR!S22,EIOPA_RFR!S22*(1+VLOOKUP($B$71,Int_Rate_Param,3,FALSE))),IF(EIOPA_RFR!S22&lt;0%,EIOPA_RFR!S22,EIOPA_RFR!S22*(1+VLOOKUP($B61,Int_Rate_Param,3,FALSE))))</f>
        <v>4.6712999999999998E-3</v>
      </c>
      <c r="T61" s="94">
        <f>IF($B61&gt;20,IF(EIOPA_RFR!T22&lt;0%,EIOPA_RFR!T22,EIOPA_RFR!T22*(1+VLOOKUP($B$71,Int_Rate_Param,3,FALSE))),IF(EIOPA_RFR!T22&lt;0%,EIOPA_RFR!T22,EIOPA_RFR!T22*(1+VLOOKUP($B61,Int_Rate_Param,3,FALSE))))</f>
        <v>4.6712999999999998E-3</v>
      </c>
      <c r="U61" s="94">
        <f>IF($B61&gt;20,IF(EIOPA_RFR!U22&lt;0%,EIOPA_RFR!U22,EIOPA_RFR!U22*(1+VLOOKUP($B$71,Int_Rate_Param,3,FALSE))),IF(EIOPA_RFR!U22&lt;0%,EIOPA_RFR!U22,EIOPA_RFR!U22*(1+VLOOKUP($B61,Int_Rate_Param,3,FALSE))))</f>
        <v>2.139E-4</v>
      </c>
      <c r="V61" s="94">
        <f>IF($B61&gt;20,IF(EIOPA_RFR!V22&lt;0%,EIOPA_RFR!V22,EIOPA_RFR!V22*(1+VLOOKUP($B$71,Int_Rate_Param,3,FALSE))),IF(EIOPA_RFR!V22&lt;0%,EIOPA_RFR!V22,EIOPA_RFR!V22*(1+VLOOKUP($B61,Int_Rate_Param,3,FALSE))))</f>
        <v>4.6712999999999998E-3</v>
      </c>
      <c r="W61" s="94">
        <f>IF($B61&gt;20,IF(EIOPA_RFR!W22&lt;0%,EIOPA_RFR!W22,EIOPA_RFR!W22*(1+VLOOKUP($B$71,Int_Rate_Param,3,FALSE))),IF(EIOPA_RFR!W22&lt;0%,EIOPA_RFR!W22,EIOPA_RFR!W22*(1+VLOOKUP($B61,Int_Rate_Param,3,FALSE))))</f>
        <v>4.6712999999999998E-3</v>
      </c>
      <c r="X61" s="94">
        <f>IF($B61&gt;20,IF(EIOPA_RFR!X22&lt;0%,EIOPA_RFR!X22,EIOPA_RFR!X22*(1+VLOOKUP($B$71,Int_Rate_Param,3,FALSE))),IF(EIOPA_RFR!X22&lt;0%,EIOPA_RFR!X22,EIOPA_RFR!X22*(1+VLOOKUP($B61,Int_Rate_Param,3,FALSE))))</f>
        <v>4.6712999999999998E-3</v>
      </c>
      <c r="Y61" s="94">
        <f>IF($B61&gt;20,IF(EIOPA_RFR!Y22&lt;0%,EIOPA_RFR!Y22,EIOPA_RFR!Y22*(1+VLOOKUP($B$71,Int_Rate_Param,3,FALSE))),IF(EIOPA_RFR!Y22&lt;0%,EIOPA_RFR!Y22,EIOPA_RFR!Y22*(1+VLOOKUP($B61,Int_Rate_Param,3,FALSE))))</f>
        <v>4.6712999999999998E-3</v>
      </c>
      <c r="Z61" s="94">
        <f>IF($B61&gt;20,IF(EIOPA_RFR!Z22&lt;0%,EIOPA_RFR!Z22,EIOPA_RFR!Z22*(1+VLOOKUP($B$71,Int_Rate_Param,3,FALSE))),IF(EIOPA_RFR!Z22&lt;0%,EIOPA_RFR!Z22,EIOPA_RFR!Z22*(1+VLOOKUP($B61,Int_Rate_Param,3,FALSE))))</f>
        <v>1.2702899999999998E-2</v>
      </c>
      <c r="AA61" s="94">
        <f>IF($B61&gt;20,IF(EIOPA_RFR!AA22&lt;0%,EIOPA_RFR!AA22,EIOPA_RFR!AA22*(1+VLOOKUP($B$71,Int_Rate_Param,3,FALSE))),IF(EIOPA_RFR!AA22&lt;0%,EIOPA_RFR!AA22,EIOPA_RFR!AA22*(1+VLOOKUP($B61,Int_Rate_Param,3,FALSE))))</f>
        <v>2.3066699999999999E-2</v>
      </c>
      <c r="AB61" s="94">
        <f>IF($B61&gt;20,IF(EIOPA_RFR!AB22&lt;0%,EIOPA_RFR!AB22,EIOPA_RFR!AB22*(1+VLOOKUP($B$71,Int_Rate_Param,3,FALSE))),IF(EIOPA_RFR!AB22&lt;0%,EIOPA_RFR!AB22,EIOPA_RFR!AB22*(1+VLOOKUP($B61,Int_Rate_Param,3,FALSE))))</f>
        <v>4.6712999999999998E-3</v>
      </c>
      <c r="AC61" s="94">
        <f>IF($B61&gt;20,IF(EIOPA_RFR!AC22&lt;0%,EIOPA_RFR!AC22,EIOPA_RFR!AC22*(1+VLOOKUP($B$71,Int_Rate_Param,3,FALSE))),IF(EIOPA_RFR!AC22&lt;0%,EIOPA_RFR!AC22,EIOPA_RFR!AC22*(1+VLOOKUP($B61,Int_Rate_Param,3,FALSE))))</f>
        <v>2.6751299999999999E-2</v>
      </c>
      <c r="AD61" s="94">
        <f>IF($B61&gt;20,IF(EIOPA_RFR!AD22&lt;0%,EIOPA_RFR!AD22,EIOPA_RFR!AD22*(1+VLOOKUP($B$71,Int_Rate_Param,3,FALSE))),IF(EIOPA_RFR!AD22&lt;0%,EIOPA_RFR!AD22,EIOPA_RFR!AD22*(1+VLOOKUP($B61,Int_Rate_Param,3,FALSE))))</f>
        <v>5.2812599999999994E-2</v>
      </c>
      <c r="AE61" s="94">
        <f>IF($B61&gt;20,IF(EIOPA_RFR!AE22&lt;0%,EIOPA_RFR!AE22,EIOPA_RFR!AE22*(1+VLOOKUP($B$71,Int_Rate_Param,3,FALSE))),IF(EIOPA_RFR!AE22&lt;0%,EIOPA_RFR!AE22,EIOPA_RFR!AE22*(1+VLOOKUP($B61,Int_Rate_Param,3,FALSE))))</f>
        <v>4.6712999999999998E-3</v>
      </c>
      <c r="AF61" s="94">
        <f>IF($B61&gt;20,IF(EIOPA_RFR!AF22&lt;0%,EIOPA_RFR!AF22,EIOPA_RFR!AF22*(1+VLOOKUP($B$71,Int_Rate_Param,3,FALSE))),IF(EIOPA_RFR!AF22&lt;0%,EIOPA_RFR!AF22,EIOPA_RFR!AF22*(1+VLOOKUP($B61,Int_Rate_Param,3,FALSE))))</f>
        <v>4.6712999999999998E-3</v>
      </c>
      <c r="AG61" s="94">
        <f>IF($B61&gt;20,IF(EIOPA_RFR!AG22&lt;0%,EIOPA_RFR!AG22,EIOPA_RFR!AG22*(1+VLOOKUP($B$71,Int_Rate_Param,3,FALSE))),IF(EIOPA_RFR!AG22&lt;0%,EIOPA_RFR!AG22,EIOPA_RFR!AG22*(1+VLOOKUP($B61,Int_Rate_Param,3,FALSE))))</f>
        <v>4.6712999999999998E-3</v>
      </c>
      <c r="AH61" s="94">
        <f>IF($B61&gt;20,IF(EIOPA_RFR!AH22&lt;0%,EIOPA_RFR!AH22,EIOPA_RFR!AH22*(1+VLOOKUP($B$71,Int_Rate_Param,3,FALSE))),IF(EIOPA_RFR!AH22&lt;0%,EIOPA_RFR!AH22,EIOPA_RFR!AH22*(1+VLOOKUP($B61,Int_Rate_Param,3,FALSE))))</f>
        <v>7.1207999999999992E-3</v>
      </c>
      <c r="AI61" s="94">
        <f>IF($B61&gt;20,IF(EIOPA_RFR!AI22&lt;0%,EIOPA_RFR!AI22,EIOPA_RFR!AI22*(1+VLOOKUP($B$71,Int_Rate_Param,3,FALSE))),IF(EIOPA_RFR!AI22&lt;0%,EIOPA_RFR!AI22,EIOPA_RFR!AI22*(1+VLOOKUP($B61,Int_Rate_Param,3,FALSE))))</f>
        <v>2.139E-4</v>
      </c>
      <c r="AJ61" s="94">
        <f>IF($B61&gt;20,IF(EIOPA_RFR!AJ22&lt;0%,EIOPA_RFR!AJ22,EIOPA_RFR!AJ22*(1+VLOOKUP($B$71,Int_Rate_Param,3,FALSE))),IF(EIOPA_RFR!AJ22&lt;0%,EIOPA_RFR!AJ22,EIOPA_RFR!AJ22*(1+VLOOKUP($B61,Int_Rate_Param,3,FALSE))))</f>
        <v>7.1621999999999996E-3</v>
      </c>
      <c r="AK61" s="94">
        <f>IF($B61&gt;20,IF(EIOPA_RFR!AK22&lt;0%,EIOPA_RFR!AK22,EIOPA_RFR!AK22*(1+VLOOKUP($B$71,Int_Rate_Param,3,FALSE))),IF(EIOPA_RFR!AK22&lt;0%,EIOPA_RFR!AK22,EIOPA_RFR!AK22*(1+VLOOKUP($B61,Int_Rate_Param,3,FALSE))))</f>
        <v>1.9547699999999998E-2</v>
      </c>
      <c r="AL61" s="94">
        <f>IF($B61&gt;20,IF(EIOPA_RFR!AL22&lt;0%,EIOPA_RFR!AL22,EIOPA_RFR!AL22*(1+VLOOKUP($B$71,Int_Rate_Param,3,FALSE))),IF(EIOPA_RFR!AL22&lt;0%,EIOPA_RFR!AL22,EIOPA_RFR!AL22*(1+VLOOKUP($B61,Int_Rate_Param,3,FALSE))))</f>
        <v>6.4666799999999997E-2</v>
      </c>
      <c r="AM61" s="94">
        <f>IF($B61&gt;20,IF(EIOPA_RFR!AM22&lt;0%,EIOPA_RFR!AM22,EIOPA_RFR!AM22*(1+VLOOKUP($B$71,Int_Rate_Param,3,FALSE))),IF(EIOPA_RFR!AM22&lt;0%,EIOPA_RFR!AM22,EIOPA_RFR!AM22*(1+VLOOKUP($B61,Int_Rate_Param,3,FALSE))))</f>
        <v>1.1930099999999999E-2</v>
      </c>
      <c r="AN61" s="94">
        <f>IF($B61&gt;20,IF(EIOPA_RFR!AN22&lt;0%,EIOPA_RFR!AN22,EIOPA_RFR!AN22*(1+VLOOKUP($B$71,Int_Rate_Param,3,FALSE))),IF(EIOPA_RFR!AN22&lt;0%,EIOPA_RFR!AN22,EIOPA_RFR!AN22*(1+VLOOKUP($B61,Int_Rate_Param,3,FALSE))))</f>
        <v>2.7310199999999996E-2</v>
      </c>
      <c r="AO61" s="94">
        <f>IF($B61&gt;20,IF(EIOPA_RFR!AO22&lt;0%,EIOPA_RFR!AO22,EIOPA_RFR!AO22*(1+VLOOKUP($B$71,Int_Rate_Param,3,FALSE))),IF(EIOPA_RFR!AO22&lt;0%,EIOPA_RFR!AO22,EIOPA_RFR!AO22*(1+VLOOKUP($B61,Int_Rate_Param,3,FALSE))))</f>
        <v>2.9131799999999999E-2</v>
      </c>
      <c r="AP61" s="94">
        <f>IF($B61&gt;20,IF(EIOPA_RFR!AP22&lt;0%,EIOPA_RFR!AP22,EIOPA_RFR!AP22*(1+VLOOKUP($B$71,Int_Rate_Param,3,FALSE))),IF(EIOPA_RFR!AP22&lt;0%,EIOPA_RFR!AP22,EIOPA_RFR!AP22*(1+VLOOKUP($B61,Int_Rate_Param,3,FALSE))))</f>
        <v>4.3173299999999998E-2</v>
      </c>
      <c r="AQ61" s="94">
        <f>IF($B61&gt;20,IF(EIOPA_RFR!AQ22&lt;0%,EIOPA_RFR!AQ22,EIOPA_RFR!AQ22*(1+VLOOKUP($B$71,Int_Rate_Param,3,FALSE))),IF(EIOPA_RFR!AQ22&lt;0%,EIOPA_RFR!AQ22,EIOPA_RFR!AQ22*(1+VLOOKUP($B61,Int_Rate_Param,3,FALSE))))</f>
        <v>1.5435299999999999E-2</v>
      </c>
      <c r="AR61" s="94">
        <f>IF($B61&gt;20,IF(EIOPA_RFR!AR22&lt;0%,EIOPA_RFR!AR22,EIOPA_RFR!AR22*(1+VLOOKUP($B$71,Int_Rate_Param,3,FALSE))),IF(EIOPA_RFR!AR22&lt;0%,EIOPA_RFR!AR22,EIOPA_RFR!AR22*(1+VLOOKUP($B61,Int_Rate_Param,3,FALSE))))</f>
        <v>4.6899299999999998E-2</v>
      </c>
      <c r="AS61" s="94">
        <f>IF($B61&gt;20,IF(EIOPA_RFR!AS22&lt;0%,EIOPA_RFR!AS22,EIOPA_RFR!AS22*(1+VLOOKUP($B$71,Int_Rate_Param,3,FALSE))),IF(EIOPA_RFR!AS22&lt;0%,EIOPA_RFR!AS22,EIOPA_RFR!AS22*(1+VLOOKUP($B61,Int_Rate_Param,3,FALSE))))</f>
        <v>1.1454E-3</v>
      </c>
      <c r="AT61" s="94">
        <f>IF($B61&gt;20,IF(EIOPA_RFR!AT22&lt;0%,EIOPA_RFR!AT22,EIOPA_RFR!AT22*(1+VLOOKUP($B$71,Int_Rate_Param,3,FALSE))),IF(EIOPA_RFR!AT22&lt;0%,EIOPA_RFR!AT22,EIOPA_RFR!AT22*(1+VLOOKUP($B61,Int_Rate_Param,3,FALSE))))</f>
        <v>2.7379199999999999E-2</v>
      </c>
      <c r="AU61" s="94">
        <f>IF($B61&gt;20,IF(EIOPA_RFR!AU22&lt;0%,EIOPA_RFR!AU22,EIOPA_RFR!AU22*(1+VLOOKUP($B$71,Int_Rate_Param,3,FALSE))),IF(EIOPA_RFR!AU22&lt;0%,EIOPA_RFR!AU22,EIOPA_RFR!AU22*(1+VLOOKUP($B61,Int_Rate_Param,3,FALSE))))</f>
        <v>5.0901299999999997E-2</v>
      </c>
      <c r="AV61" s="94">
        <f>IF($B61&gt;20,IF(EIOPA_RFR!AV22&lt;0%,EIOPA_RFR!AV22,EIOPA_RFR!AV22*(1+VLOOKUP($B$71,Int_Rate_Param,3,FALSE))),IF(EIOPA_RFR!AV22&lt;0%,EIOPA_RFR!AV22,EIOPA_RFR!AV22*(1+VLOOKUP($B61,Int_Rate_Param,3,FALSE))))</f>
        <v>2.2832099999999998E-2</v>
      </c>
      <c r="AW61" s="94">
        <f>IF($B61&gt;20,IF(EIOPA_RFR!AW22&lt;0%,EIOPA_RFR!AW22,EIOPA_RFR!AW22*(1+VLOOKUP($B$71,Int_Rate_Param,3,FALSE))),IF(EIOPA_RFR!AW22&lt;0%,EIOPA_RFR!AW22,EIOPA_RFR!AW22*(1+VLOOKUP($B61,Int_Rate_Param,3,FALSE))))</f>
        <v>1.6559999999999998E-2</v>
      </c>
      <c r="AX61" s="94">
        <f>IF($B61&gt;20,IF(EIOPA_RFR!AX22&lt;0%,EIOPA_RFR!AX22,EIOPA_RFR!AX22*(1+VLOOKUP($B$71,Int_Rate_Param,3,FALSE))),IF(EIOPA_RFR!AX22&lt;0%,EIOPA_RFR!AX22,EIOPA_RFR!AX22*(1+VLOOKUP($B61,Int_Rate_Param,3,FALSE))))</f>
        <v>5.6538599999999994E-2</v>
      </c>
      <c r="AY61" s="94">
        <f>IF($B61&gt;20,IF(EIOPA_RFR!AY22&lt;0%,EIOPA_RFR!AY22,EIOPA_RFR!AY22*(1+VLOOKUP($B$71,Int_Rate_Param,3,FALSE))),IF(EIOPA_RFR!AY22&lt;0%,EIOPA_RFR!AY22,EIOPA_RFR!AY22*(1+VLOOKUP($B61,Int_Rate_Param,3,FALSE))))</f>
        <v>1.23924E-2</v>
      </c>
      <c r="AZ61" s="94">
        <f>IF($B61&gt;20,IF(EIOPA_RFR!AZ22&lt;0%,EIOPA_RFR!AZ22,EIOPA_RFR!AZ22*(1+VLOOKUP($B$71,Int_Rate_Param,3,FALSE))),IF(EIOPA_RFR!AZ22&lt;0%,EIOPA_RFR!AZ22,EIOPA_RFR!AZ22*(1+VLOOKUP($B61,Int_Rate_Param,3,FALSE))))</f>
        <v>7.5830999999999989E-3</v>
      </c>
      <c r="BA61" s="94">
        <f>IF($B61&gt;20,IF(EIOPA_RFR!BA22&lt;0%,EIOPA_RFR!BA22,EIOPA_RFR!BA22*(1+VLOOKUP($B$71,Int_Rate_Param,3,FALSE))),IF(EIOPA_RFR!BA22&lt;0%,EIOPA_RFR!BA22,EIOPA_RFR!BA22*(1+VLOOKUP($B61,Int_Rate_Param,3,FALSE))))</f>
        <v>1.7636399999999997E-2</v>
      </c>
      <c r="BB61" s="94">
        <f>IF($B61&gt;20,IF(EIOPA_RFR!BB22&lt;0%,EIOPA_RFR!BB22,EIOPA_RFR!BB22*(1+VLOOKUP($B$71,Int_Rate_Param,3,FALSE))),IF(EIOPA_RFR!BB22&lt;0%,EIOPA_RFR!BB22,EIOPA_RFR!BB22*(1+VLOOKUP($B61,Int_Rate_Param,3,FALSE))))</f>
        <v>7.2891599999999987E-2</v>
      </c>
      <c r="BC61" s="94">
        <f>IF($B61&gt;20,IF(EIOPA_RFR!BC22&lt;0%,EIOPA_RFR!BC22,EIOPA_RFR!BC22*(1+VLOOKUP($B$71,Int_Rate_Param,3,FALSE))),IF(EIOPA_RFR!BC22&lt;0%,EIOPA_RFR!BC22,EIOPA_RFR!BC22*(1+VLOOKUP($B61,Int_Rate_Param,3,FALSE))))</f>
        <v>1.5621599999999999E-2</v>
      </c>
    </row>
    <row r="62" spans="1:55" x14ac:dyDescent="0.25">
      <c r="A62">
        <f t="shared" si="1"/>
        <v>13</v>
      </c>
      <c r="B62" s="95">
        <v>11</v>
      </c>
      <c r="C62" s="94">
        <f>IF($B62&gt;20,IF(EIOPA_RFR!C23&lt;0%,EIOPA_RFR!C23,EIOPA_RFR!C23*(1+VLOOKUP($B$71,Int_Rate_Param,3,FALSE))),IF(EIOPA_RFR!C23&lt;0%,EIOPA_RFR!C23,EIOPA_RFR!C23*(1+VLOOKUP($B62,Int_Rate_Param,3,FALSE))))</f>
        <v>5.4389999999999994E-3</v>
      </c>
      <c r="D62" s="94">
        <f>IF($B62&gt;20,IF(EIOPA_RFR!D23&lt;0%,EIOPA_RFR!D23,EIOPA_RFR!D23*(1+VLOOKUP($B$71,Int_Rate_Param,3,FALSE))),IF(EIOPA_RFR!D23&lt;0%,EIOPA_RFR!D23,EIOPA_RFR!D23*(1+VLOOKUP($B62,Int_Rate_Param,3,FALSE))))</f>
        <v>5.4389999999999994E-3</v>
      </c>
      <c r="E62" s="94">
        <f>IF($B62&gt;20,IF(EIOPA_RFR!E23&lt;0%,EIOPA_RFR!E23,EIOPA_RFR!E23*(1+VLOOKUP($B$71,Int_Rate_Param,3,FALSE))),IF(EIOPA_RFR!E23&lt;0%,EIOPA_RFR!E23,EIOPA_RFR!E23*(1+VLOOKUP($B62,Int_Rate_Param,3,FALSE))))</f>
        <v>5.4389999999999994E-3</v>
      </c>
      <c r="F62" s="94">
        <f>IF($B62&gt;20,IF(EIOPA_RFR!F23&lt;0%,EIOPA_RFR!F23,EIOPA_RFR!F23*(1+VLOOKUP($B$71,Int_Rate_Param,3,FALSE))),IF(EIOPA_RFR!F23&lt;0%,EIOPA_RFR!F23,EIOPA_RFR!F23*(1+VLOOKUP($B62,Int_Rate_Param,3,FALSE))))</f>
        <v>5.0819999999999997E-3</v>
      </c>
      <c r="G62" s="94">
        <f>IF($B62&gt;20,IF(EIOPA_RFR!G23&lt;0%,EIOPA_RFR!G23,EIOPA_RFR!G23*(1+VLOOKUP($B$71,Int_Rate_Param,3,FALSE))),IF(EIOPA_RFR!G23&lt;0%,EIOPA_RFR!G23,EIOPA_RFR!G23*(1+VLOOKUP($B62,Int_Rate_Param,3,FALSE))))</f>
        <v>2.0811E-2</v>
      </c>
      <c r="H62" s="94">
        <f>IF($B62&gt;20,IF(EIOPA_RFR!H23&lt;0%,EIOPA_RFR!H23,EIOPA_RFR!H23*(1+VLOOKUP($B$71,Int_Rate_Param,3,FALSE))),IF(EIOPA_RFR!H23&lt;0%,EIOPA_RFR!H23,EIOPA_RFR!H23*(1+VLOOKUP($B62,Int_Rate_Param,3,FALSE))))</f>
        <v>5.4389999999999994E-3</v>
      </c>
      <c r="I62" s="94">
        <f>IF($B62&gt;20,IF(EIOPA_RFR!I23&lt;0%,EIOPA_RFR!I23,EIOPA_RFR!I23*(1+VLOOKUP($B$71,Int_Rate_Param,3,FALSE))),IF(EIOPA_RFR!I23&lt;0%,EIOPA_RFR!I23,EIOPA_RFR!I23*(1+VLOOKUP($B62,Int_Rate_Param,3,FALSE))))</f>
        <v>7.4060000000000003E-3</v>
      </c>
      <c r="J62" s="94">
        <f>IF($B62&gt;20,IF(EIOPA_RFR!J23&lt;0%,EIOPA_RFR!J23,EIOPA_RFR!J23*(1+VLOOKUP($B$71,Int_Rate_Param,3,FALSE))),IF(EIOPA_RFR!J23&lt;0%,EIOPA_RFR!J23,EIOPA_RFR!J23*(1+VLOOKUP($B62,Int_Rate_Param,3,FALSE))))</f>
        <v>5.3689999999999996E-3</v>
      </c>
      <c r="K62" s="94">
        <f>IF($B62&gt;20,IF(EIOPA_RFR!K23&lt;0%,EIOPA_RFR!K23,EIOPA_RFR!K23*(1+VLOOKUP($B$71,Int_Rate_Param,3,FALSE))),IF(EIOPA_RFR!K23&lt;0%,EIOPA_RFR!K23,EIOPA_RFR!K23*(1+VLOOKUP($B62,Int_Rate_Param,3,FALSE))))</f>
        <v>5.4389999999999994E-3</v>
      </c>
      <c r="L62" s="94">
        <f>IF($B62&gt;20,IF(EIOPA_RFR!L23&lt;0%,EIOPA_RFR!L23,EIOPA_RFR!L23*(1+VLOOKUP($B$71,Int_Rate_Param,3,FALSE))),IF(EIOPA_RFR!L23&lt;0%,EIOPA_RFR!L23,EIOPA_RFR!L23*(1+VLOOKUP($B62,Int_Rate_Param,3,FALSE))))</f>
        <v>5.4389999999999994E-3</v>
      </c>
      <c r="M62" s="94">
        <f>IF($B62&gt;20,IF(EIOPA_RFR!M23&lt;0%,EIOPA_RFR!M23,EIOPA_RFR!M23*(1+VLOOKUP($B$71,Int_Rate_Param,3,FALSE))),IF(EIOPA_RFR!M23&lt;0%,EIOPA_RFR!M23,EIOPA_RFR!M23*(1+VLOOKUP($B62,Int_Rate_Param,3,FALSE))))</f>
        <v>5.4389999999999994E-3</v>
      </c>
      <c r="N62" s="94">
        <f>IF($B62&gt;20,IF(EIOPA_RFR!N23&lt;0%,EIOPA_RFR!N23,EIOPA_RFR!N23*(1+VLOOKUP($B$71,Int_Rate_Param,3,FALSE))),IF(EIOPA_RFR!N23&lt;0%,EIOPA_RFR!N23,EIOPA_RFR!N23*(1+VLOOKUP($B62,Int_Rate_Param,3,FALSE))))</f>
        <v>5.4389999999999994E-3</v>
      </c>
      <c r="O62" s="94">
        <f>IF($B62&gt;20,IF(EIOPA_RFR!O23&lt;0%,EIOPA_RFR!O23,EIOPA_RFR!O23*(1+VLOOKUP($B$71,Int_Rate_Param,3,FALSE))),IF(EIOPA_RFR!O23&lt;0%,EIOPA_RFR!O23,EIOPA_RFR!O23*(1+VLOOKUP($B62,Int_Rate_Param,3,FALSE))))</f>
        <v>5.4389999999999994E-3</v>
      </c>
      <c r="P62" s="94">
        <f>IF($B62&gt;20,IF(EIOPA_RFR!P23&lt;0%,EIOPA_RFR!P23,EIOPA_RFR!P23*(1+VLOOKUP($B$71,Int_Rate_Param,3,FALSE))),IF(EIOPA_RFR!P23&lt;0%,EIOPA_RFR!P23,EIOPA_RFR!P23*(1+VLOOKUP($B62,Int_Rate_Param,3,FALSE))))</f>
        <v>2.3267999999999997E-2</v>
      </c>
      <c r="Q62" s="94">
        <f>IF($B62&gt;20,IF(EIOPA_RFR!Q23&lt;0%,EIOPA_RFR!Q23,EIOPA_RFR!Q23*(1+VLOOKUP($B$71,Int_Rate_Param,3,FALSE))),IF(EIOPA_RFR!Q23&lt;0%,EIOPA_RFR!Q23,EIOPA_RFR!Q23*(1+VLOOKUP($B62,Int_Rate_Param,3,FALSE))))</f>
        <v>3.3214999999999995E-2</v>
      </c>
      <c r="R62" s="94">
        <f>IF($B62&gt;20,IF(EIOPA_RFR!R23&lt;0%,EIOPA_RFR!R23,EIOPA_RFR!R23*(1+VLOOKUP($B$71,Int_Rate_Param,3,FALSE))),IF(EIOPA_RFR!R23&lt;0%,EIOPA_RFR!R23,EIOPA_RFR!R23*(1+VLOOKUP($B62,Int_Rate_Param,3,FALSE))))</f>
        <v>5.4389999999999994E-3</v>
      </c>
      <c r="S62" s="94">
        <f>IF($B62&gt;20,IF(EIOPA_RFR!S23&lt;0%,EIOPA_RFR!S23,EIOPA_RFR!S23*(1+VLOOKUP($B$71,Int_Rate_Param,3,FALSE))),IF(EIOPA_RFR!S23&lt;0%,EIOPA_RFR!S23,EIOPA_RFR!S23*(1+VLOOKUP($B62,Int_Rate_Param,3,FALSE))))</f>
        <v>5.4389999999999994E-3</v>
      </c>
      <c r="T62" s="94">
        <f>IF($B62&gt;20,IF(EIOPA_RFR!T23&lt;0%,EIOPA_RFR!T23,EIOPA_RFR!T23*(1+VLOOKUP($B$71,Int_Rate_Param,3,FALSE))),IF(EIOPA_RFR!T23&lt;0%,EIOPA_RFR!T23,EIOPA_RFR!T23*(1+VLOOKUP($B62,Int_Rate_Param,3,FALSE))))</f>
        <v>5.4389999999999994E-3</v>
      </c>
      <c r="U62" s="94">
        <f>IF($B62&gt;20,IF(EIOPA_RFR!U23&lt;0%,EIOPA_RFR!U23,EIOPA_RFR!U23*(1+VLOOKUP($B$71,Int_Rate_Param,3,FALSE))),IF(EIOPA_RFR!U23&lt;0%,EIOPA_RFR!U23,EIOPA_RFR!U23*(1+VLOOKUP($B62,Int_Rate_Param,3,FALSE))))</f>
        <v>7.1400000000000001E-4</v>
      </c>
      <c r="V62" s="94">
        <f>IF($B62&gt;20,IF(EIOPA_RFR!V23&lt;0%,EIOPA_RFR!V23,EIOPA_RFR!V23*(1+VLOOKUP($B$71,Int_Rate_Param,3,FALSE))),IF(EIOPA_RFR!V23&lt;0%,EIOPA_RFR!V23,EIOPA_RFR!V23*(1+VLOOKUP($B62,Int_Rate_Param,3,FALSE))))</f>
        <v>5.4389999999999994E-3</v>
      </c>
      <c r="W62" s="94">
        <f>IF($B62&gt;20,IF(EIOPA_RFR!W23&lt;0%,EIOPA_RFR!W23,EIOPA_RFR!W23*(1+VLOOKUP($B$71,Int_Rate_Param,3,FALSE))),IF(EIOPA_RFR!W23&lt;0%,EIOPA_RFR!W23,EIOPA_RFR!W23*(1+VLOOKUP($B62,Int_Rate_Param,3,FALSE))))</f>
        <v>5.4389999999999994E-3</v>
      </c>
      <c r="X62" s="94">
        <f>IF($B62&gt;20,IF(EIOPA_RFR!X23&lt;0%,EIOPA_RFR!X23,EIOPA_RFR!X23*(1+VLOOKUP($B$71,Int_Rate_Param,3,FALSE))),IF(EIOPA_RFR!X23&lt;0%,EIOPA_RFR!X23,EIOPA_RFR!X23*(1+VLOOKUP($B62,Int_Rate_Param,3,FALSE))))</f>
        <v>5.4389999999999994E-3</v>
      </c>
      <c r="Y62" s="94">
        <f>IF($B62&gt;20,IF(EIOPA_RFR!Y23&lt;0%,EIOPA_RFR!Y23,EIOPA_RFR!Y23*(1+VLOOKUP($B$71,Int_Rate_Param,3,FALSE))),IF(EIOPA_RFR!Y23&lt;0%,EIOPA_RFR!Y23,EIOPA_RFR!Y23*(1+VLOOKUP($B62,Int_Rate_Param,3,FALSE))))</f>
        <v>5.4389999999999994E-3</v>
      </c>
      <c r="Z62" s="94">
        <f>IF($B62&gt;20,IF(EIOPA_RFR!Z23&lt;0%,EIOPA_RFR!Z23,EIOPA_RFR!Z23*(1+VLOOKUP($B$71,Int_Rate_Param,3,FALSE))),IF(EIOPA_RFR!Z23&lt;0%,EIOPA_RFR!Z23,EIOPA_RFR!Z23*(1+VLOOKUP($B62,Int_Rate_Param,3,FALSE))))</f>
        <v>1.3362999999999998E-2</v>
      </c>
      <c r="AA62" s="94">
        <f>IF($B62&gt;20,IF(EIOPA_RFR!AA23&lt;0%,EIOPA_RFR!AA23,EIOPA_RFR!AA23*(1+VLOOKUP($B$71,Int_Rate_Param,3,FALSE))),IF(EIOPA_RFR!AA23&lt;0%,EIOPA_RFR!AA23,EIOPA_RFR!AA23*(1+VLOOKUP($B62,Int_Rate_Param,3,FALSE))))</f>
        <v>2.4115000000000001E-2</v>
      </c>
      <c r="AB62" s="94">
        <f>IF($B62&gt;20,IF(EIOPA_RFR!AB23&lt;0%,EIOPA_RFR!AB23,EIOPA_RFR!AB23*(1+VLOOKUP($B$71,Int_Rate_Param,3,FALSE))),IF(EIOPA_RFR!AB23&lt;0%,EIOPA_RFR!AB23,EIOPA_RFR!AB23*(1+VLOOKUP($B62,Int_Rate_Param,3,FALSE))))</f>
        <v>5.4389999999999994E-3</v>
      </c>
      <c r="AC62" s="94">
        <f>IF($B62&gt;20,IF(EIOPA_RFR!AC23&lt;0%,EIOPA_RFR!AC23,EIOPA_RFR!AC23*(1+VLOOKUP($B$71,Int_Rate_Param,3,FALSE))),IF(EIOPA_RFR!AC23&lt;0%,EIOPA_RFR!AC23,EIOPA_RFR!AC23*(1+VLOOKUP($B62,Int_Rate_Param,3,FALSE))))</f>
        <v>2.7923E-2</v>
      </c>
      <c r="AD62" s="94">
        <f>IF($B62&gt;20,IF(EIOPA_RFR!AD23&lt;0%,EIOPA_RFR!AD23,EIOPA_RFR!AD23*(1+VLOOKUP($B$71,Int_Rate_Param,3,FALSE))),IF(EIOPA_RFR!AD23&lt;0%,EIOPA_RFR!AD23,EIOPA_RFR!AD23*(1+VLOOKUP($B62,Int_Rate_Param,3,FALSE))))</f>
        <v>5.2954999999999995E-2</v>
      </c>
      <c r="AE62" s="94">
        <f>IF($B62&gt;20,IF(EIOPA_RFR!AE23&lt;0%,EIOPA_RFR!AE23,EIOPA_RFR!AE23*(1+VLOOKUP($B$71,Int_Rate_Param,3,FALSE))),IF(EIOPA_RFR!AE23&lt;0%,EIOPA_RFR!AE23,EIOPA_RFR!AE23*(1+VLOOKUP($B62,Int_Rate_Param,3,FALSE))))</f>
        <v>5.4389999999999994E-3</v>
      </c>
      <c r="AF62" s="94">
        <f>IF($B62&gt;20,IF(EIOPA_RFR!AF23&lt;0%,EIOPA_RFR!AF23,EIOPA_RFR!AF23*(1+VLOOKUP($B$71,Int_Rate_Param,3,FALSE))),IF(EIOPA_RFR!AF23&lt;0%,EIOPA_RFR!AF23,EIOPA_RFR!AF23*(1+VLOOKUP($B62,Int_Rate_Param,3,FALSE))))</f>
        <v>5.4389999999999994E-3</v>
      </c>
      <c r="AG62" s="94">
        <f>IF($B62&gt;20,IF(EIOPA_RFR!AG23&lt;0%,EIOPA_RFR!AG23,EIOPA_RFR!AG23*(1+VLOOKUP($B$71,Int_Rate_Param,3,FALSE))),IF(EIOPA_RFR!AG23&lt;0%,EIOPA_RFR!AG23,EIOPA_RFR!AG23*(1+VLOOKUP($B62,Int_Rate_Param,3,FALSE))))</f>
        <v>5.4389999999999994E-3</v>
      </c>
      <c r="AH62" s="94">
        <f>IF($B62&gt;20,IF(EIOPA_RFR!AH23&lt;0%,EIOPA_RFR!AH23,EIOPA_RFR!AH23*(1+VLOOKUP($B$71,Int_Rate_Param,3,FALSE))),IF(EIOPA_RFR!AH23&lt;0%,EIOPA_RFR!AH23,EIOPA_RFR!AH23*(1+VLOOKUP($B62,Int_Rate_Param,3,FALSE))))</f>
        <v>8.3369999999999989E-3</v>
      </c>
      <c r="AI62" s="94">
        <f>IF($B62&gt;20,IF(EIOPA_RFR!AI23&lt;0%,EIOPA_RFR!AI23,EIOPA_RFR!AI23*(1+VLOOKUP($B$71,Int_Rate_Param,3,FALSE))),IF(EIOPA_RFR!AI23&lt;0%,EIOPA_RFR!AI23,EIOPA_RFR!AI23*(1+VLOOKUP($B62,Int_Rate_Param,3,FALSE))))</f>
        <v>7.1400000000000001E-4</v>
      </c>
      <c r="AJ62" s="94">
        <f>IF($B62&gt;20,IF(EIOPA_RFR!AJ23&lt;0%,EIOPA_RFR!AJ23,EIOPA_RFR!AJ23*(1+VLOOKUP($B$71,Int_Rate_Param,3,FALSE))),IF(EIOPA_RFR!AJ23&lt;0%,EIOPA_RFR!AJ23,EIOPA_RFR!AJ23*(1+VLOOKUP($B62,Int_Rate_Param,3,FALSE))))</f>
        <v>7.6509999999999998E-3</v>
      </c>
      <c r="AK62" s="94">
        <f>IF($B62&gt;20,IF(EIOPA_RFR!AK23&lt;0%,EIOPA_RFR!AK23,EIOPA_RFR!AK23*(1+VLOOKUP($B$71,Int_Rate_Param,3,FALSE))),IF(EIOPA_RFR!AK23&lt;0%,EIOPA_RFR!AK23,EIOPA_RFR!AK23*(1+VLOOKUP($B62,Int_Rate_Param,3,FALSE))))</f>
        <v>2.0306999999999999E-2</v>
      </c>
      <c r="AL62" s="94">
        <f>IF($B62&gt;20,IF(EIOPA_RFR!AL23&lt;0%,EIOPA_RFR!AL23,EIOPA_RFR!AL23*(1+VLOOKUP($B$71,Int_Rate_Param,3,FALSE))),IF(EIOPA_RFR!AL23&lt;0%,EIOPA_RFR!AL23,EIOPA_RFR!AL23*(1+VLOOKUP($B62,Int_Rate_Param,3,FALSE))))</f>
        <v>6.5471000000000001E-2</v>
      </c>
      <c r="AM62" s="94">
        <f>IF($B62&gt;20,IF(EIOPA_RFR!AM23&lt;0%,EIOPA_RFR!AM23,EIOPA_RFR!AM23*(1+VLOOKUP($B$71,Int_Rate_Param,3,FALSE))),IF(EIOPA_RFR!AM23&lt;0%,EIOPA_RFR!AM23,EIOPA_RFR!AM23*(1+VLOOKUP($B62,Int_Rate_Param,3,FALSE))))</f>
        <v>1.274E-2</v>
      </c>
      <c r="AN62" s="94">
        <f>IF($B62&gt;20,IF(EIOPA_RFR!AN23&lt;0%,EIOPA_RFR!AN23,EIOPA_RFR!AN23*(1+VLOOKUP($B$71,Int_Rate_Param,3,FALSE))),IF(EIOPA_RFR!AN23&lt;0%,EIOPA_RFR!AN23,EIOPA_RFR!AN23*(1+VLOOKUP($B62,Int_Rate_Param,3,FALSE))))</f>
        <v>2.8090999999999998E-2</v>
      </c>
      <c r="AO62" s="94">
        <f>IF($B62&gt;20,IF(EIOPA_RFR!AO23&lt;0%,EIOPA_RFR!AO23,EIOPA_RFR!AO23*(1+VLOOKUP($B$71,Int_Rate_Param,3,FALSE))),IF(EIOPA_RFR!AO23&lt;0%,EIOPA_RFR!AO23,EIOPA_RFR!AO23*(1+VLOOKUP($B62,Int_Rate_Param,3,FALSE))))</f>
        <v>2.9917999999999997E-2</v>
      </c>
      <c r="AP62" s="94">
        <f>IF($B62&gt;20,IF(EIOPA_RFR!AP23&lt;0%,EIOPA_RFR!AP23,EIOPA_RFR!AP23*(1+VLOOKUP($B$71,Int_Rate_Param,3,FALSE))),IF(EIOPA_RFR!AP23&lt;0%,EIOPA_RFR!AP23,EIOPA_RFR!AP23*(1+VLOOKUP($B62,Int_Rate_Param,3,FALSE))))</f>
        <v>4.4078999999999993E-2</v>
      </c>
      <c r="AQ62" s="94">
        <f>IF($B62&gt;20,IF(EIOPA_RFR!AQ23&lt;0%,EIOPA_RFR!AQ23,EIOPA_RFR!AQ23*(1+VLOOKUP($B$71,Int_Rate_Param,3,FALSE))),IF(EIOPA_RFR!AQ23&lt;0%,EIOPA_RFR!AQ23,EIOPA_RFR!AQ23*(1+VLOOKUP($B62,Int_Rate_Param,3,FALSE))))</f>
        <v>1.5946000000000002E-2</v>
      </c>
      <c r="AR62" s="94">
        <f>IF($B62&gt;20,IF(EIOPA_RFR!AR23&lt;0%,EIOPA_RFR!AR23,EIOPA_RFR!AR23*(1+VLOOKUP($B$71,Int_Rate_Param,3,FALSE))),IF(EIOPA_RFR!AR23&lt;0%,EIOPA_RFR!AR23,EIOPA_RFR!AR23*(1+VLOOKUP($B62,Int_Rate_Param,3,FALSE))))</f>
        <v>4.7907999999999999E-2</v>
      </c>
      <c r="AS62" s="94">
        <f>IF($B62&gt;20,IF(EIOPA_RFR!AS23&lt;0%,EIOPA_RFR!AS23,EIOPA_RFR!AS23*(1+VLOOKUP($B$71,Int_Rate_Param,3,FALSE))),IF(EIOPA_RFR!AS23&lt;0%,EIOPA_RFR!AS23,EIOPA_RFR!AS23*(1+VLOOKUP($B62,Int_Rate_Param,3,FALSE))))</f>
        <v>1.4489999999999998E-3</v>
      </c>
      <c r="AT62" s="94">
        <f>IF($B62&gt;20,IF(EIOPA_RFR!AT23&lt;0%,EIOPA_RFR!AT23,EIOPA_RFR!AT23*(1+VLOOKUP($B$71,Int_Rate_Param,3,FALSE))),IF(EIOPA_RFR!AT23&lt;0%,EIOPA_RFR!AT23,EIOPA_RFR!AT23*(1+VLOOKUP($B62,Int_Rate_Param,3,FALSE))))</f>
        <v>2.8146999999999998E-2</v>
      </c>
      <c r="AU62" s="94">
        <f>IF($B62&gt;20,IF(EIOPA_RFR!AU23&lt;0%,EIOPA_RFR!AU23,EIOPA_RFR!AU23*(1+VLOOKUP($B$71,Int_Rate_Param,3,FALSE))),IF(EIOPA_RFR!AU23&lt;0%,EIOPA_RFR!AU23,EIOPA_RFR!AU23*(1+VLOOKUP($B62,Int_Rate_Param,3,FALSE))))</f>
        <v>5.2087000000000001E-2</v>
      </c>
      <c r="AV62" s="94">
        <f>IF($B62&gt;20,IF(EIOPA_RFR!AV23&lt;0%,EIOPA_RFR!AV23,EIOPA_RFR!AV23*(1+VLOOKUP($B$71,Int_Rate_Param,3,FALSE))),IF(EIOPA_RFR!AV23&lt;0%,EIOPA_RFR!AV23,EIOPA_RFR!AV23*(1+VLOOKUP($B62,Int_Rate_Param,3,FALSE))))</f>
        <v>2.3688000000000001E-2</v>
      </c>
      <c r="AW62" s="94">
        <f>IF($B62&gt;20,IF(EIOPA_RFR!AW23&lt;0%,EIOPA_RFR!AW23,EIOPA_RFR!AW23*(1+VLOOKUP($B$71,Int_Rate_Param,3,FALSE))),IF(EIOPA_RFR!AW23&lt;0%,EIOPA_RFR!AW23,EIOPA_RFR!AW23*(1+VLOOKUP($B62,Int_Rate_Param,3,FALSE))))</f>
        <v>1.7170999999999999E-2</v>
      </c>
      <c r="AX62" s="94">
        <f>IF($B62&gt;20,IF(EIOPA_RFR!AX23&lt;0%,EIOPA_RFR!AX23,EIOPA_RFR!AX23*(1+VLOOKUP($B$71,Int_Rate_Param,3,FALSE))),IF(EIOPA_RFR!AX23&lt;0%,EIOPA_RFR!AX23,EIOPA_RFR!AX23*(1+VLOOKUP($B62,Int_Rate_Param,3,FALSE))))</f>
        <v>5.8001999999999998E-2</v>
      </c>
      <c r="AY62" s="94">
        <f>IF($B62&gt;20,IF(EIOPA_RFR!AY23&lt;0%,EIOPA_RFR!AY23,EIOPA_RFR!AY23*(1+VLOOKUP($B$71,Int_Rate_Param,3,FALSE))),IF(EIOPA_RFR!AY23&lt;0%,EIOPA_RFR!AY23,EIOPA_RFR!AY23*(1+VLOOKUP($B62,Int_Rate_Param,3,FALSE))))</f>
        <v>1.2733E-2</v>
      </c>
      <c r="AZ62" s="94">
        <f>IF($B62&gt;20,IF(EIOPA_RFR!AZ23&lt;0%,EIOPA_RFR!AZ23,EIOPA_RFR!AZ23*(1+VLOOKUP($B$71,Int_Rate_Param,3,FALSE))),IF(EIOPA_RFR!AZ23&lt;0%,EIOPA_RFR!AZ23,EIOPA_RFR!AZ23*(1+VLOOKUP($B62,Int_Rate_Param,3,FALSE))))</f>
        <v>8.1969999999999994E-3</v>
      </c>
      <c r="BA62" s="94">
        <f>IF($B62&gt;20,IF(EIOPA_RFR!BA23&lt;0%,EIOPA_RFR!BA23,EIOPA_RFR!BA23*(1+VLOOKUP($B$71,Int_Rate_Param,3,FALSE))),IF(EIOPA_RFR!BA23&lt;0%,EIOPA_RFR!BA23,EIOPA_RFR!BA23*(1+VLOOKUP($B62,Int_Rate_Param,3,FALSE))))</f>
        <v>1.8255999999999998E-2</v>
      </c>
      <c r="BB62" s="94">
        <f>IF($B62&gt;20,IF(EIOPA_RFR!BB23&lt;0%,EIOPA_RFR!BB23,EIOPA_RFR!BB23*(1+VLOOKUP($B$71,Int_Rate_Param,3,FALSE))),IF(EIOPA_RFR!BB23&lt;0%,EIOPA_RFR!BB23,EIOPA_RFR!BB23*(1+VLOOKUP($B62,Int_Rate_Param,3,FALSE))))</f>
        <v>7.282799999999999E-2</v>
      </c>
      <c r="BC62" s="94">
        <f>IF($B62&gt;20,IF(EIOPA_RFR!BC23&lt;0%,EIOPA_RFR!BC23,EIOPA_RFR!BC23*(1+VLOOKUP($B$71,Int_Rate_Param,3,FALSE))),IF(EIOPA_RFR!BC23&lt;0%,EIOPA_RFR!BC23,EIOPA_RFR!BC23*(1+VLOOKUP($B62,Int_Rate_Param,3,FALSE))))</f>
        <v>1.6176999999999997E-2</v>
      </c>
    </row>
    <row r="63" spans="1:55" x14ac:dyDescent="0.25">
      <c r="A63">
        <f t="shared" si="1"/>
        <v>14</v>
      </c>
      <c r="B63" s="95">
        <v>12</v>
      </c>
      <c r="C63" s="94">
        <f>IF($B63&gt;20,IF(EIOPA_RFR!C24&lt;0%,EIOPA_RFR!C24,EIOPA_RFR!C24*(1+VLOOKUP($B$71,Int_Rate_Param,3,FALSE))),IF(EIOPA_RFR!C24&lt;0%,EIOPA_RFR!C24,EIOPA_RFR!C24*(1+VLOOKUP($B63,Int_Rate_Param,3,FALSE))))</f>
        <v>6.1841000000000005E-3</v>
      </c>
      <c r="D63" s="94">
        <f>IF($B63&gt;20,IF(EIOPA_RFR!D24&lt;0%,EIOPA_RFR!D24,EIOPA_RFR!D24*(1+VLOOKUP($B$71,Int_Rate_Param,3,FALSE))),IF(EIOPA_RFR!D24&lt;0%,EIOPA_RFR!D24,EIOPA_RFR!D24*(1+VLOOKUP($B63,Int_Rate_Param,3,FALSE))))</f>
        <v>6.1841000000000005E-3</v>
      </c>
      <c r="E63" s="94">
        <f>IF($B63&gt;20,IF(EIOPA_RFR!E24&lt;0%,EIOPA_RFR!E24,EIOPA_RFR!E24*(1+VLOOKUP($B$71,Int_Rate_Param,3,FALSE))),IF(EIOPA_RFR!E24&lt;0%,EIOPA_RFR!E24,EIOPA_RFR!E24*(1+VLOOKUP($B63,Int_Rate_Param,3,FALSE))))</f>
        <v>6.1841000000000005E-3</v>
      </c>
      <c r="F63" s="94">
        <f>IF($B63&gt;20,IF(EIOPA_RFR!F24&lt;0%,EIOPA_RFR!F24,EIOPA_RFR!F24*(1+VLOOKUP($B$71,Int_Rate_Param,3,FALSE))),IF(EIOPA_RFR!F24&lt;0%,EIOPA_RFR!F24,EIOPA_RFR!F24*(1+VLOOKUP($B63,Int_Rate_Param,3,FALSE))))</f>
        <v>5.8148999999999996E-3</v>
      </c>
      <c r="G63" s="94">
        <f>IF($B63&gt;20,IF(EIOPA_RFR!G24&lt;0%,EIOPA_RFR!G24,EIOPA_RFR!G24*(1+VLOOKUP($B$71,Int_Rate_Param,3,FALSE))),IF(EIOPA_RFR!G24&lt;0%,EIOPA_RFR!G24,EIOPA_RFR!G24*(1+VLOOKUP($B63,Int_Rate_Param,3,FALSE))))</f>
        <v>2.1541399999999999E-2</v>
      </c>
      <c r="H63" s="94">
        <f>IF($B63&gt;20,IF(EIOPA_RFR!H24&lt;0%,EIOPA_RFR!H24,EIOPA_RFR!H24*(1+VLOOKUP($B$71,Int_Rate_Param,3,FALSE))),IF(EIOPA_RFR!H24&lt;0%,EIOPA_RFR!H24,EIOPA_RFR!H24*(1+VLOOKUP($B63,Int_Rate_Param,3,FALSE))))</f>
        <v>6.1841000000000005E-3</v>
      </c>
      <c r="I63" s="94">
        <f>IF($B63&gt;20,IF(EIOPA_RFR!I24&lt;0%,EIOPA_RFR!I24,EIOPA_RFR!I24*(1+VLOOKUP($B$71,Int_Rate_Param,3,FALSE))),IF(EIOPA_RFR!I24&lt;0%,EIOPA_RFR!I24,EIOPA_RFR!I24*(1+VLOOKUP($B63,Int_Rate_Param,3,FALSE))))</f>
        <v>8.0584999999999997E-3</v>
      </c>
      <c r="J63" s="94">
        <f>IF($B63&gt;20,IF(EIOPA_RFR!J24&lt;0%,EIOPA_RFR!J24,EIOPA_RFR!J24*(1+VLOOKUP($B$71,Int_Rate_Param,3,FALSE))),IF(EIOPA_RFR!J24&lt;0%,EIOPA_RFR!J24,EIOPA_RFR!J24*(1+VLOOKUP($B63,Int_Rate_Param,3,FALSE))))</f>
        <v>6.1059999999999994E-3</v>
      </c>
      <c r="K63" s="94">
        <f>IF($B63&gt;20,IF(EIOPA_RFR!K24&lt;0%,EIOPA_RFR!K24,EIOPA_RFR!K24*(1+VLOOKUP($B$71,Int_Rate_Param,3,FALSE))),IF(EIOPA_RFR!K24&lt;0%,EIOPA_RFR!K24,EIOPA_RFR!K24*(1+VLOOKUP($B63,Int_Rate_Param,3,FALSE))))</f>
        <v>6.1841000000000005E-3</v>
      </c>
      <c r="L63" s="94">
        <f>IF($B63&gt;20,IF(EIOPA_RFR!L24&lt;0%,EIOPA_RFR!L24,EIOPA_RFR!L24*(1+VLOOKUP($B$71,Int_Rate_Param,3,FALSE))),IF(EIOPA_RFR!L24&lt;0%,EIOPA_RFR!L24,EIOPA_RFR!L24*(1+VLOOKUP($B63,Int_Rate_Param,3,FALSE))))</f>
        <v>6.1841000000000005E-3</v>
      </c>
      <c r="M63" s="94">
        <f>IF($B63&gt;20,IF(EIOPA_RFR!M24&lt;0%,EIOPA_RFR!M24,EIOPA_RFR!M24*(1+VLOOKUP($B$71,Int_Rate_Param,3,FALSE))),IF(EIOPA_RFR!M24&lt;0%,EIOPA_RFR!M24,EIOPA_RFR!M24*(1+VLOOKUP($B63,Int_Rate_Param,3,FALSE))))</f>
        <v>6.1841000000000005E-3</v>
      </c>
      <c r="N63" s="94">
        <f>IF($B63&gt;20,IF(EIOPA_RFR!N24&lt;0%,EIOPA_RFR!N24,EIOPA_RFR!N24*(1+VLOOKUP($B$71,Int_Rate_Param,3,FALSE))),IF(EIOPA_RFR!N24&lt;0%,EIOPA_RFR!N24,EIOPA_RFR!N24*(1+VLOOKUP($B63,Int_Rate_Param,3,FALSE))))</f>
        <v>6.1841000000000005E-3</v>
      </c>
      <c r="O63" s="94">
        <f>IF($B63&gt;20,IF(EIOPA_RFR!O24&lt;0%,EIOPA_RFR!O24,EIOPA_RFR!O24*(1+VLOOKUP($B$71,Int_Rate_Param,3,FALSE))),IF(EIOPA_RFR!O24&lt;0%,EIOPA_RFR!O24,EIOPA_RFR!O24*(1+VLOOKUP($B63,Int_Rate_Param,3,FALSE))))</f>
        <v>6.1841000000000005E-3</v>
      </c>
      <c r="P63" s="94">
        <f>IF($B63&gt;20,IF(EIOPA_RFR!P24&lt;0%,EIOPA_RFR!P24,EIOPA_RFR!P24*(1+VLOOKUP($B$71,Int_Rate_Param,3,FALSE))),IF(EIOPA_RFR!P24&lt;0%,EIOPA_RFR!P24,EIOPA_RFR!P24*(1+VLOOKUP($B63,Int_Rate_Param,3,FALSE))))</f>
        <v>2.4679599999999999E-2</v>
      </c>
      <c r="Q63" s="94">
        <f>IF($B63&gt;20,IF(EIOPA_RFR!Q24&lt;0%,EIOPA_RFR!Q24,EIOPA_RFR!Q24*(1+VLOOKUP($B$71,Int_Rate_Param,3,FALSE))),IF(EIOPA_RFR!Q24&lt;0%,EIOPA_RFR!Q24,EIOPA_RFR!Q24*(1+VLOOKUP($B63,Int_Rate_Param,3,FALSE))))</f>
        <v>3.36114E-2</v>
      </c>
      <c r="R63" s="94">
        <f>IF($B63&gt;20,IF(EIOPA_RFR!R24&lt;0%,EIOPA_RFR!R24,EIOPA_RFR!R24*(1+VLOOKUP($B$71,Int_Rate_Param,3,FALSE))),IF(EIOPA_RFR!R24&lt;0%,EIOPA_RFR!R24,EIOPA_RFR!R24*(1+VLOOKUP($B63,Int_Rate_Param,3,FALSE))))</f>
        <v>6.1841000000000005E-3</v>
      </c>
      <c r="S63" s="94">
        <f>IF($B63&gt;20,IF(EIOPA_RFR!S24&lt;0%,EIOPA_RFR!S24,EIOPA_RFR!S24*(1+VLOOKUP($B$71,Int_Rate_Param,3,FALSE))),IF(EIOPA_RFR!S24&lt;0%,EIOPA_RFR!S24,EIOPA_RFR!S24*(1+VLOOKUP($B63,Int_Rate_Param,3,FALSE))))</f>
        <v>6.1841000000000005E-3</v>
      </c>
      <c r="T63" s="94">
        <f>IF($B63&gt;20,IF(EIOPA_RFR!T24&lt;0%,EIOPA_RFR!T24,EIOPA_RFR!T24*(1+VLOOKUP($B$71,Int_Rate_Param,3,FALSE))),IF(EIOPA_RFR!T24&lt;0%,EIOPA_RFR!T24,EIOPA_RFR!T24*(1+VLOOKUP($B63,Int_Rate_Param,3,FALSE))))</f>
        <v>6.1841000000000005E-3</v>
      </c>
      <c r="U63" s="94">
        <f>IF($B63&gt;20,IF(EIOPA_RFR!U24&lt;0%,EIOPA_RFR!U24,EIOPA_RFR!U24*(1+VLOOKUP($B$71,Int_Rate_Param,3,FALSE))),IF(EIOPA_RFR!U24&lt;0%,EIOPA_RFR!U24,EIOPA_RFR!U24*(1+VLOOKUP($B63,Int_Rate_Param,3,FALSE))))</f>
        <v>1.1218000000000001E-3</v>
      </c>
      <c r="V63" s="94">
        <f>IF($B63&gt;20,IF(EIOPA_RFR!V24&lt;0%,EIOPA_RFR!V24,EIOPA_RFR!V24*(1+VLOOKUP($B$71,Int_Rate_Param,3,FALSE))),IF(EIOPA_RFR!V24&lt;0%,EIOPA_RFR!V24,EIOPA_RFR!V24*(1+VLOOKUP($B63,Int_Rate_Param,3,FALSE))))</f>
        <v>6.1841000000000005E-3</v>
      </c>
      <c r="W63" s="94">
        <f>IF($B63&gt;20,IF(EIOPA_RFR!W24&lt;0%,EIOPA_RFR!W24,EIOPA_RFR!W24*(1+VLOOKUP($B$71,Int_Rate_Param,3,FALSE))),IF(EIOPA_RFR!W24&lt;0%,EIOPA_RFR!W24,EIOPA_RFR!W24*(1+VLOOKUP($B63,Int_Rate_Param,3,FALSE))))</f>
        <v>6.1841000000000005E-3</v>
      </c>
      <c r="X63" s="94">
        <f>IF($B63&gt;20,IF(EIOPA_RFR!X24&lt;0%,EIOPA_RFR!X24,EIOPA_RFR!X24*(1+VLOOKUP($B$71,Int_Rate_Param,3,FALSE))),IF(EIOPA_RFR!X24&lt;0%,EIOPA_RFR!X24,EIOPA_RFR!X24*(1+VLOOKUP($B63,Int_Rate_Param,3,FALSE))))</f>
        <v>6.1841000000000005E-3</v>
      </c>
      <c r="Y63" s="94">
        <f>IF($B63&gt;20,IF(EIOPA_RFR!Y24&lt;0%,EIOPA_RFR!Y24,EIOPA_RFR!Y24*(1+VLOOKUP($B$71,Int_Rate_Param,3,FALSE))),IF(EIOPA_RFR!Y24&lt;0%,EIOPA_RFR!Y24,EIOPA_RFR!Y24*(1+VLOOKUP($B63,Int_Rate_Param,3,FALSE))))</f>
        <v>6.1841000000000005E-3</v>
      </c>
      <c r="Z63" s="94">
        <f>IF($B63&gt;20,IF(EIOPA_RFR!Z24&lt;0%,EIOPA_RFR!Z24,EIOPA_RFR!Z24*(1+VLOOKUP($B$71,Int_Rate_Param,3,FALSE))),IF(EIOPA_RFR!Z24&lt;0%,EIOPA_RFR!Z24,EIOPA_RFR!Z24*(1+VLOOKUP($B63,Int_Rate_Param,3,FALSE))))</f>
        <v>1.4058000000000001E-2</v>
      </c>
      <c r="AA63" s="94">
        <f>IF($B63&gt;20,IF(EIOPA_RFR!AA24&lt;0%,EIOPA_RFR!AA24,EIOPA_RFR!AA24*(1+VLOOKUP($B$71,Int_Rate_Param,3,FALSE))),IF(EIOPA_RFR!AA24&lt;0%,EIOPA_RFR!AA24,EIOPA_RFR!AA24*(1+VLOOKUP($B63,Int_Rate_Param,3,FALSE))))</f>
        <v>2.5055899999999999E-2</v>
      </c>
      <c r="AB63" s="94">
        <f>IF($B63&gt;20,IF(EIOPA_RFR!AB24&lt;0%,EIOPA_RFR!AB24,EIOPA_RFR!AB24*(1+VLOOKUP($B$71,Int_Rate_Param,3,FALSE))),IF(EIOPA_RFR!AB24&lt;0%,EIOPA_RFR!AB24,EIOPA_RFR!AB24*(1+VLOOKUP($B63,Int_Rate_Param,3,FALSE))))</f>
        <v>6.1841000000000005E-3</v>
      </c>
      <c r="AC63" s="94">
        <f>IF($B63&gt;20,IF(EIOPA_RFR!AC24&lt;0%,EIOPA_RFR!AC24,EIOPA_RFR!AC24*(1+VLOOKUP($B$71,Int_Rate_Param,3,FALSE))),IF(EIOPA_RFR!AC24&lt;0%,EIOPA_RFR!AC24,EIOPA_RFR!AC24*(1+VLOOKUP($B63,Int_Rate_Param,3,FALSE))))</f>
        <v>2.8946699999999999E-2</v>
      </c>
      <c r="AD63" s="94">
        <f>IF($B63&gt;20,IF(EIOPA_RFR!AD24&lt;0%,EIOPA_RFR!AD24,EIOPA_RFR!AD24*(1+VLOOKUP($B$71,Int_Rate_Param,3,FALSE))),IF(EIOPA_RFR!AD24&lt;0%,EIOPA_RFR!AD24,EIOPA_RFR!AD24*(1+VLOOKUP($B63,Int_Rate_Param,3,FALSE))))</f>
        <v>5.3051199999999993E-2</v>
      </c>
      <c r="AE63" s="94">
        <f>IF($B63&gt;20,IF(EIOPA_RFR!AE24&lt;0%,EIOPA_RFR!AE24,EIOPA_RFR!AE24*(1+VLOOKUP($B$71,Int_Rate_Param,3,FALSE))),IF(EIOPA_RFR!AE24&lt;0%,EIOPA_RFR!AE24,EIOPA_RFR!AE24*(1+VLOOKUP($B63,Int_Rate_Param,3,FALSE))))</f>
        <v>6.1841000000000005E-3</v>
      </c>
      <c r="AF63" s="94">
        <f>IF($B63&gt;20,IF(EIOPA_RFR!AF24&lt;0%,EIOPA_RFR!AF24,EIOPA_RFR!AF24*(1+VLOOKUP($B$71,Int_Rate_Param,3,FALSE))),IF(EIOPA_RFR!AF24&lt;0%,EIOPA_RFR!AF24,EIOPA_RFR!AF24*(1+VLOOKUP($B63,Int_Rate_Param,3,FALSE))))</f>
        <v>6.1841000000000005E-3</v>
      </c>
      <c r="AG63" s="94">
        <f>IF($B63&gt;20,IF(EIOPA_RFR!AG24&lt;0%,EIOPA_RFR!AG24,EIOPA_RFR!AG24*(1+VLOOKUP($B$71,Int_Rate_Param,3,FALSE))),IF(EIOPA_RFR!AG24&lt;0%,EIOPA_RFR!AG24,EIOPA_RFR!AG24*(1+VLOOKUP($B63,Int_Rate_Param,3,FALSE))))</f>
        <v>6.1841000000000005E-3</v>
      </c>
      <c r="AH63" s="94">
        <f>IF($B63&gt;20,IF(EIOPA_RFR!AH24&lt;0%,EIOPA_RFR!AH24,EIOPA_RFR!AH24*(1+VLOOKUP($B$71,Int_Rate_Param,3,FALSE))),IF(EIOPA_RFR!AH24&lt;0%,EIOPA_RFR!AH24,EIOPA_RFR!AH24*(1+VLOOKUP($B63,Int_Rate_Param,3,FALSE))))</f>
        <v>9.7269999999999995E-3</v>
      </c>
      <c r="AI63" s="94">
        <f>IF($B63&gt;20,IF(EIOPA_RFR!AI24&lt;0%,EIOPA_RFR!AI24,EIOPA_RFR!AI24*(1+VLOOKUP($B$71,Int_Rate_Param,3,FALSE))),IF(EIOPA_RFR!AI24&lt;0%,EIOPA_RFR!AI24,EIOPA_RFR!AI24*(1+VLOOKUP($B63,Int_Rate_Param,3,FALSE))))</f>
        <v>1.1218000000000001E-3</v>
      </c>
      <c r="AJ63" s="94">
        <f>IF($B63&gt;20,IF(EIOPA_RFR!AJ24&lt;0%,EIOPA_RFR!AJ24,EIOPA_RFR!AJ24*(1+VLOOKUP($B$71,Int_Rate_Param,3,FALSE))),IF(EIOPA_RFR!AJ24&lt;0%,EIOPA_RFR!AJ24,EIOPA_RFR!AJ24*(1+VLOOKUP($B63,Int_Rate_Param,3,FALSE))))</f>
        <v>8.1011E-3</v>
      </c>
      <c r="AK63" s="94">
        <f>IF($B63&gt;20,IF(EIOPA_RFR!AK24&lt;0%,EIOPA_RFR!AK24,EIOPA_RFR!AK24*(1+VLOOKUP($B$71,Int_Rate_Param,3,FALSE))),IF(EIOPA_RFR!AK24&lt;0%,EIOPA_RFR!AK24,EIOPA_RFR!AK24*(1+VLOOKUP($B63,Int_Rate_Param,3,FALSE))))</f>
        <v>2.1037299999999998E-2</v>
      </c>
      <c r="AL63" s="94">
        <f>IF($B63&gt;20,IF(EIOPA_RFR!AL24&lt;0%,EIOPA_RFR!AL24,EIOPA_RFR!AL24*(1+VLOOKUP($B$71,Int_Rate_Param,3,FALSE))),IF(EIOPA_RFR!AL24&lt;0%,EIOPA_RFR!AL24,EIOPA_RFR!AL24*(1+VLOOKUP($B63,Int_Rate_Param,3,FALSE))))</f>
        <v>6.6086799999999987E-2</v>
      </c>
      <c r="AM63" s="94">
        <f>IF($B63&gt;20,IF(EIOPA_RFR!AM24&lt;0%,EIOPA_RFR!AM24,EIOPA_RFR!AM24*(1+VLOOKUP($B$71,Int_Rate_Param,3,FALSE))),IF(EIOPA_RFR!AM24&lt;0%,EIOPA_RFR!AM24,EIOPA_RFR!AM24*(1+VLOOKUP($B63,Int_Rate_Param,3,FALSE))))</f>
        <v>1.3504199999999999E-2</v>
      </c>
      <c r="AN63" s="94">
        <f>IF($B63&gt;20,IF(EIOPA_RFR!AN24&lt;0%,EIOPA_RFR!AN24,EIOPA_RFR!AN24*(1+VLOOKUP($B$71,Int_Rate_Param,3,FALSE))),IF(EIOPA_RFR!AN24&lt;0%,EIOPA_RFR!AN24,EIOPA_RFR!AN24*(1+VLOOKUP($B63,Int_Rate_Param,3,FALSE))))</f>
        <v>2.8797599999999996E-2</v>
      </c>
      <c r="AO63" s="94">
        <f>IF($B63&gt;20,IF(EIOPA_RFR!AO24&lt;0%,EIOPA_RFR!AO24,EIOPA_RFR!AO24*(1+VLOOKUP($B$71,Int_Rate_Param,3,FALSE))),IF(EIOPA_RFR!AO24&lt;0%,EIOPA_RFR!AO24,EIOPA_RFR!AO24*(1+VLOOKUP($B63,Int_Rate_Param,3,FALSE))))</f>
        <v>3.0629399999999998E-2</v>
      </c>
      <c r="AP63" s="94">
        <f>IF($B63&gt;20,IF(EIOPA_RFR!AP24&lt;0%,EIOPA_RFR!AP24,EIOPA_RFR!AP24*(1+VLOOKUP($B$71,Int_Rate_Param,3,FALSE))),IF(EIOPA_RFR!AP24&lt;0%,EIOPA_RFR!AP24,EIOPA_RFR!AP24*(1+VLOOKUP($B63,Int_Rate_Param,3,FALSE))))</f>
        <v>4.4815199999999993E-2</v>
      </c>
      <c r="AQ63" s="94">
        <f>IF($B63&gt;20,IF(EIOPA_RFR!AQ24&lt;0%,EIOPA_RFR!AQ24,EIOPA_RFR!AQ24*(1+VLOOKUP($B$71,Int_Rate_Param,3,FALSE))),IF(EIOPA_RFR!AQ24&lt;0%,EIOPA_RFR!AQ24,EIOPA_RFR!AQ24*(1+VLOOKUP($B63,Int_Rate_Param,3,FALSE))))</f>
        <v>1.6422300000000001E-2</v>
      </c>
      <c r="AR63" s="94">
        <f>IF($B63&gt;20,IF(EIOPA_RFR!AR24&lt;0%,EIOPA_RFR!AR24,EIOPA_RFR!AR24*(1+VLOOKUP($B$71,Int_Rate_Param,3,FALSE))),IF(EIOPA_RFR!AR24&lt;0%,EIOPA_RFR!AR24,EIOPA_RFR!AR24*(1+VLOOKUP($B63,Int_Rate_Param,3,FALSE))))</f>
        <v>4.8762800000000002E-2</v>
      </c>
      <c r="AS63" s="94">
        <f>IF($B63&gt;20,IF(EIOPA_RFR!AS24&lt;0%,EIOPA_RFR!AS24,EIOPA_RFR!AS24*(1+VLOOKUP($B$71,Int_Rate_Param,3,FALSE))),IF(EIOPA_RFR!AS24&lt;0%,EIOPA_RFR!AS24,EIOPA_RFR!AS24*(1+VLOOKUP($B63,Int_Rate_Param,3,FALSE))))</f>
        <v>1.7821E-3</v>
      </c>
      <c r="AT63" s="94">
        <f>IF($B63&gt;20,IF(EIOPA_RFR!AT24&lt;0%,EIOPA_RFR!AT24,EIOPA_RFR!AT24*(1+VLOOKUP($B$71,Int_Rate_Param,3,FALSE))),IF(EIOPA_RFR!AT24&lt;0%,EIOPA_RFR!AT24,EIOPA_RFR!AT24*(1+VLOOKUP($B63,Int_Rate_Param,3,FALSE))))</f>
        <v>2.8946699999999999E-2</v>
      </c>
      <c r="AU63" s="94">
        <f>IF($B63&gt;20,IF(EIOPA_RFR!AU24&lt;0%,EIOPA_RFR!AU24,EIOPA_RFR!AU24*(1+VLOOKUP($B$71,Int_Rate_Param,3,FALSE))),IF(EIOPA_RFR!AU24&lt;0%,EIOPA_RFR!AU24,EIOPA_RFR!AU24*(1+VLOOKUP($B63,Int_Rate_Param,3,FALSE))))</f>
        <v>5.3342300000000002E-2</v>
      </c>
      <c r="AV63" s="94">
        <f>IF($B63&gt;20,IF(EIOPA_RFR!AV24&lt;0%,EIOPA_RFR!AV24,EIOPA_RFR!AV24*(1+VLOOKUP($B$71,Int_Rate_Param,3,FALSE))),IF(EIOPA_RFR!AV24&lt;0%,EIOPA_RFR!AV24,EIOPA_RFR!AV24*(1+VLOOKUP($B63,Int_Rate_Param,3,FALSE))))</f>
        <v>2.4580199999999996E-2</v>
      </c>
      <c r="AW63" s="94">
        <f>IF($B63&gt;20,IF(EIOPA_RFR!AW24&lt;0%,EIOPA_RFR!AW24,EIOPA_RFR!AW24*(1+VLOOKUP($B$71,Int_Rate_Param,3,FALSE))),IF(EIOPA_RFR!AW24&lt;0%,EIOPA_RFR!AW24,EIOPA_RFR!AW24*(1+VLOOKUP($B63,Int_Rate_Param,3,FALSE))))</f>
        <v>1.7721599999999997E-2</v>
      </c>
      <c r="AX63" s="94">
        <f>IF($B63&gt;20,IF(EIOPA_RFR!AX24&lt;0%,EIOPA_RFR!AX24,EIOPA_RFR!AX24*(1+VLOOKUP($B$71,Int_Rate_Param,3,FALSE))),IF(EIOPA_RFR!AX24&lt;0%,EIOPA_RFR!AX24,EIOPA_RFR!AX24*(1+VLOOKUP($B63,Int_Rate_Param,3,FALSE))))</f>
        <v>5.9355999999999992E-2</v>
      </c>
      <c r="AY63" s="94">
        <f>IF($B63&gt;20,IF(EIOPA_RFR!AY24&lt;0%,EIOPA_RFR!AY24,EIOPA_RFR!AY24*(1+VLOOKUP($B$71,Int_Rate_Param,3,FALSE))),IF(EIOPA_RFR!AY24&lt;0%,EIOPA_RFR!AY24,EIOPA_RFR!AY24*(1+VLOOKUP($B63,Int_Rate_Param,3,FALSE))))</f>
        <v>1.3014299999999999E-2</v>
      </c>
      <c r="AZ63" s="94">
        <f>IF($B63&gt;20,IF(EIOPA_RFR!AZ24&lt;0%,EIOPA_RFR!AZ24,EIOPA_RFR!AZ24*(1+VLOOKUP($B$71,Int_Rate_Param,3,FALSE))),IF(EIOPA_RFR!AZ24&lt;0%,EIOPA_RFR!AZ24,EIOPA_RFR!AZ24*(1+VLOOKUP($B63,Int_Rate_Param,3,FALSE))))</f>
        <v>8.8962999999999993E-3</v>
      </c>
      <c r="BA63" s="94">
        <f>IF($B63&gt;20,IF(EIOPA_RFR!BA24&lt;0%,EIOPA_RFR!BA24,EIOPA_RFR!BA24*(1+VLOOKUP($B$71,Int_Rate_Param,3,FALSE))),IF(EIOPA_RFR!BA24&lt;0%,EIOPA_RFR!BA24,EIOPA_RFR!BA24*(1+VLOOKUP($B63,Int_Rate_Param,3,FALSE))))</f>
        <v>1.8850499999999999E-2</v>
      </c>
      <c r="BB63" s="94">
        <f>IF($B63&gt;20,IF(EIOPA_RFR!BB24&lt;0%,EIOPA_RFR!BB24,EIOPA_RFR!BB24*(1+VLOOKUP($B$71,Int_Rate_Param,3,FALSE))),IF(EIOPA_RFR!BB24&lt;0%,EIOPA_RFR!BB24,EIOPA_RFR!BB24*(1+VLOOKUP($B63,Int_Rate_Param,3,FALSE))))</f>
        <v>7.2732400000000003E-2</v>
      </c>
      <c r="BC63" s="94">
        <f>IF($B63&gt;20,IF(EIOPA_RFR!BC24&lt;0%,EIOPA_RFR!BC24,EIOPA_RFR!BC24*(1+VLOOKUP($B$71,Int_Rate_Param,3,FALSE))),IF(EIOPA_RFR!BC24&lt;0%,EIOPA_RFR!BC24,EIOPA_RFR!BC24*(1+VLOOKUP($B63,Int_Rate_Param,3,FALSE))))</f>
        <v>1.6706299999999997E-2</v>
      </c>
    </row>
    <row r="64" spans="1:55" x14ac:dyDescent="0.25">
      <c r="A64">
        <f t="shared" si="1"/>
        <v>15</v>
      </c>
      <c r="B64" s="95">
        <v>13</v>
      </c>
      <c r="C64" s="94">
        <f>IF($B64&gt;20,IF(EIOPA_RFR!C25&lt;0%,EIOPA_RFR!C25,EIOPA_RFR!C25*(1+VLOOKUP($B$71,Int_Rate_Param,3,FALSE))),IF(EIOPA_RFR!C25&lt;0%,EIOPA_RFR!C25,EIOPA_RFR!C25*(1+VLOOKUP($B64,Int_Rate_Param,3,FALSE))))</f>
        <v>6.8687999999999996E-3</v>
      </c>
      <c r="D64" s="94">
        <f>IF($B64&gt;20,IF(EIOPA_RFR!D25&lt;0%,EIOPA_RFR!D25,EIOPA_RFR!D25*(1+VLOOKUP($B$71,Int_Rate_Param,3,FALSE))),IF(EIOPA_RFR!D25&lt;0%,EIOPA_RFR!D25,EIOPA_RFR!D25*(1+VLOOKUP($B64,Int_Rate_Param,3,FALSE))))</f>
        <v>6.8687999999999996E-3</v>
      </c>
      <c r="E64" s="94">
        <f>IF($B64&gt;20,IF(EIOPA_RFR!E25&lt;0%,EIOPA_RFR!E25,EIOPA_RFR!E25*(1+VLOOKUP($B$71,Int_Rate_Param,3,FALSE))),IF(EIOPA_RFR!E25&lt;0%,EIOPA_RFR!E25,EIOPA_RFR!E25*(1+VLOOKUP($B64,Int_Rate_Param,3,FALSE))))</f>
        <v>6.8687999999999996E-3</v>
      </c>
      <c r="F64" s="94">
        <f>IF($B64&gt;20,IF(EIOPA_RFR!F25&lt;0%,EIOPA_RFR!F25,EIOPA_RFR!F25*(1+VLOOKUP($B$71,Int_Rate_Param,3,FALSE))),IF(EIOPA_RFR!F25&lt;0%,EIOPA_RFR!F25,EIOPA_RFR!F25*(1+VLOOKUP($B64,Int_Rate_Param,3,FALSE))))</f>
        <v>6.4944E-3</v>
      </c>
      <c r="G64" s="94">
        <f>IF($B64&gt;20,IF(EIOPA_RFR!G25&lt;0%,EIOPA_RFR!G25,EIOPA_RFR!G25*(1+VLOOKUP($B$71,Int_Rate_Param,3,FALSE))),IF(EIOPA_RFR!G25&lt;0%,EIOPA_RFR!G25,EIOPA_RFR!G25*(1+VLOOKUP($B64,Int_Rate_Param,3,FALSE))))</f>
        <v>2.2240799999999998E-2</v>
      </c>
      <c r="H64" s="94">
        <f>IF($B64&gt;20,IF(EIOPA_RFR!H25&lt;0%,EIOPA_RFR!H25,EIOPA_RFR!H25*(1+VLOOKUP($B$71,Int_Rate_Param,3,FALSE))),IF(EIOPA_RFR!H25&lt;0%,EIOPA_RFR!H25,EIOPA_RFR!H25*(1+VLOOKUP($B64,Int_Rate_Param,3,FALSE))))</f>
        <v>6.8687999999999996E-3</v>
      </c>
      <c r="I64" s="94">
        <f>IF($B64&gt;20,IF(EIOPA_RFR!I25&lt;0%,EIOPA_RFR!I25,EIOPA_RFR!I25*(1+VLOOKUP($B$71,Int_Rate_Param,3,FALSE))),IF(EIOPA_RFR!I25&lt;0%,EIOPA_RFR!I25,EIOPA_RFR!I25*(1+VLOOKUP($B64,Int_Rate_Param,3,FALSE))))</f>
        <v>8.6111999999999994E-3</v>
      </c>
      <c r="J64" s="94">
        <f>IF($B64&gt;20,IF(EIOPA_RFR!J25&lt;0%,EIOPA_RFR!J25,EIOPA_RFR!J25*(1+VLOOKUP($B$71,Int_Rate_Param,3,FALSE))),IF(EIOPA_RFR!J25&lt;0%,EIOPA_RFR!J25,EIOPA_RFR!J25*(1+VLOOKUP($B64,Int_Rate_Param,3,FALSE))))</f>
        <v>6.7968000000000004E-3</v>
      </c>
      <c r="K64" s="94">
        <f>IF($B64&gt;20,IF(EIOPA_RFR!K25&lt;0%,EIOPA_RFR!K25,EIOPA_RFR!K25*(1+VLOOKUP($B$71,Int_Rate_Param,3,FALSE))),IF(EIOPA_RFR!K25&lt;0%,EIOPA_RFR!K25,EIOPA_RFR!K25*(1+VLOOKUP($B64,Int_Rate_Param,3,FALSE))))</f>
        <v>6.8687999999999996E-3</v>
      </c>
      <c r="L64" s="94">
        <f>IF($B64&gt;20,IF(EIOPA_RFR!L25&lt;0%,EIOPA_RFR!L25,EIOPA_RFR!L25*(1+VLOOKUP($B$71,Int_Rate_Param,3,FALSE))),IF(EIOPA_RFR!L25&lt;0%,EIOPA_RFR!L25,EIOPA_RFR!L25*(1+VLOOKUP($B64,Int_Rate_Param,3,FALSE))))</f>
        <v>6.8687999999999996E-3</v>
      </c>
      <c r="M64" s="94">
        <f>IF($B64&gt;20,IF(EIOPA_RFR!M25&lt;0%,EIOPA_RFR!M25,EIOPA_RFR!M25*(1+VLOOKUP($B$71,Int_Rate_Param,3,FALSE))),IF(EIOPA_RFR!M25&lt;0%,EIOPA_RFR!M25,EIOPA_RFR!M25*(1+VLOOKUP($B64,Int_Rate_Param,3,FALSE))))</f>
        <v>6.8687999999999996E-3</v>
      </c>
      <c r="N64" s="94">
        <f>IF($B64&gt;20,IF(EIOPA_RFR!N25&lt;0%,EIOPA_RFR!N25,EIOPA_RFR!N25*(1+VLOOKUP($B$71,Int_Rate_Param,3,FALSE))),IF(EIOPA_RFR!N25&lt;0%,EIOPA_RFR!N25,EIOPA_RFR!N25*(1+VLOOKUP($B64,Int_Rate_Param,3,FALSE))))</f>
        <v>6.8687999999999996E-3</v>
      </c>
      <c r="O64" s="94">
        <f>IF($B64&gt;20,IF(EIOPA_RFR!O25&lt;0%,EIOPA_RFR!O25,EIOPA_RFR!O25*(1+VLOOKUP($B$71,Int_Rate_Param,3,FALSE))),IF(EIOPA_RFR!O25&lt;0%,EIOPA_RFR!O25,EIOPA_RFR!O25*(1+VLOOKUP($B64,Int_Rate_Param,3,FALSE))))</f>
        <v>6.8687999999999996E-3</v>
      </c>
      <c r="P64" s="94">
        <f>IF($B64&gt;20,IF(EIOPA_RFR!P25&lt;0%,EIOPA_RFR!P25,EIOPA_RFR!P25*(1+VLOOKUP($B$71,Int_Rate_Param,3,FALSE))),IF(EIOPA_RFR!P25&lt;0%,EIOPA_RFR!P25,EIOPA_RFR!P25*(1+VLOOKUP($B64,Int_Rate_Param,3,FALSE))))</f>
        <v>2.6056799999999998E-2</v>
      </c>
      <c r="Q64" s="94">
        <f>IF($B64&gt;20,IF(EIOPA_RFR!Q25&lt;0%,EIOPA_RFR!Q25,EIOPA_RFR!Q25*(1+VLOOKUP($B$71,Int_Rate_Param,3,FALSE))),IF(EIOPA_RFR!Q25&lt;0%,EIOPA_RFR!Q25,EIOPA_RFR!Q25*(1+VLOOKUP($B64,Int_Rate_Param,3,FALSE))))</f>
        <v>3.4005599999999997E-2</v>
      </c>
      <c r="R64" s="94">
        <f>IF($B64&gt;20,IF(EIOPA_RFR!R25&lt;0%,EIOPA_RFR!R25,EIOPA_RFR!R25*(1+VLOOKUP($B$71,Int_Rate_Param,3,FALSE))),IF(EIOPA_RFR!R25&lt;0%,EIOPA_RFR!R25,EIOPA_RFR!R25*(1+VLOOKUP($B64,Int_Rate_Param,3,FALSE))))</f>
        <v>6.8687999999999996E-3</v>
      </c>
      <c r="S64" s="94">
        <f>IF($B64&gt;20,IF(EIOPA_RFR!S25&lt;0%,EIOPA_RFR!S25,EIOPA_RFR!S25*(1+VLOOKUP($B$71,Int_Rate_Param,3,FALSE))),IF(EIOPA_RFR!S25&lt;0%,EIOPA_RFR!S25,EIOPA_RFR!S25*(1+VLOOKUP($B64,Int_Rate_Param,3,FALSE))))</f>
        <v>6.8687999999999996E-3</v>
      </c>
      <c r="T64" s="94">
        <f>IF($B64&gt;20,IF(EIOPA_RFR!T25&lt;0%,EIOPA_RFR!T25,EIOPA_RFR!T25*(1+VLOOKUP($B$71,Int_Rate_Param,3,FALSE))),IF(EIOPA_RFR!T25&lt;0%,EIOPA_RFR!T25,EIOPA_RFR!T25*(1+VLOOKUP($B64,Int_Rate_Param,3,FALSE))))</f>
        <v>6.8687999999999996E-3</v>
      </c>
      <c r="U64" s="94">
        <f>IF($B64&gt;20,IF(EIOPA_RFR!U25&lt;0%,EIOPA_RFR!U25,EIOPA_RFR!U25*(1+VLOOKUP($B$71,Int_Rate_Param,3,FALSE))),IF(EIOPA_RFR!U25&lt;0%,EIOPA_RFR!U25,EIOPA_RFR!U25*(1+VLOOKUP($B64,Int_Rate_Param,3,FALSE))))</f>
        <v>1.4111999999999998E-3</v>
      </c>
      <c r="V64" s="94">
        <f>IF($B64&gt;20,IF(EIOPA_RFR!V25&lt;0%,EIOPA_RFR!V25,EIOPA_RFR!V25*(1+VLOOKUP($B$71,Int_Rate_Param,3,FALSE))),IF(EIOPA_RFR!V25&lt;0%,EIOPA_RFR!V25,EIOPA_RFR!V25*(1+VLOOKUP($B64,Int_Rate_Param,3,FALSE))))</f>
        <v>6.8687999999999996E-3</v>
      </c>
      <c r="W64" s="94">
        <f>IF($B64&gt;20,IF(EIOPA_RFR!W25&lt;0%,EIOPA_RFR!W25,EIOPA_RFR!W25*(1+VLOOKUP($B$71,Int_Rate_Param,3,FALSE))),IF(EIOPA_RFR!W25&lt;0%,EIOPA_RFR!W25,EIOPA_RFR!W25*(1+VLOOKUP($B64,Int_Rate_Param,3,FALSE))))</f>
        <v>6.8687999999999996E-3</v>
      </c>
      <c r="X64" s="94">
        <f>IF($B64&gt;20,IF(EIOPA_RFR!X25&lt;0%,EIOPA_RFR!X25,EIOPA_RFR!X25*(1+VLOOKUP($B$71,Int_Rate_Param,3,FALSE))),IF(EIOPA_RFR!X25&lt;0%,EIOPA_RFR!X25,EIOPA_RFR!X25*(1+VLOOKUP($B64,Int_Rate_Param,3,FALSE))))</f>
        <v>6.8687999999999996E-3</v>
      </c>
      <c r="Y64" s="94">
        <f>IF($B64&gt;20,IF(EIOPA_RFR!Y25&lt;0%,EIOPA_RFR!Y25,EIOPA_RFR!Y25*(1+VLOOKUP($B$71,Int_Rate_Param,3,FALSE))),IF(EIOPA_RFR!Y25&lt;0%,EIOPA_RFR!Y25,EIOPA_RFR!Y25*(1+VLOOKUP($B64,Int_Rate_Param,3,FALSE))))</f>
        <v>6.8687999999999996E-3</v>
      </c>
      <c r="Z64" s="94">
        <f>IF($B64&gt;20,IF(EIOPA_RFR!Z25&lt;0%,EIOPA_RFR!Z25,EIOPA_RFR!Z25*(1+VLOOKUP($B$71,Int_Rate_Param,3,FALSE))),IF(EIOPA_RFR!Z25&lt;0%,EIOPA_RFR!Z25,EIOPA_RFR!Z25*(1+VLOOKUP($B64,Int_Rate_Param,3,FALSE))))</f>
        <v>1.4767199999999999E-2</v>
      </c>
      <c r="AA64" s="94">
        <f>IF($B64&gt;20,IF(EIOPA_RFR!AA25&lt;0%,EIOPA_RFR!AA25,EIOPA_RFR!AA25*(1+VLOOKUP($B$71,Int_Rate_Param,3,FALSE))),IF(EIOPA_RFR!AA25&lt;0%,EIOPA_RFR!AA25,EIOPA_RFR!AA25*(1+VLOOKUP($B64,Int_Rate_Param,3,FALSE))))</f>
        <v>2.59128E-2</v>
      </c>
      <c r="AB64" s="94">
        <f>IF($B64&gt;20,IF(EIOPA_RFR!AB25&lt;0%,EIOPA_RFR!AB25,EIOPA_RFR!AB25*(1+VLOOKUP($B$71,Int_Rate_Param,3,FALSE))),IF(EIOPA_RFR!AB25&lt;0%,EIOPA_RFR!AB25,EIOPA_RFR!AB25*(1+VLOOKUP($B64,Int_Rate_Param,3,FALSE))))</f>
        <v>6.8687999999999996E-3</v>
      </c>
      <c r="AC64" s="94">
        <f>IF($B64&gt;20,IF(EIOPA_RFR!AC25&lt;0%,EIOPA_RFR!AC25,EIOPA_RFR!AC25*(1+VLOOKUP($B$71,Int_Rate_Param,3,FALSE))),IF(EIOPA_RFR!AC25&lt;0%,EIOPA_RFR!AC25,EIOPA_RFR!AC25*(1+VLOOKUP($B64,Int_Rate_Param,3,FALSE))))</f>
        <v>2.9843999999999999E-2</v>
      </c>
      <c r="AD64" s="94">
        <f>IF($B64&gt;20,IF(EIOPA_RFR!AD25&lt;0%,EIOPA_RFR!AD25,EIOPA_RFR!AD25*(1+VLOOKUP($B$71,Int_Rate_Param,3,FALSE))),IF(EIOPA_RFR!AD25&lt;0%,EIOPA_RFR!AD25,EIOPA_RFR!AD25*(1+VLOOKUP($B64,Int_Rate_Param,3,FALSE))))</f>
        <v>5.3114399999999999E-2</v>
      </c>
      <c r="AE64" s="94">
        <f>IF($B64&gt;20,IF(EIOPA_RFR!AE25&lt;0%,EIOPA_RFR!AE25,EIOPA_RFR!AE25*(1+VLOOKUP($B$71,Int_Rate_Param,3,FALSE))),IF(EIOPA_RFR!AE25&lt;0%,EIOPA_RFR!AE25,EIOPA_RFR!AE25*(1+VLOOKUP($B64,Int_Rate_Param,3,FALSE))))</f>
        <v>6.8687999999999996E-3</v>
      </c>
      <c r="AF64" s="94">
        <f>IF($B64&gt;20,IF(EIOPA_RFR!AF25&lt;0%,EIOPA_RFR!AF25,EIOPA_RFR!AF25*(1+VLOOKUP($B$71,Int_Rate_Param,3,FALSE))),IF(EIOPA_RFR!AF25&lt;0%,EIOPA_RFR!AF25,EIOPA_RFR!AF25*(1+VLOOKUP($B64,Int_Rate_Param,3,FALSE))))</f>
        <v>6.8687999999999996E-3</v>
      </c>
      <c r="AG64" s="94">
        <f>IF($B64&gt;20,IF(EIOPA_RFR!AG25&lt;0%,EIOPA_RFR!AG25,EIOPA_RFR!AG25*(1+VLOOKUP($B$71,Int_Rate_Param,3,FALSE))),IF(EIOPA_RFR!AG25&lt;0%,EIOPA_RFR!AG25,EIOPA_RFR!AG25*(1+VLOOKUP($B64,Int_Rate_Param,3,FALSE))))</f>
        <v>6.8687999999999996E-3</v>
      </c>
      <c r="AH64" s="94">
        <f>IF($B64&gt;20,IF(EIOPA_RFR!AH25&lt;0%,EIOPA_RFR!AH25,EIOPA_RFR!AH25*(1+VLOOKUP($B$71,Int_Rate_Param,3,FALSE))),IF(EIOPA_RFR!AH25&lt;0%,EIOPA_RFR!AH25,EIOPA_RFR!AH25*(1+VLOOKUP($B64,Int_Rate_Param,3,FALSE))))</f>
        <v>1.11384E-2</v>
      </c>
      <c r="AI64" s="94">
        <f>IF($B64&gt;20,IF(EIOPA_RFR!AI25&lt;0%,EIOPA_RFR!AI25,EIOPA_RFR!AI25*(1+VLOOKUP($B$71,Int_Rate_Param,3,FALSE))),IF(EIOPA_RFR!AI25&lt;0%,EIOPA_RFR!AI25,EIOPA_RFR!AI25*(1+VLOOKUP($B64,Int_Rate_Param,3,FALSE))))</f>
        <v>1.4111999999999998E-3</v>
      </c>
      <c r="AJ64" s="94">
        <f>IF($B64&gt;20,IF(EIOPA_RFR!AJ25&lt;0%,EIOPA_RFR!AJ25,EIOPA_RFR!AJ25*(1+VLOOKUP($B$71,Int_Rate_Param,3,FALSE))),IF(EIOPA_RFR!AJ25&lt;0%,EIOPA_RFR!AJ25,EIOPA_RFR!AJ25*(1+VLOOKUP($B64,Int_Rate_Param,3,FALSE))))</f>
        <v>8.5463999999999991E-3</v>
      </c>
      <c r="AK64" s="94">
        <f>IF($B64&gt;20,IF(EIOPA_RFR!AK25&lt;0%,EIOPA_RFR!AK25,EIOPA_RFR!AK25*(1+VLOOKUP($B$71,Int_Rate_Param,3,FALSE))),IF(EIOPA_RFR!AK25&lt;0%,EIOPA_RFR!AK25,EIOPA_RFR!AK25*(1+VLOOKUP($B64,Int_Rate_Param,3,FALSE))))</f>
        <v>2.1736800000000001E-2</v>
      </c>
      <c r="AL64" s="94">
        <f>IF($B64&gt;20,IF(EIOPA_RFR!AL25&lt;0%,EIOPA_RFR!AL25,EIOPA_RFR!AL25*(1+VLOOKUP($B$71,Int_Rate_Param,3,FALSE))),IF(EIOPA_RFR!AL25&lt;0%,EIOPA_RFR!AL25,EIOPA_RFR!AL25*(1+VLOOKUP($B64,Int_Rate_Param,3,FALSE))))</f>
        <v>6.6556799999999999E-2</v>
      </c>
      <c r="AM64" s="94">
        <f>IF($B64&gt;20,IF(EIOPA_RFR!AM25&lt;0%,EIOPA_RFR!AM25,EIOPA_RFR!AM25*(1+VLOOKUP($B$71,Int_Rate_Param,3,FALSE))),IF(EIOPA_RFR!AM25&lt;0%,EIOPA_RFR!AM25,EIOPA_RFR!AM25*(1+VLOOKUP($B64,Int_Rate_Param,3,FALSE))))</f>
        <v>1.4227199999999999E-2</v>
      </c>
      <c r="AN64" s="94">
        <f>IF($B64&gt;20,IF(EIOPA_RFR!AN25&lt;0%,EIOPA_RFR!AN25,EIOPA_RFR!AN25*(1+VLOOKUP($B$71,Int_Rate_Param,3,FALSE))),IF(EIOPA_RFR!AN25&lt;0%,EIOPA_RFR!AN25,EIOPA_RFR!AN25*(1+VLOOKUP($B64,Int_Rate_Param,3,FALSE))))</f>
        <v>2.9462399999999996E-2</v>
      </c>
      <c r="AO64" s="94">
        <f>IF($B64&gt;20,IF(EIOPA_RFR!AO25&lt;0%,EIOPA_RFR!AO25,EIOPA_RFR!AO25*(1+VLOOKUP($B$71,Int_Rate_Param,3,FALSE))),IF(EIOPA_RFR!AO25&lt;0%,EIOPA_RFR!AO25,EIOPA_RFR!AO25*(1+VLOOKUP($B64,Int_Rate_Param,3,FALSE))))</f>
        <v>3.1283999999999999E-2</v>
      </c>
      <c r="AP64" s="94">
        <f>IF($B64&gt;20,IF(EIOPA_RFR!AP25&lt;0%,EIOPA_RFR!AP25,EIOPA_RFR!AP25*(1+VLOOKUP($B$71,Int_Rate_Param,3,FALSE))),IF(EIOPA_RFR!AP25&lt;0%,EIOPA_RFR!AP25,EIOPA_RFR!AP25*(1+VLOOKUP($B64,Int_Rate_Param,3,FALSE))))</f>
        <v>4.5424799999999994E-2</v>
      </c>
      <c r="AQ64" s="94">
        <f>IF($B64&gt;20,IF(EIOPA_RFR!AQ25&lt;0%,EIOPA_RFR!AQ25,EIOPA_RFR!AQ25*(1+VLOOKUP($B$71,Int_Rate_Param,3,FALSE))),IF(EIOPA_RFR!AQ25&lt;0%,EIOPA_RFR!AQ25,EIOPA_RFR!AQ25*(1+VLOOKUP($B64,Int_Rate_Param,3,FALSE))))</f>
        <v>1.6891200000000002E-2</v>
      </c>
      <c r="AR64" s="94">
        <f>IF($B64&gt;20,IF(EIOPA_RFR!AR25&lt;0%,EIOPA_RFR!AR25,EIOPA_RFR!AR25*(1+VLOOKUP($B$71,Int_Rate_Param,3,FALSE))),IF(EIOPA_RFR!AR25&lt;0%,EIOPA_RFR!AR25,EIOPA_RFR!AR25*(1+VLOOKUP($B64,Int_Rate_Param,3,FALSE))))</f>
        <v>4.9500000000000002E-2</v>
      </c>
      <c r="AS64" s="94">
        <f>IF($B64&gt;20,IF(EIOPA_RFR!AS25&lt;0%,EIOPA_RFR!AS25,EIOPA_RFR!AS25*(1+VLOOKUP($B$71,Int_Rate_Param,3,FALSE))),IF(EIOPA_RFR!AS25&lt;0%,EIOPA_RFR!AS25,EIOPA_RFR!AS25*(1+VLOOKUP($B64,Int_Rate_Param,3,FALSE))))</f>
        <v>2.1527999999999999E-3</v>
      </c>
      <c r="AT64" s="94">
        <f>IF($B64&gt;20,IF(EIOPA_RFR!AT25&lt;0%,EIOPA_RFR!AT25,EIOPA_RFR!AT25*(1+VLOOKUP($B$71,Int_Rate_Param,3,FALSE))),IF(EIOPA_RFR!AT25&lt;0%,EIOPA_RFR!AT25,EIOPA_RFR!AT25*(1+VLOOKUP($B64,Int_Rate_Param,3,FALSE))))</f>
        <v>2.9807999999999998E-2</v>
      </c>
      <c r="AU64" s="94">
        <f>IF($B64&gt;20,IF(EIOPA_RFR!AU25&lt;0%,EIOPA_RFR!AU25,EIOPA_RFR!AU25*(1+VLOOKUP($B$71,Int_Rate_Param,3,FALSE))),IF(EIOPA_RFR!AU25&lt;0%,EIOPA_RFR!AU25,EIOPA_RFR!AU25*(1+VLOOKUP($B64,Int_Rate_Param,3,FALSE))))</f>
        <v>5.4619199999999993E-2</v>
      </c>
      <c r="AV64" s="94">
        <f>IF($B64&gt;20,IF(EIOPA_RFR!AV25&lt;0%,EIOPA_RFR!AV25,EIOPA_RFR!AV25*(1+VLOOKUP($B$71,Int_Rate_Param,3,FALSE))),IF(EIOPA_RFR!AV25&lt;0%,EIOPA_RFR!AV25,EIOPA_RFR!AV25*(1+VLOOKUP($B64,Int_Rate_Param,3,FALSE))))</f>
        <v>2.5502399999999998E-2</v>
      </c>
      <c r="AW64" s="94">
        <f>IF($B64&gt;20,IF(EIOPA_RFR!AW25&lt;0%,EIOPA_RFR!AW25,EIOPA_RFR!AW25*(1+VLOOKUP($B$71,Int_Rate_Param,3,FALSE))),IF(EIOPA_RFR!AW25&lt;0%,EIOPA_RFR!AW25,EIOPA_RFR!AW25*(1+VLOOKUP($B64,Int_Rate_Param,3,FALSE))))</f>
        <v>1.8230399999999997E-2</v>
      </c>
      <c r="AX64" s="94">
        <f>IF($B64&gt;20,IF(EIOPA_RFR!AX25&lt;0%,EIOPA_RFR!AX25,EIOPA_RFR!AX25*(1+VLOOKUP($B$71,Int_Rate_Param,3,FALSE))),IF(EIOPA_RFR!AX25&lt;0%,EIOPA_RFR!AX25,EIOPA_RFR!AX25*(1+VLOOKUP($B64,Int_Rate_Param,3,FALSE))))</f>
        <v>6.0537599999999997E-2</v>
      </c>
      <c r="AY64" s="94">
        <f>IF($B64&gt;20,IF(EIOPA_RFR!AY25&lt;0%,EIOPA_RFR!AY25,EIOPA_RFR!AY25*(1+VLOOKUP($B$71,Int_Rate_Param,3,FALSE))),IF(EIOPA_RFR!AY25&lt;0%,EIOPA_RFR!AY25,EIOPA_RFR!AY25*(1+VLOOKUP($B64,Int_Rate_Param,3,FALSE))))</f>
        <v>1.3240799999999999E-2</v>
      </c>
      <c r="AZ64" s="94">
        <f>IF($B64&gt;20,IF(EIOPA_RFR!AZ25&lt;0%,EIOPA_RFR!AZ25,EIOPA_RFR!AZ25*(1+VLOOKUP($B$71,Int_Rate_Param,3,FALSE))),IF(EIOPA_RFR!AZ25&lt;0%,EIOPA_RFR!AZ25,EIOPA_RFR!AZ25*(1+VLOOKUP($B64,Int_Rate_Param,3,FALSE))))</f>
        <v>9.6480000000000003E-3</v>
      </c>
      <c r="BA64" s="94">
        <f>IF($B64&gt;20,IF(EIOPA_RFR!BA25&lt;0%,EIOPA_RFR!BA25,EIOPA_RFR!BA25*(1+VLOOKUP($B$71,Int_Rate_Param,3,FALSE))),IF(EIOPA_RFR!BA25&lt;0%,EIOPA_RFR!BA25,EIOPA_RFR!BA25*(1+VLOOKUP($B64,Int_Rate_Param,3,FALSE))))</f>
        <v>1.9447199999999998E-2</v>
      </c>
      <c r="BB64" s="94">
        <f>IF($B64&gt;20,IF(EIOPA_RFR!BB25&lt;0%,EIOPA_RFR!BB25,EIOPA_RFR!BB25*(1+VLOOKUP($B$71,Int_Rate_Param,3,FALSE))),IF(EIOPA_RFR!BB25&lt;0%,EIOPA_RFR!BB25,EIOPA_RFR!BB25*(1+VLOOKUP($B64,Int_Rate_Param,3,FALSE))))</f>
        <v>7.2619199999999995E-2</v>
      </c>
      <c r="BC64" s="94">
        <f>IF($B64&gt;20,IF(EIOPA_RFR!BC25&lt;0%,EIOPA_RFR!BC25,EIOPA_RFR!BC25*(1+VLOOKUP($B$71,Int_Rate_Param,3,FALSE))),IF(EIOPA_RFR!BC25&lt;0%,EIOPA_RFR!BC25,EIOPA_RFR!BC25*(1+VLOOKUP($B64,Int_Rate_Param,3,FALSE))))</f>
        <v>1.71936E-2</v>
      </c>
    </row>
    <row r="65" spans="1:55" x14ac:dyDescent="0.25">
      <c r="A65">
        <f t="shared" si="1"/>
        <v>16</v>
      </c>
      <c r="B65" s="95">
        <v>14</v>
      </c>
      <c r="C65" s="94">
        <f>IF($B65&gt;20,IF(EIOPA_RFR!C26&lt;0%,EIOPA_RFR!C26,EIOPA_RFR!C26*(1+VLOOKUP($B$71,Int_Rate_Param,3,FALSE))),IF(EIOPA_RFR!C26&lt;0%,EIOPA_RFR!C26,EIOPA_RFR!C26*(1+VLOOKUP($B65,Int_Rate_Param,3,FALSE))))</f>
        <v>7.3728000000000005E-3</v>
      </c>
      <c r="D65" s="94">
        <f>IF($B65&gt;20,IF(EIOPA_RFR!D26&lt;0%,EIOPA_RFR!D26,EIOPA_RFR!D26*(1+VLOOKUP($B$71,Int_Rate_Param,3,FALSE))),IF(EIOPA_RFR!D26&lt;0%,EIOPA_RFR!D26,EIOPA_RFR!D26*(1+VLOOKUP($B65,Int_Rate_Param,3,FALSE))))</f>
        <v>7.3728000000000005E-3</v>
      </c>
      <c r="E65" s="94">
        <f>IF($B65&gt;20,IF(EIOPA_RFR!E26&lt;0%,EIOPA_RFR!E26,EIOPA_RFR!E26*(1+VLOOKUP($B$71,Int_Rate_Param,3,FALSE))),IF(EIOPA_RFR!E26&lt;0%,EIOPA_RFR!E26,EIOPA_RFR!E26*(1+VLOOKUP($B65,Int_Rate_Param,3,FALSE))))</f>
        <v>7.3728000000000005E-3</v>
      </c>
      <c r="F65" s="94">
        <f>IF($B65&gt;20,IF(EIOPA_RFR!F26&lt;0%,EIOPA_RFR!F26,EIOPA_RFR!F26*(1+VLOOKUP($B$71,Int_Rate_Param,3,FALSE))),IF(EIOPA_RFR!F26&lt;0%,EIOPA_RFR!F26,EIOPA_RFR!F26*(1+VLOOKUP($B65,Int_Rate_Param,3,FALSE))))</f>
        <v>6.9983999999999992E-3</v>
      </c>
      <c r="G65" s="94">
        <f>IF($B65&gt;20,IF(EIOPA_RFR!G26&lt;0%,EIOPA_RFR!G26,EIOPA_RFR!G26*(1+VLOOKUP($B$71,Int_Rate_Param,3,FALSE))),IF(EIOPA_RFR!G26&lt;0%,EIOPA_RFR!G26,EIOPA_RFR!G26*(1+VLOOKUP($B65,Int_Rate_Param,3,FALSE))))</f>
        <v>2.2593599999999998E-2</v>
      </c>
      <c r="H65" s="94">
        <f>IF($B65&gt;20,IF(EIOPA_RFR!H26&lt;0%,EIOPA_RFR!H26,EIOPA_RFR!H26*(1+VLOOKUP($B$71,Int_Rate_Param,3,FALSE))),IF(EIOPA_RFR!H26&lt;0%,EIOPA_RFR!H26,EIOPA_RFR!H26*(1+VLOOKUP($B65,Int_Rate_Param,3,FALSE))))</f>
        <v>7.3728000000000005E-3</v>
      </c>
      <c r="I65" s="94">
        <f>IF($B65&gt;20,IF(EIOPA_RFR!I26&lt;0%,EIOPA_RFR!I26,EIOPA_RFR!I26*(1+VLOOKUP($B$71,Int_Rate_Param,3,FALSE))),IF(EIOPA_RFR!I26&lt;0%,EIOPA_RFR!I26,EIOPA_RFR!I26*(1+VLOOKUP($B65,Int_Rate_Param,3,FALSE))))</f>
        <v>9.0071999999999999E-3</v>
      </c>
      <c r="J65" s="94">
        <f>IF($B65&gt;20,IF(EIOPA_RFR!J26&lt;0%,EIOPA_RFR!J26,EIOPA_RFR!J26*(1+VLOOKUP($B$71,Int_Rate_Param,3,FALSE))),IF(EIOPA_RFR!J26&lt;0%,EIOPA_RFR!J26,EIOPA_RFR!J26*(1+VLOOKUP($B65,Int_Rate_Param,3,FALSE))))</f>
        <v>7.2935999999999999E-3</v>
      </c>
      <c r="K65" s="94">
        <f>IF($B65&gt;20,IF(EIOPA_RFR!K26&lt;0%,EIOPA_RFR!K26,EIOPA_RFR!K26*(1+VLOOKUP($B$71,Int_Rate_Param,3,FALSE))),IF(EIOPA_RFR!K26&lt;0%,EIOPA_RFR!K26,EIOPA_RFR!K26*(1+VLOOKUP($B65,Int_Rate_Param,3,FALSE))))</f>
        <v>7.3728000000000005E-3</v>
      </c>
      <c r="L65" s="94">
        <f>IF($B65&gt;20,IF(EIOPA_RFR!L26&lt;0%,EIOPA_RFR!L26,EIOPA_RFR!L26*(1+VLOOKUP($B$71,Int_Rate_Param,3,FALSE))),IF(EIOPA_RFR!L26&lt;0%,EIOPA_RFR!L26,EIOPA_RFR!L26*(1+VLOOKUP($B65,Int_Rate_Param,3,FALSE))))</f>
        <v>7.3728000000000005E-3</v>
      </c>
      <c r="M65" s="94">
        <f>IF($B65&gt;20,IF(EIOPA_RFR!M26&lt;0%,EIOPA_RFR!M26,EIOPA_RFR!M26*(1+VLOOKUP($B$71,Int_Rate_Param,3,FALSE))),IF(EIOPA_RFR!M26&lt;0%,EIOPA_RFR!M26,EIOPA_RFR!M26*(1+VLOOKUP($B65,Int_Rate_Param,3,FALSE))))</f>
        <v>7.3728000000000005E-3</v>
      </c>
      <c r="N65" s="94">
        <f>IF($B65&gt;20,IF(EIOPA_RFR!N26&lt;0%,EIOPA_RFR!N26,EIOPA_RFR!N26*(1+VLOOKUP($B$71,Int_Rate_Param,3,FALSE))),IF(EIOPA_RFR!N26&lt;0%,EIOPA_RFR!N26,EIOPA_RFR!N26*(1+VLOOKUP($B65,Int_Rate_Param,3,FALSE))))</f>
        <v>7.3728000000000005E-3</v>
      </c>
      <c r="O65" s="94">
        <f>IF($B65&gt;20,IF(EIOPA_RFR!O26&lt;0%,EIOPA_RFR!O26,EIOPA_RFR!O26*(1+VLOOKUP($B$71,Int_Rate_Param,3,FALSE))),IF(EIOPA_RFR!O26&lt;0%,EIOPA_RFR!O26,EIOPA_RFR!O26*(1+VLOOKUP($B65,Int_Rate_Param,3,FALSE))))</f>
        <v>7.3728000000000005E-3</v>
      </c>
      <c r="P65" s="94">
        <f>IF($B65&gt;20,IF(EIOPA_RFR!P26&lt;0%,EIOPA_RFR!P26,EIOPA_RFR!P26*(1+VLOOKUP($B$71,Int_Rate_Param,3,FALSE))),IF(EIOPA_RFR!P26&lt;0%,EIOPA_RFR!P26,EIOPA_RFR!P26*(1+VLOOKUP($B65,Int_Rate_Param,3,FALSE))))</f>
        <v>2.6992800000000001E-2</v>
      </c>
      <c r="Q65" s="94">
        <f>IF($B65&gt;20,IF(EIOPA_RFR!Q26&lt;0%,EIOPA_RFR!Q26,EIOPA_RFR!Q26*(1+VLOOKUP($B$71,Int_Rate_Param,3,FALSE))),IF(EIOPA_RFR!Q26&lt;0%,EIOPA_RFR!Q26,EIOPA_RFR!Q26*(1+VLOOKUP($B65,Int_Rate_Param,3,FALSE))))</f>
        <v>3.3919199999999997E-2</v>
      </c>
      <c r="R65" s="94">
        <f>IF($B65&gt;20,IF(EIOPA_RFR!R26&lt;0%,EIOPA_RFR!R26,EIOPA_RFR!R26*(1+VLOOKUP($B$71,Int_Rate_Param,3,FALSE))),IF(EIOPA_RFR!R26&lt;0%,EIOPA_RFR!R26,EIOPA_RFR!R26*(1+VLOOKUP($B65,Int_Rate_Param,3,FALSE))))</f>
        <v>7.3728000000000005E-3</v>
      </c>
      <c r="S65" s="94">
        <f>IF($B65&gt;20,IF(EIOPA_RFR!S26&lt;0%,EIOPA_RFR!S26,EIOPA_RFR!S26*(1+VLOOKUP($B$71,Int_Rate_Param,3,FALSE))),IF(EIOPA_RFR!S26&lt;0%,EIOPA_RFR!S26,EIOPA_RFR!S26*(1+VLOOKUP($B65,Int_Rate_Param,3,FALSE))))</f>
        <v>7.3728000000000005E-3</v>
      </c>
      <c r="T65" s="94">
        <f>IF($B65&gt;20,IF(EIOPA_RFR!T26&lt;0%,EIOPA_RFR!T26,EIOPA_RFR!T26*(1+VLOOKUP($B$71,Int_Rate_Param,3,FALSE))),IF(EIOPA_RFR!T26&lt;0%,EIOPA_RFR!T26,EIOPA_RFR!T26*(1+VLOOKUP($B65,Int_Rate_Param,3,FALSE))))</f>
        <v>7.3728000000000005E-3</v>
      </c>
      <c r="U65" s="94">
        <f>IF($B65&gt;20,IF(EIOPA_RFR!U26&lt;0%,EIOPA_RFR!U26,EIOPA_RFR!U26*(1+VLOOKUP($B$71,Int_Rate_Param,3,FALSE))),IF(EIOPA_RFR!U26&lt;0%,EIOPA_RFR!U26,EIOPA_RFR!U26*(1+VLOOKUP($B65,Int_Rate_Param,3,FALSE))))</f>
        <v>1.7856E-3</v>
      </c>
      <c r="V65" s="94">
        <f>IF($B65&gt;20,IF(EIOPA_RFR!V26&lt;0%,EIOPA_RFR!V26,EIOPA_RFR!V26*(1+VLOOKUP($B$71,Int_Rate_Param,3,FALSE))),IF(EIOPA_RFR!V26&lt;0%,EIOPA_RFR!V26,EIOPA_RFR!V26*(1+VLOOKUP($B65,Int_Rate_Param,3,FALSE))))</f>
        <v>7.3728000000000005E-3</v>
      </c>
      <c r="W65" s="94">
        <f>IF($B65&gt;20,IF(EIOPA_RFR!W26&lt;0%,EIOPA_RFR!W26,EIOPA_RFR!W26*(1+VLOOKUP($B$71,Int_Rate_Param,3,FALSE))),IF(EIOPA_RFR!W26&lt;0%,EIOPA_RFR!W26,EIOPA_RFR!W26*(1+VLOOKUP($B65,Int_Rate_Param,3,FALSE))))</f>
        <v>7.3728000000000005E-3</v>
      </c>
      <c r="X65" s="94">
        <f>IF($B65&gt;20,IF(EIOPA_RFR!X26&lt;0%,EIOPA_RFR!X26,EIOPA_RFR!X26*(1+VLOOKUP($B$71,Int_Rate_Param,3,FALSE))),IF(EIOPA_RFR!X26&lt;0%,EIOPA_RFR!X26,EIOPA_RFR!X26*(1+VLOOKUP($B65,Int_Rate_Param,3,FALSE))))</f>
        <v>7.3728000000000005E-3</v>
      </c>
      <c r="Y65" s="94">
        <f>IF($B65&gt;20,IF(EIOPA_RFR!Y26&lt;0%,EIOPA_RFR!Y26,EIOPA_RFR!Y26*(1+VLOOKUP($B$71,Int_Rate_Param,3,FALSE))),IF(EIOPA_RFR!Y26&lt;0%,EIOPA_RFR!Y26,EIOPA_RFR!Y26*(1+VLOOKUP($B65,Int_Rate_Param,3,FALSE))))</f>
        <v>7.3728000000000005E-3</v>
      </c>
      <c r="Z65" s="94">
        <f>IF($B65&gt;20,IF(EIOPA_RFR!Z26&lt;0%,EIOPA_RFR!Z26,EIOPA_RFR!Z26*(1+VLOOKUP($B$71,Int_Rate_Param,3,FALSE))),IF(EIOPA_RFR!Z26&lt;0%,EIOPA_RFR!Z26,EIOPA_RFR!Z26*(1+VLOOKUP($B65,Int_Rate_Param,3,FALSE))))</f>
        <v>1.5278399999999999E-2</v>
      </c>
      <c r="AA65" s="94">
        <f>IF($B65&gt;20,IF(EIOPA_RFR!AA26&lt;0%,EIOPA_RFR!AA26,EIOPA_RFR!AA26*(1+VLOOKUP($B$71,Int_Rate_Param,3,FALSE))),IF(EIOPA_RFR!AA26&lt;0%,EIOPA_RFR!AA26,EIOPA_RFR!AA26*(1+VLOOKUP($B65,Int_Rate_Param,3,FALSE))))</f>
        <v>2.6337599999999999E-2</v>
      </c>
      <c r="AB65" s="94">
        <f>IF($B65&gt;20,IF(EIOPA_RFR!AB26&lt;0%,EIOPA_RFR!AB26,EIOPA_RFR!AB26*(1+VLOOKUP($B$71,Int_Rate_Param,3,FALSE))),IF(EIOPA_RFR!AB26&lt;0%,EIOPA_RFR!AB26,EIOPA_RFR!AB26*(1+VLOOKUP($B65,Int_Rate_Param,3,FALSE))))</f>
        <v>7.3728000000000005E-3</v>
      </c>
      <c r="AC65" s="94">
        <f>IF($B65&gt;20,IF(EIOPA_RFR!AC26&lt;0%,EIOPA_RFR!AC26,EIOPA_RFR!AC26*(1+VLOOKUP($B$71,Int_Rate_Param,3,FALSE))),IF(EIOPA_RFR!AC26&lt;0%,EIOPA_RFR!AC26,EIOPA_RFR!AC26*(1+VLOOKUP($B65,Int_Rate_Param,3,FALSE))))</f>
        <v>3.024E-2</v>
      </c>
      <c r="AD65" s="94">
        <f>IF($B65&gt;20,IF(EIOPA_RFR!AD26&lt;0%,EIOPA_RFR!AD26,EIOPA_RFR!AD26*(1+VLOOKUP($B$71,Int_Rate_Param,3,FALSE))),IF(EIOPA_RFR!AD26&lt;0%,EIOPA_RFR!AD26,EIOPA_RFR!AD26*(1+VLOOKUP($B65,Int_Rate_Param,3,FALSE))))</f>
        <v>5.2430399999999995E-2</v>
      </c>
      <c r="AE65" s="94">
        <f>IF($B65&gt;20,IF(EIOPA_RFR!AE26&lt;0%,EIOPA_RFR!AE26,EIOPA_RFR!AE26*(1+VLOOKUP($B$71,Int_Rate_Param,3,FALSE))),IF(EIOPA_RFR!AE26&lt;0%,EIOPA_RFR!AE26,EIOPA_RFR!AE26*(1+VLOOKUP($B65,Int_Rate_Param,3,FALSE))))</f>
        <v>7.3728000000000005E-3</v>
      </c>
      <c r="AF65" s="94">
        <f>IF($B65&gt;20,IF(EIOPA_RFR!AF26&lt;0%,EIOPA_RFR!AF26,EIOPA_RFR!AF26*(1+VLOOKUP($B$71,Int_Rate_Param,3,FALSE))),IF(EIOPA_RFR!AF26&lt;0%,EIOPA_RFR!AF26,EIOPA_RFR!AF26*(1+VLOOKUP($B65,Int_Rate_Param,3,FALSE))))</f>
        <v>7.3728000000000005E-3</v>
      </c>
      <c r="AG65" s="94">
        <f>IF($B65&gt;20,IF(EIOPA_RFR!AG26&lt;0%,EIOPA_RFR!AG26,EIOPA_RFR!AG26*(1+VLOOKUP($B$71,Int_Rate_Param,3,FALSE))),IF(EIOPA_RFR!AG26&lt;0%,EIOPA_RFR!AG26,EIOPA_RFR!AG26*(1+VLOOKUP($B65,Int_Rate_Param,3,FALSE))))</f>
        <v>7.3728000000000005E-3</v>
      </c>
      <c r="AH65" s="94">
        <f>IF($B65&gt;20,IF(EIOPA_RFR!AH26&lt;0%,EIOPA_RFR!AH26,EIOPA_RFR!AH26*(1+VLOOKUP($B$71,Int_Rate_Param,3,FALSE))),IF(EIOPA_RFR!AH26&lt;0%,EIOPA_RFR!AH26,EIOPA_RFR!AH26*(1+VLOOKUP($B65,Int_Rate_Param,3,FALSE))))</f>
        <v>1.2340799999999999E-2</v>
      </c>
      <c r="AI65" s="94">
        <f>IF($B65&gt;20,IF(EIOPA_RFR!AI26&lt;0%,EIOPA_RFR!AI26,EIOPA_RFR!AI26*(1+VLOOKUP($B$71,Int_Rate_Param,3,FALSE))),IF(EIOPA_RFR!AI26&lt;0%,EIOPA_RFR!AI26,EIOPA_RFR!AI26*(1+VLOOKUP($B65,Int_Rate_Param,3,FALSE))))</f>
        <v>1.7856E-3</v>
      </c>
      <c r="AJ65" s="94">
        <f>IF($B65&gt;20,IF(EIOPA_RFR!AJ26&lt;0%,EIOPA_RFR!AJ26,EIOPA_RFR!AJ26*(1+VLOOKUP($B$71,Int_Rate_Param,3,FALSE))),IF(EIOPA_RFR!AJ26&lt;0%,EIOPA_RFR!AJ26,EIOPA_RFR!AJ26*(1+VLOOKUP($B65,Int_Rate_Param,3,FALSE))))</f>
        <v>8.7767999999999995E-3</v>
      </c>
      <c r="AK65" s="94">
        <f>IF($B65&gt;20,IF(EIOPA_RFR!AK26&lt;0%,EIOPA_RFR!AK26,EIOPA_RFR!AK26*(1+VLOOKUP($B$71,Int_Rate_Param,3,FALSE))),IF(EIOPA_RFR!AK26&lt;0%,EIOPA_RFR!AK26,EIOPA_RFR!AK26*(1+VLOOKUP($B65,Int_Rate_Param,3,FALSE))))</f>
        <v>2.2082399999999999E-2</v>
      </c>
      <c r="AL65" s="94">
        <f>IF($B65&gt;20,IF(EIOPA_RFR!AL26&lt;0%,EIOPA_RFR!AL26,EIOPA_RFR!AL26*(1+VLOOKUP($B$71,Int_Rate_Param,3,FALSE))),IF(EIOPA_RFR!AL26&lt;0%,EIOPA_RFR!AL26,EIOPA_RFR!AL26*(1+VLOOKUP($B65,Int_Rate_Param,3,FALSE))))</f>
        <v>6.6002400000000003E-2</v>
      </c>
      <c r="AM65" s="94">
        <f>IF($B65&gt;20,IF(EIOPA_RFR!AM26&lt;0%,EIOPA_RFR!AM26,EIOPA_RFR!AM26*(1+VLOOKUP($B$71,Int_Rate_Param,3,FALSE))),IF(EIOPA_RFR!AM26&lt;0%,EIOPA_RFR!AM26,EIOPA_RFR!AM26*(1+VLOOKUP($B65,Int_Rate_Param,3,FALSE))))</f>
        <v>1.4716799999999999E-2</v>
      </c>
      <c r="AN65" s="94">
        <f>IF($B65&gt;20,IF(EIOPA_RFR!AN26&lt;0%,EIOPA_RFR!AN26,EIOPA_RFR!AN26*(1+VLOOKUP($B$71,Int_Rate_Param,3,FALSE))),IF(EIOPA_RFR!AN26&lt;0%,EIOPA_RFR!AN26,EIOPA_RFR!AN26*(1+VLOOKUP($B65,Int_Rate_Param,3,FALSE))))</f>
        <v>2.9663999999999999E-2</v>
      </c>
      <c r="AO65" s="94">
        <f>IF($B65&gt;20,IF(EIOPA_RFR!AO26&lt;0%,EIOPA_RFR!AO26,EIOPA_RFR!AO26*(1+VLOOKUP($B$71,Int_Rate_Param,3,FALSE))),IF(EIOPA_RFR!AO26&lt;0%,EIOPA_RFR!AO26,EIOPA_RFR!AO26*(1+VLOOKUP($B65,Int_Rate_Param,3,FALSE))))</f>
        <v>3.1449599999999994E-2</v>
      </c>
      <c r="AP65" s="94">
        <f>IF($B65&gt;20,IF(EIOPA_RFR!AP26&lt;0%,EIOPA_RFR!AP26,EIOPA_RFR!AP26*(1+VLOOKUP($B$71,Int_Rate_Param,3,FALSE))),IF(EIOPA_RFR!AP26&lt;0%,EIOPA_RFR!AP26,EIOPA_RFR!AP26*(1+VLOOKUP($B65,Int_Rate_Param,3,FALSE))))</f>
        <v>4.53024E-2</v>
      </c>
      <c r="AQ65" s="94">
        <f>IF($B65&gt;20,IF(EIOPA_RFR!AQ26&lt;0%,EIOPA_RFR!AQ26,EIOPA_RFR!AQ26*(1+VLOOKUP($B$71,Int_Rate_Param,3,FALSE))),IF(EIOPA_RFR!AQ26&lt;0%,EIOPA_RFR!AQ26,EIOPA_RFR!AQ26*(1+VLOOKUP($B65,Int_Rate_Param,3,FALSE))))</f>
        <v>1.71288E-2</v>
      </c>
      <c r="AR65" s="94">
        <f>IF($B65&gt;20,IF(EIOPA_RFR!AR26&lt;0%,EIOPA_RFR!AR26,EIOPA_RFR!AR26*(1+VLOOKUP($B$71,Int_Rate_Param,3,FALSE))),IF(EIOPA_RFR!AR26&lt;0%,EIOPA_RFR!AR26,EIOPA_RFR!AR26*(1+VLOOKUP($B65,Int_Rate_Param,3,FALSE))))</f>
        <v>4.9463999999999994E-2</v>
      </c>
      <c r="AS65" s="94">
        <f>IF($B65&gt;20,IF(EIOPA_RFR!AS26&lt;0%,EIOPA_RFR!AS26,EIOPA_RFR!AS26*(1+VLOOKUP($B$71,Int_Rate_Param,3,FALSE))),IF(EIOPA_RFR!AS26&lt;0%,EIOPA_RFR!AS26,EIOPA_RFR!AS26*(1+VLOOKUP($B65,Int_Rate_Param,3,FALSE))))</f>
        <v>2.4984E-3</v>
      </c>
      <c r="AT65" s="94">
        <f>IF($B65&gt;20,IF(EIOPA_RFR!AT26&lt;0%,EIOPA_RFR!AT26,EIOPA_RFR!AT26*(1+VLOOKUP($B$71,Int_Rate_Param,3,FALSE))),IF(EIOPA_RFR!AT26&lt;0%,EIOPA_RFR!AT26,EIOPA_RFR!AT26*(1+VLOOKUP($B65,Int_Rate_Param,3,FALSE))))</f>
        <v>3.024E-2</v>
      </c>
      <c r="AU65" s="94">
        <f>IF($B65&gt;20,IF(EIOPA_RFR!AU26&lt;0%,EIOPA_RFR!AU26,EIOPA_RFR!AU26*(1+VLOOKUP($B$71,Int_Rate_Param,3,FALSE))),IF(EIOPA_RFR!AU26&lt;0%,EIOPA_RFR!AU26,EIOPA_RFR!AU26*(1+VLOOKUP($B65,Int_Rate_Param,3,FALSE))))</f>
        <v>5.5137599999999995E-2</v>
      </c>
      <c r="AV65" s="94">
        <f>IF($B65&gt;20,IF(EIOPA_RFR!AV26&lt;0%,EIOPA_RFR!AV26,EIOPA_RFR!AV26*(1+VLOOKUP($B$71,Int_Rate_Param,3,FALSE))),IF(EIOPA_RFR!AV26&lt;0%,EIOPA_RFR!AV26,EIOPA_RFR!AV26*(1+VLOOKUP($B65,Int_Rate_Param,3,FALSE))))</f>
        <v>2.6056799999999998E-2</v>
      </c>
      <c r="AW65" s="94">
        <f>IF($B65&gt;20,IF(EIOPA_RFR!AW26&lt;0%,EIOPA_RFR!AW26,EIOPA_RFR!AW26*(1+VLOOKUP($B$71,Int_Rate_Param,3,FALSE))),IF(EIOPA_RFR!AW26&lt;0%,EIOPA_RFR!AW26,EIOPA_RFR!AW26*(1+VLOOKUP($B65,Int_Rate_Param,3,FALSE))))</f>
        <v>1.8453600000000001E-2</v>
      </c>
      <c r="AX65" s="94">
        <f>IF($B65&gt;20,IF(EIOPA_RFR!AX26&lt;0%,EIOPA_RFR!AX26,EIOPA_RFR!AX26*(1+VLOOKUP($B$71,Int_Rate_Param,3,FALSE))),IF(EIOPA_RFR!AX26&lt;0%,EIOPA_RFR!AX26,EIOPA_RFR!AX26*(1+VLOOKUP($B65,Int_Rate_Param,3,FALSE))))</f>
        <v>6.0710400000000005E-2</v>
      </c>
      <c r="AY65" s="94">
        <f>IF($B65&gt;20,IF(EIOPA_RFR!AY26&lt;0%,EIOPA_RFR!AY26,EIOPA_RFR!AY26*(1+VLOOKUP($B$71,Int_Rate_Param,3,FALSE))),IF(EIOPA_RFR!AY26&lt;0%,EIOPA_RFR!AY26,EIOPA_RFR!AY26*(1+VLOOKUP($B65,Int_Rate_Param,3,FALSE))))</f>
        <v>1.3240799999999999E-2</v>
      </c>
      <c r="AZ65" s="94">
        <f>IF($B65&gt;20,IF(EIOPA_RFR!AZ26&lt;0%,EIOPA_RFR!AZ26,EIOPA_RFR!AZ26*(1+VLOOKUP($B$71,Int_Rate_Param,3,FALSE))),IF(EIOPA_RFR!AZ26&lt;0%,EIOPA_RFR!AZ26,EIOPA_RFR!AZ26*(1+VLOOKUP($B65,Int_Rate_Param,3,FALSE))))</f>
        <v>1.0296E-2</v>
      </c>
      <c r="BA65" s="94">
        <f>IF($B65&gt;20,IF(EIOPA_RFR!BA26&lt;0%,EIOPA_RFR!BA26,EIOPA_RFR!BA26*(1+VLOOKUP($B$71,Int_Rate_Param,3,FALSE))),IF(EIOPA_RFR!BA26&lt;0%,EIOPA_RFR!BA26,EIOPA_RFR!BA26*(1+VLOOKUP($B65,Int_Rate_Param,3,FALSE))))</f>
        <v>1.9778400000000002E-2</v>
      </c>
      <c r="BB65" s="94">
        <f>IF($B65&gt;20,IF(EIOPA_RFR!BB26&lt;0%,EIOPA_RFR!BB26,EIOPA_RFR!BB26*(1+VLOOKUP($B$71,Int_Rate_Param,3,FALSE))),IF(EIOPA_RFR!BB26&lt;0%,EIOPA_RFR!BB26,EIOPA_RFR!BB26*(1+VLOOKUP($B65,Int_Rate_Param,3,FALSE))))</f>
        <v>7.1488800000000005E-2</v>
      </c>
      <c r="BC65" s="94">
        <f>IF($B65&gt;20,IF(EIOPA_RFR!BC26&lt;0%,EIOPA_RFR!BC26,EIOPA_RFR!BC26*(1+VLOOKUP($B$71,Int_Rate_Param,3,FALSE))),IF(EIOPA_RFR!BC26&lt;0%,EIOPA_RFR!BC26,EIOPA_RFR!BC26*(1+VLOOKUP($B65,Int_Rate_Param,3,FALSE))))</f>
        <v>1.73952E-2</v>
      </c>
    </row>
    <row r="66" spans="1:55" x14ac:dyDescent="0.25">
      <c r="A66">
        <f t="shared" si="1"/>
        <v>17</v>
      </c>
      <c r="B66" s="95">
        <v>15</v>
      </c>
      <c r="C66" s="94">
        <f>IF($B66&gt;20,IF(EIOPA_RFR!C27&lt;0%,EIOPA_RFR!C27,EIOPA_RFR!C27*(1+VLOOKUP($B$71,Int_Rate_Param,3,FALSE))),IF(EIOPA_RFR!C27&lt;0%,EIOPA_RFR!C27,EIOPA_RFR!C27*(1+VLOOKUP($B66,Int_Rate_Param,3,FALSE))))</f>
        <v>7.8694000000000004E-3</v>
      </c>
      <c r="D66" s="94">
        <f>IF($B66&gt;20,IF(EIOPA_RFR!D27&lt;0%,EIOPA_RFR!D27,EIOPA_RFR!D27*(1+VLOOKUP($B$71,Int_Rate_Param,3,FALSE))),IF(EIOPA_RFR!D27&lt;0%,EIOPA_RFR!D27,EIOPA_RFR!D27*(1+VLOOKUP($B66,Int_Rate_Param,3,FALSE))))</f>
        <v>7.8694000000000004E-3</v>
      </c>
      <c r="E66" s="94">
        <f>IF($B66&gt;20,IF(EIOPA_RFR!E27&lt;0%,EIOPA_RFR!E27,EIOPA_RFR!E27*(1+VLOOKUP($B$71,Int_Rate_Param,3,FALSE))),IF(EIOPA_RFR!E27&lt;0%,EIOPA_RFR!E27,EIOPA_RFR!E27*(1+VLOOKUP($B66,Int_Rate_Param,3,FALSE))))</f>
        <v>7.8694000000000004E-3</v>
      </c>
      <c r="F66" s="94">
        <f>IF($B66&gt;20,IF(EIOPA_RFR!F27&lt;0%,EIOPA_RFR!F27,EIOPA_RFR!F27*(1+VLOOKUP($B$71,Int_Rate_Param,3,FALSE))),IF(EIOPA_RFR!F27&lt;0%,EIOPA_RFR!F27,EIOPA_RFR!F27*(1+VLOOKUP($B66,Int_Rate_Param,3,FALSE))))</f>
        <v>7.4897999999999996E-3</v>
      </c>
      <c r="G66" s="94">
        <f>IF($B66&gt;20,IF(EIOPA_RFR!G27&lt;0%,EIOPA_RFR!G27,EIOPA_RFR!G27*(1+VLOOKUP($B$71,Int_Rate_Param,3,FALSE))),IF(EIOPA_RFR!G27&lt;0%,EIOPA_RFR!G27,EIOPA_RFR!G27*(1+VLOOKUP($B66,Int_Rate_Param,3,FALSE))))</f>
        <v>2.3235899999999997E-2</v>
      </c>
      <c r="H66" s="94">
        <f>IF($B66&gt;20,IF(EIOPA_RFR!H27&lt;0%,EIOPA_RFR!H27,EIOPA_RFR!H27*(1+VLOOKUP($B$71,Int_Rate_Param,3,FALSE))),IF(EIOPA_RFR!H27&lt;0%,EIOPA_RFR!H27,EIOPA_RFR!H27*(1+VLOOKUP($B66,Int_Rate_Param,3,FALSE))))</f>
        <v>7.8694000000000004E-3</v>
      </c>
      <c r="I66" s="94">
        <f>IF($B66&gt;20,IF(EIOPA_RFR!I27&lt;0%,EIOPA_RFR!I27,EIOPA_RFR!I27*(1+VLOOKUP($B$71,Int_Rate_Param,3,FALSE))),IF(EIOPA_RFR!I27&lt;0%,EIOPA_RFR!I27,EIOPA_RFR!I27*(1+VLOOKUP($B66,Int_Rate_Param,3,FALSE))))</f>
        <v>9.5556999999999986E-3</v>
      </c>
      <c r="J66" s="94">
        <f>IF($B66&gt;20,IF(EIOPA_RFR!J27&lt;0%,EIOPA_RFR!J27,EIOPA_RFR!J27*(1+VLOOKUP($B$71,Int_Rate_Param,3,FALSE))),IF(EIOPA_RFR!J27&lt;0%,EIOPA_RFR!J27,EIOPA_RFR!J27*(1+VLOOKUP($B66,Int_Rate_Param,3,FALSE))))</f>
        <v>7.7891000000000002E-3</v>
      </c>
      <c r="K66" s="94">
        <f>IF($B66&gt;20,IF(EIOPA_RFR!K27&lt;0%,EIOPA_RFR!K27,EIOPA_RFR!K27*(1+VLOOKUP($B$71,Int_Rate_Param,3,FALSE))),IF(EIOPA_RFR!K27&lt;0%,EIOPA_RFR!K27,EIOPA_RFR!K27*(1+VLOOKUP($B66,Int_Rate_Param,3,FALSE))))</f>
        <v>7.8694000000000004E-3</v>
      </c>
      <c r="L66" s="94">
        <f>IF($B66&gt;20,IF(EIOPA_RFR!L27&lt;0%,EIOPA_RFR!L27,EIOPA_RFR!L27*(1+VLOOKUP($B$71,Int_Rate_Param,3,FALSE))),IF(EIOPA_RFR!L27&lt;0%,EIOPA_RFR!L27,EIOPA_RFR!L27*(1+VLOOKUP($B66,Int_Rate_Param,3,FALSE))))</f>
        <v>7.8694000000000004E-3</v>
      </c>
      <c r="M66" s="94">
        <f>IF($B66&gt;20,IF(EIOPA_RFR!M27&lt;0%,EIOPA_RFR!M27,EIOPA_RFR!M27*(1+VLOOKUP($B$71,Int_Rate_Param,3,FALSE))),IF(EIOPA_RFR!M27&lt;0%,EIOPA_RFR!M27,EIOPA_RFR!M27*(1+VLOOKUP($B66,Int_Rate_Param,3,FALSE))))</f>
        <v>7.8694000000000004E-3</v>
      </c>
      <c r="N66" s="94">
        <f>IF($B66&gt;20,IF(EIOPA_RFR!N27&lt;0%,EIOPA_RFR!N27,EIOPA_RFR!N27*(1+VLOOKUP($B$71,Int_Rate_Param,3,FALSE))),IF(EIOPA_RFR!N27&lt;0%,EIOPA_RFR!N27,EIOPA_RFR!N27*(1+VLOOKUP($B66,Int_Rate_Param,3,FALSE))))</f>
        <v>7.8694000000000004E-3</v>
      </c>
      <c r="O66" s="94">
        <f>IF($B66&gt;20,IF(EIOPA_RFR!O27&lt;0%,EIOPA_RFR!O27,EIOPA_RFR!O27*(1+VLOOKUP($B$71,Int_Rate_Param,3,FALSE))),IF(EIOPA_RFR!O27&lt;0%,EIOPA_RFR!O27,EIOPA_RFR!O27*(1+VLOOKUP($B66,Int_Rate_Param,3,FALSE))))</f>
        <v>7.8694000000000004E-3</v>
      </c>
      <c r="P66" s="94">
        <f>IF($B66&gt;20,IF(EIOPA_RFR!P27&lt;0%,EIOPA_RFR!P27,EIOPA_RFR!P27*(1+VLOOKUP($B$71,Int_Rate_Param,3,FALSE))),IF(EIOPA_RFR!P27&lt;0%,EIOPA_RFR!P27,EIOPA_RFR!P27*(1+VLOOKUP($B66,Int_Rate_Param,3,FALSE))))</f>
        <v>2.8178000000000002E-2</v>
      </c>
      <c r="Q66" s="94">
        <f>IF($B66&gt;20,IF(EIOPA_RFR!Q27&lt;0%,EIOPA_RFR!Q27,EIOPA_RFR!Q27*(1+VLOOKUP($B$71,Int_Rate_Param,3,FALSE))),IF(EIOPA_RFR!Q27&lt;0%,EIOPA_RFR!Q27,EIOPA_RFR!Q27*(1+VLOOKUP($B66,Int_Rate_Param,3,FALSE))))</f>
        <v>3.4302699999999998E-2</v>
      </c>
      <c r="R66" s="94">
        <f>IF($B66&gt;20,IF(EIOPA_RFR!R27&lt;0%,EIOPA_RFR!R27,EIOPA_RFR!R27*(1+VLOOKUP($B$71,Int_Rate_Param,3,FALSE))),IF(EIOPA_RFR!R27&lt;0%,EIOPA_RFR!R27,EIOPA_RFR!R27*(1+VLOOKUP($B66,Int_Rate_Param,3,FALSE))))</f>
        <v>7.8694000000000004E-3</v>
      </c>
      <c r="S66" s="94">
        <f>IF($B66&gt;20,IF(EIOPA_RFR!S27&lt;0%,EIOPA_RFR!S27,EIOPA_RFR!S27*(1+VLOOKUP($B$71,Int_Rate_Param,3,FALSE))),IF(EIOPA_RFR!S27&lt;0%,EIOPA_RFR!S27,EIOPA_RFR!S27*(1+VLOOKUP($B66,Int_Rate_Param,3,FALSE))))</f>
        <v>7.8694000000000004E-3</v>
      </c>
      <c r="T66" s="94">
        <f>IF($B66&gt;20,IF(EIOPA_RFR!T27&lt;0%,EIOPA_RFR!T27,EIOPA_RFR!T27*(1+VLOOKUP($B$71,Int_Rate_Param,3,FALSE))),IF(EIOPA_RFR!T27&lt;0%,EIOPA_RFR!T27,EIOPA_RFR!T27*(1+VLOOKUP($B66,Int_Rate_Param,3,FALSE))))</f>
        <v>7.8694000000000004E-3</v>
      </c>
      <c r="U66" s="94">
        <f>IF($B66&gt;20,IF(EIOPA_RFR!U27&lt;0%,EIOPA_RFR!U27,EIOPA_RFR!U27*(1+VLOOKUP($B$71,Int_Rate_Param,3,FALSE))),IF(EIOPA_RFR!U27&lt;0%,EIOPA_RFR!U27,EIOPA_RFR!U27*(1+VLOOKUP($B66,Int_Rate_Param,3,FALSE))))</f>
        <v>2.1096999999999999E-3</v>
      </c>
      <c r="V66" s="94">
        <f>IF($B66&gt;20,IF(EIOPA_RFR!V27&lt;0%,EIOPA_RFR!V27,EIOPA_RFR!V27*(1+VLOOKUP($B$71,Int_Rate_Param,3,FALSE))),IF(EIOPA_RFR!V27&lt;0%,EIOPA_RFR!V27,EIOPA_RFR!V27*(1+VLOOKUP($B66,Int_Rate_Param,3,FALSE))))</f>
        <v>7.8694000000000004E-3</v>
      </c>
      <c r="W66" s="94">
        <f>IF($B66&gt;20,IF(EIOPA_RFR!W27&lt;0%,EIOPA_RFR!W27,EIOPA_RFR!W27*(1+VLOOKUP($B$71,Int_Rate_Param,3,FALSE))),IF(EIOPA_RFR!W27&lt;0%,EIOPA_RFR!W27,EIOPA_RFR!W27*(1+VLOOKUP($B66,Int_Rate_Param,3,FALSE))))</f>
        <v>7.8694000000000004E-3</v>
      </c>
      <c r="X66" s="94">
        <f>IF($B66&gt;20,IF(EIOPA_RFR!X27&lt;0%,EIOPA_RFR!X27,EIOPA_RFR!X27*(1+VLOOKUP($B$71,Int_Rate_Param,3,FALSE))),IF(EIOPA_RFR!X27&lt;0%,EIOPA_RFR!X27,EIOPA_RFR!X27*(1+VLOOKUP($B66,Int_Rate_Param,3,FALSE))))</f>
        <v>7.8694000000000004E-3</v>
      </c>
      <c r="Y66" s="94">
        <f>IF($B66&gt;20,IF(EIOPA_RFR!Y27&lt;0%,EIOPA_RFR!Y27,EIOPA_RFR!Y27*(1+VLOOKUP($B$71,Int_Rate_Param,3,FALSE))),IF(EIOPA_RFR!Y27&lt;0%,EIOPA_RFR!Y27,EIOPA_RFR!Y27*(1+VLOOKUP($B66,Int_Rate_Param,3,FALSE))))</f>
        <v>7.8694000000000004E-3</v>
      </c>
      <c r="Z66" s="94">
        <f>IF($B66&gt;20,IF(EIOPA_RFR!Z27&lt;0%,EIOPA_RFR!Z27,EIOPA_RFR!Z27*(1+VLOOKUP($B$71,Int_Rate_Param,3,FALSE))),IF(EIOPA_RFR!Z27&lt;0%,EIOPA_RFR!Z27,EIOPA_RFR!Z27*(1+VLOOKUP($B66,Int_Rate_Param,3,FALSE))))</f>
        <v>1.6001599999999998E-2</v>
      </c>
      <c r="AA66" s="94">
        <f>IF($B66&gt;20,IF(EIOPA_RFR!AA27&lt;0%,EIOPA_RFR!AA27,EIOPA_RFR!AA27*(1+VLOOKUP($B$71,Int_Rate_Param,3,FALSE))),IF(EIOPA_RFR!AA27&lt;0%,EIOPA_RFR!AA27,EIOPA_RFR!AA27*(1+VLOOKUP($B66,Int_Rate_Param,3,FALSE))))</f>
        <v>2.7068399999999999E-2</v>
      </c>
      <c r="AB66" s="94">
        <f>IF($B66&gt;20,IF(EIOPA_RFR!AB27&lt;0%,EIOPA_RFR!AB27,EIOPA_RFR!AB27*(1+VLOOKUP($B$71,Int_Rate_Param,3,FALSE))),IF(EIOPA_RFR!AB27&lt;0%,EIOPA_RFR!AB27,EIOPA_RFR!AB27*(1+VLOOKUP($B66,Int_Rate_Param,3,FALSE))))</f>
        <v>7.8694000000000004E-3</v>
      </c>
      <c r="AC66" s="94">
        <f>IF($B66&gt;20,IF(EIOPA_RFR!AC27&lt;0%,EIOPA_RFR!AC27,EIOPA_RFR!AC27*(1+VLOOKUP($B$71,Int_Rate_Param,3,FALSE))),IF(EIOPA_RFR!AC27&lt;0%,EIOPA_RFR!AC27,EIOPA_RFR!AC27*(1+VLOOKUP($B66,Int_Rate_Param,3,FALSE))))</f>
        <v>3.0973900000000002E-2</v>
      </c>
      <c r="AD66" s="94">
        <f>IF($B66&gt;20,IF(EIOPA_RFR!AD27&lt;0%,EIOPA_RFR!AD27,EIOPA_RFR!AD27*(1+VLOOKUP($B$71,Int_Rate_Param,3,FALSE))),IF(EIOPA_RFR!AD27&lt;0%,EIOPA_RFR!AD27,EIOPA_RFR!AD27*(1+VLOOKUP($B66,Int_Rate_Param,3,FALSE))))</f>
        <v>5.2472399999999995E-2</v>
      </c>
      <c r="AE66" s="94">
        <f>IF($B66&gt;20,IF(EIOPA_RFR!AE27&lt;0%,EIOPA_RFR!AE27,EIOPA_RFR!AE27*(1+VLOOKUP($B$71,Int_Rate_Param,3,FALSE))),IF(EIOPA_RFR!AE27&lt;0%,EIOPA_RFR!AE27,EIOPA_RFR!AE27*(1+VLOOKUP($B66,Int_Rate_Param,3,FALSE))))</f>
        <v>7.8694000000000004E-3</v>
      </c>
      <c r="AF66" s="94">
        <f>IF($B66&gt;20,IF(EIOPA_RFR!AF27&lt;0%,EIOPA_RFR!AF27,EIOPA_RFR!AF27*(1+VLOOKUP($B$71,Int_Rate_Param,3,FALSE))),IF(EIOPA_RFR!AF27&lt;0%,EIOPA_RFR!AF27,EIOPA_RFR!AF27*(1+VLOOKUP($B66,Int_Rate_Param,3,FALSE))))</f>
        <v>7.8694000000000004E-3</v>
      </c>
      <c r="AG66" s="94">
        <f>IF($B66&gt;20,IF(EIOPA_RFR!AG27&lt;0%,EIOPA_RFR!AG27,EIOPA_RFR!AG27*(1+VLOOKUP($B$71,Int_Rate_Param,3,FALSE))),IF(EIOPA_RFR!AG27&lt;0%,EIOPA_RFR!AG27,EIOPA_RFR!AG27*(1+VLOOKUP($B66,Int_Rate_Param,3,FALSE))))</f>
        <v>7.8694000000000004E-3</v>
      </c>
      <c r="AH66" s="94">
        <f>IF($B66&gt;20,IF(EIOPA_RFR!AH27&lt;0%,EIOPA_RFR!AH27,EIOPA_RFR!AH27*(1+VLOOKUP($B$71,Int_Rate_Param,3,FALSE))),IF(EIOPA_RFR!AH27&lt;0%,EIOPA_RFR!AH27,EIOPA_RFR!AH27*(1+VLOOKUP($B66,Int_Rate_Param,3,FALSE))))</f>
        <v>1.36218E-2</v>
      </c>
      <c r="AI66" s="94">
        <f>IF($B66&gt;20,IF(EIOPA_RFR!AI27&lt;0%,EIOPA_RFR!AI27,EIOPA_RFR!AI27*(1+VLOOKUP($B$71,Int_Rate_Param,3,FALSE))),IF(EIOPA_RFR!AI27&lt;0%,EIOPA_RFR!AI27,EIOPA_RFR!AI27*(1+VLOOKUP($B66,Int_Rate_Param,3,FALSE))))</f>
        <v>2.1096999999999999E-3</v>
      </c>
      <c r="AJ66" s="94">
        <f>IF($B66&gt;20,IF(EIOPA_RFR!AJ27&lt;0%,EIOPA_RFR!AJ27,EIOPA_RFR!AJ27*(1+VLOOKUP($B$71,Int_Rate_Param,3,FALSE))),IF(EIOPA_RFR!AJ27&lt;0%,EIOPA_RFR!AJ27,EIOPA_RFR!AJ27*(1+VLOOKUP($B66,Int_Rate_Param,3,FALSE))))</f>
        <v>9.0592999999999993E-3</v>
      </c>
      <c r="AK66" s="94">
        <f>IF($B66&gt;20,IF(EIOPA_RFR!AK27&lt;0%,EIOPA_RFR!AK27,EIOPA_RFR!AK27*(1+VLOOKUP($B$71,Int_Rate_Param,3,FALSE))),IF(EIOPA_RFR!AK27&lt;0%,EIOPA_RFR!AK27,EIOPA_RFR!AK27*(1+VLOOKUP($B66,Int_Rate_Param,3,FALSE))))</f>
        <v>2.2688400000000001E-2</v>
      </c>
      <c r="AL66" s="94">
        <f>IF($B66&gt;20,IF(EIOPA_RFR!AL27&lt;0%,EIOPA_RFR!AL27,EIOPA_RFR!AL27*(1+VLOOKUP($B$71,Int_Rate_Param,3,FALSE))),IF(EIOPA_RFR!AL27&lt;0%,EIOPA_RFR!AL27,EIOPA_RFR!AL27*(1+VLOOKUP($B66,Int_Rate_Param,3,FALSE))))</f>
        <v>6.6298599999999999E-2</v>
      </c>
      <c r="AM66" s="94">
        <f>IF($B66&gt;20,IF(EIOPA_RFR!AM27&lt;0%,EIOPA_RFR!AM27,EIOPA_RFR!AM27*(1+VLOOKUP($B$71,Int_Rate_Param,3,FALSE))),IF(EIOPA_RFR!AM27&lt;0%,EIOPA_RFR!AM27,EIOPA_RFR!AM27*(1+VLOOKUP($B66,Int_Rate_Param,3,FALSE))))</f>
        <v>1.53592E-2</v>
      </c>
      <c r="AN66" s="94">
        <f>IF($B66&gt;20,IF(EIOPA_RFR!AN27&lt;0%,EIOPA_RFR!AN27,EIOPA_RFR!AN27*(1+VLOOKUP($B$71,Int_Rate_Param,3,FALSE))),IF(EIOPA_RFR!AN27&lt;0%,EIOPA_RFR!AN27,EIOPA_RFR!AN27*(1+VLOOKUP($B66,Int_Rate_Param,3,FALSE))))</f>
        <v>3.0251199999999999E-2</v>
      </c>
      <c r="AO66" s="94">
        <f>IF($B66&gt;20,IF(EIOPA_RFR!AO27&lt;0%,EIOPA_RFR!AO27,EIOPA_RFR!AO27*(1+VLOOKUP($B$71,Int_Rate_Param,3,FALSE))),IF(EIOPA_RFR!AO27&lt;0%,EIOPA_RFR!AO27,EIOPA_RFR!AO27*(1+VLOOKUP($B66,Int_Rate_Param,3,FALSE))))</f>
        <v>3.2017799999999999E-2</v>
      </c>
      <c r="AP66" s="94">
        <f>IF($B66&gt;20,IF(EIOPA_RFR!AP27&lt;0%,EIOPA_RFR!AP27,EIOPA_RFR!AP27*(1+VLOOKUP($B$71,Int_Rate_Param,3,FALSE))),IF(EIOPA_RFR!AP27&lt;0%,EIOPA_RFR!AP27,EIOPA_RFR!AP27*(1+VLOOKUP($B66,Int_Rate_Param,3,FALSE))))</f>
        <v>4.5741799999999992E-2</v>
      </c>
      <c r="AQ66" s="94">
        <f>IF($B66&gt;20,IF(EIOPA_RFR!AQ27&lt;0%,EIOPA_RFR!AQ27,EIOPA_RFR!AQ27*(1+VLOOKUP($B$71,Int_Rate_Param,3,FALSE))),IF(EIOPA_RFR!AQ27&lt;0%,EIOPA_RFR!AQ27,EIOPA_RFR!AQ27*(1+VLOOKUP($B66,Int_Rate_Param,3,FALSE))))</f>
        <v>1.7622200000000001E-2</v>
      </c>
      <c r="AR66" s="94">
        <f>IF($B66&gt;20,IF(EIOPA_RFR!AR27&lt;0%,EIOPA_RFR!AR27,EIOPA_RFR!AR27*(1+VLOOKUP($B$71,Int_Rate_Param,3,FALSE))),IF(EIOPA_RFR!AR27&lt;0%,EIOPA_RFR!AR27,EIOPA_RFR!AR27*(1+VLOOKUP($B66,Int_Rate_Param,3,FALSE))))</f>
        <v>5.0041499999999996E-2</v>
      </c>
      <c r="AS66" s="94">
        <f>IF($B66&gt;20,IF(EIOPA_RFR!AS27&lt;0%,EIOPA_RFR!AS27,EIOPA_RFR!AS27*(1+VLOOKUP($B$71,Int_Rate_Param,3,FALSE))),IF(EIOPA_RFR!AS27&lt;0%,EIOPA_RFR!AS27,EIOPA_RFR!AS27*(1+VLOOKUP($B66,Int_Rate_Param,3,FALSE))))</f>
        <v>2.8835000000000002E-3</v>
      </c>
      <c r="AT66" s="94">
        <f>IF($B66&gt;20,IF(EIOPA_RFR!AT27&lt;0%,EIOPA_RFR!AT27,EIOPA_RFR!AT27*(1+VLOOKUP($B$71,Int_Rate_Param,3,FALSE))),IF(EIOPA_RFR!AT27&lt;0%,EIOPA_RFR!AT27,EIOPA_RFR!AT27*(1+VLOOKUP($B66,Int_Rate_Param,3,FALSE))))</f>
        <v>3.1025E-2</v>
      </c>
      <c r="AU66" s="94">
        <f>IF($B66&gt;20,IF(EIOPA_RFR!AU27&lt;0%,EIOPA_RFR!AU27,EIOPA_RFR!AU27*(1+VLOOKUP($B$71,Int_Rate_Param,3,FALSE))),IF(EIOPA_RFR!AU27&lt;0%,EIOPA_RFR!AU27,EIOPA_RFR!AU27*(1+VLOOKUP($B66,Int_Rate_Param,3,FALSE))))</f>
        <v>5.6407100000000002E-2</v>
      </c>
      <c r="AV66" s="94">
        <f>IF($B66&gt;20,IF(EIOPA_RFR!AV27&lt;0%,EIOPA_RFR!AV27,EIOPA_RFR!AV27*(1+VLOOKUP($B$71,Int_Rate_Param,3,FALSE))),IF(EIOPA_RFR!AV27&lt;0%,EIOPA_RFR!AV27,EIOPA_RFR!AV27*(1+VLOOKUP($B66,Int_Rate_Param,3,FALSE))))</f>
        <v>2.6951599999999999E-2</v>
      </c>
      <c r="AW66" s="94">
        <f>IF($B66&gt;20,IF(EIOPA_RFR!AW27&lt;0%,EIOPA_RFR!AW27,EIOPA_RFR!AW27*(1+VLOOKUP($B$71,Int_Rate_Param,3,FALSE))),IF(EIOPA_RFR!AW27&lt;0%,EIOPA_RFR!AW27,EIOPA_RFR!AW27*(1+VLOOKUP($B66,Int_Rate_Param,3,FALSE))))</f>
        <v>1.8899699999999998E-2</v>
      </c>
      <c r="AX66" s="94">
        <f>IF($B66&gt;20,IF(EIOPA_RFR!AX27&lt;0%,EIOPA_RFR!AX27,EIOPA_RFR!AX27*(1+VLOOKUP($B$71,Int_Rate_Param,3,FALSE))),IF(EIOPA_RFR!AX27&lt;0%,EIOPA_RFR!AX27,EIOPA_RFR!AX27*(1+VLOOKUP($B66,Int_Rate_Param,3,FALSE))))</f>
        <v>6.1568199999999997E-2</v>
      </c>
      <c r="AY66" s="94">
        <f>IF($B66&gt;20,IF(EIOPA_RFR!AY27&lt;0%,EIOPA_RFR!AY27,EIOPA_RFR!AY27*(1+VLOOKUP($B$71,Int_Rate_Param,3,FALSE))),IF(EIOPA_RFR!AY27&lt;0%,EIOPA_RFR!AY27,EIOPA_RFR!AY27*(1+VLOOKUP($B66,Int_Rate_Param,3,FALSE))))</f>
        <v>1.3380899999999999E-2</v>
      </c>
      <c r="AZ66" s="94">
        <f>IF($B66&gt;20,IF(EIOPA_RFR!AZ27&lt;0%,EIOPA_RFR!AZ27,EIOPA_RFR!AZ27*(1+VLOOKUP($B$71,Int_Rate_Param,3,FALSE))),IF(EIOPA_RFR!AZ27&lt;0%,EIOPA_RFR!AZ27,EIOPA_RFR!AZ27*(1+VLOOKUP($B66,Int_Rate_Param,3,FALSE))))</f>
        <v>1.1096E-2</v>
      </c>
      <c r="BA66" s="94">
        <f>IF($B66&gt;20,IF(EIOPA_RFR!BA27&lt;0%,EIOPA_RFR!BA27,EIOPA_RFR!BA27*(1+VLOOKUP($B$71,Int_Rate_Param,3,FALSE))),IF(EIOPA_RFR!BA27&lt;0%,EIOPA_RFR!BA27,EIOPA_RFR!BA27*(1+VLOOKUP($B66,Int_Rate_Param,3,FALSE))))</f>
        <v>2.03816E-2</v>
      </c>
      <c r="BB66" s="94">
        <f>IF($B66&gt;20,IF(EIOPA_RFR!BB27&lt;0%,EIOPA_RFR!BB27,EIOPA_RFR!BB27*(1+VLOOKUP($B$71,Int_Rate_Param,3,FALSE))),IF(EIOPA_RFR!BB27&lt;0%,EIOPA_RFR!BB27,EIOPA_RFR!BB27*(1+VLOOKUP($B66,Int_Rate_Param,3,FALSE))))</f>
        <v>7.1364799999999992E-2</v>
      </c>
      <c r="BC66" s="94">
        <f>IF($B66&gt;20,IF(EIOPA_RFR!BC27&lt;0%,EIOPA_RFR!BC27,EIOPA_RFR!BC27*(1+VLOOKUP($B$71,Int_Rate_Param,3,FALSE))),IF(EIOPA_RFR!BC27&lt;0%,EIOPA_RFR!BC27,EIOPA_RFR!BC27*(1+VLOOKUP($B66,Int_Rate_Param,3,FALSE))))</f>
        <v>1.7812000000000001E-2</v>
      </c>
    </row>
    <row r="67" spans="1:55" x14ac:dyDescent="0.25">
      <c r="A67">
        <f t="shared" si="1"/>
        <v>18</v>
      </c>
      <c r="B67" s="95">
        <v>16</v>
      </c>
      <c r="C67" s="94">
        <f>IF($B67&gt;20,IF(EIOPA_RFR!C28&lt;0%,EIOPA_RFR!C28,EIOPA_RFR!C28*(1+VLOOKUP($B$71,Int_Rate_Param,3,FALSE))),IF(EIOPA_RFR!C28&lt;0%,EIOPA_RFR!C28,EIOPA_RFR!C28*(1+VLOOKUP($B67,Int_Rate_Param,3,FALSE))))</f>
        <v>8.0351999999999993E-3</v>
      </c>
      <c r="D67" s="94">
        <f>IF($B67&gt;20,IF(EIOPA_RFR!D28&lt;0%,EIOPA_RFR!D28,EIOPA_RFR!D28*(1+VLOOKUP($B$71,Int_Rate_Param,3,FALSE))),IF(EIOPA_RFR!D28&lt;0%,EIOPA_RFR!D28,EIOPA_RFR!D28*(1+VLOOKUP($B67,Int_Rate_Param,3,FALSE))))</f>
        <v>8.0351999999999993E-3</v>
      </c>
      <c r="E67" s="94">
        <f>IF($B67&gt;20,IF(EIOPA_RFR!E28&lt;0%,EIOPA_RFR!E28,EIOPA_RFR!E28*(1+VLOOKUP($B$71,Int_Rate_Param,3,FALSE))),IF(EIOPA_RFR!E28&lt;0%,EIOPA_RFR!E28,EIOPA_RFR!E28*(1+VLOOKUP($B67,Int_Rate_Param,3,FALSE))))</f>
        <v>8.0351999999999993E-3</v>
      </c>
      <c r="F67" s="94">
        <f>IF($B67&gt;20,IF(EIOPA_RFR!F28&lt;0%,EIOPA_RFR!F28,EIOPA_RFR!F28*(1+VLOOKUP($B$71,Int_Rate_Param,3,FALSE))),IF(EIOPA_RFR!F28&lt;0%,EIOPA_RFR!F28,EIOPA_RFR!F28*(1+VLOOKUP($B67,Int_Rate_Param,3,FALSE))))</f>
        <v>7.6607999999999997E-3</v>
      </c>
      <c r="G67" s="94">
        <f>IF($B67&gt;20,IF(EIOPA_RFR!G28&lt;0%,EIOPA_RFR!G28,EIOPA_RFR!G28*(1+VLOOKUP($B$71,Int_Rate_Param,3,FALSE))),IF(EIOPA_RFR!G28&lt;0%,EIOPA_RFR!G28,EIOPA_RFR!G28*(1+VLOOKUP($B67,Int_Rate_Param,3,FALSE))))</f>
        <v>2.3212799999999999E-2</v>
      </c>
      <c r="H67" s="94">
        <f>IF($B67&gt;20,IF(EIOPA_RFR!H28&lt;0%,EIOPA_RFR!H28,EIOPA_RFR!H28*(1+VLOOKUP($B$71,Int_Rate_Param,3,FALSE))),IF(EIOPA_RFR!H28&lt;0%,EIOPA_RFR!H28,EIOPA_RFR!H28*(1+VLOOKUP($B67,Int_Rate_Param,3,FALSE))))</f>
        <v>8.0351999999999993E-3</v>
      </c>
      <c r="I67" s="94">
        <f>IF($B67&gt;20,IF(EIOPA_RFR!I28&lt;0%,EIOPA_RFR!I28,EIOPA_RFR!I28*(1+VLOOKUP($B$71,Int_Rate_Param,3,FALSE))),IF(EIOPA_RFR!I28&lt;0%,EIOPA_RFR!I28,EIOPA_RFR!I28*(1+VLOOKUP($B67,Int_Rate_Param,3,FALSE))))</f>
        <v>9.8928000000000002E-3</v>
      </c>
      <c r="J67" s="94">
        <f>IF($B67&gt;20,IF(EIOPA_RFR!J28&lt;0%,EIOPA_RFR!J28,EIOPA_RFR!J28*(1+VLOOKUP($B$71,Int_Rate_Param,3,FALSE))),IF(EIOPA_RFR!J28&lt;0%,EIOPA_RFR!J28,EIOPA_RFR!J28*(1+VLOOKUP($B67,Int_Rate_Param,3,FALSE))))</f>
        <v>7.9632000000000001E-3</v>
      </c>
      <c r="K67" s="94">
        <f>IF($B67&gt;20,IF(EIOPA_RFR!K28&lt;0%,EIOPA_RFR!K28,EIOPA_RFR!K28*(1+VLOOKUP($B$71,Int_Rate_Param,3,FALSE))),IF(EIOPA_RFR!K28&lt;0%,EIOPA_RFR!K28,EIOPA_RFR!K28*(1+VLOOKUP($B67,Int_Rate_Param,3,FALSE))))</f>
        <v>8.0351999999999993E-3</v>
      </c>
      <c r="L67" s="94">
        <f>IF($B67&gt;20,IF(EIOPA_RFR!L28&lt;0%,EIOPA_RFR!L28,EIOPA_RFR!L28*(1+VLOOKUP($B$71,Int_Rate_Param,3,FALSE))),IF(EIOPA_RFR!L28&lt;0%,EIOPA_RFR!L28,EIOPA_RFR!L28*(1+VLOOKUP($B67,Int_Rate_Param,3,FALSE))))</f>
        <v>8.0351999999999993E-3</v>
      </c>
      <c r="M67" s="94">
        <f>IF($B67&gt;20,IF(EIOPA_RFR!M28&lt;0%,EIOPA_RFR!M28,EIOPA_RFR!M28*(1+VLOOKUP($B$71,Int_Rate_Param,3,FALSE))),IF(EIOPA_RFR!M28&lt;0%,EIOPA_RFR!M28,EIOPA_RFR!M28*(1+VLOOKUP($B67,Int_Rate_Param,3,FALSE))))</f>
        <v>8.0351999999999993E-3</v>
      </c>
      <c r="N67" s="94">
        <f>IF($B67&gt;20,IF(EIOPA_RFR!N28&lt;0%,EIOPA_RFR!N28,EIOPA_RFR!N28*(1+VLOOKUP($B$71,Int_Rate_Param,3,FALSE))),IF(EIOPA_RFR!N28&lt;0%,EIOPA_RFR!N28,EIOPA_RFR!N28*(1+VLOOKUP($B67,Int_Rate_Param,3,FALSE))))</f>
        <v>8.0351999999999993E-3</v>
      </c>
      <c r="O67" s="94">
        <f>IF($B67&gt;20,IF(EIOPA_RFR!O28&lt;0%,EIOPA_RFR!O28,EIOPA_RFR!O28*(1+VLOOKUP($B$71,Int_Rate_Param,3,FALSE))),IF(EIOPA_RFR!O28&lt;0%,EIOPA_RFR!O28,EIOPA_RFR!O28*(1+VLOOKUP($B67,Int_Rate_Param,3,FALSE))))</f>
        <v>8.0351999999999993E-3</v>
      </c>
      <c r="P67" s="94">
        <f>IF($B67&gt;20,IF(EIOPA_RFR!P28&lt;0%,EIOPA_RFR!P28,EIOPA_RFR!P28*(1+VLOOKUP($B$71,Int_Rate_Param,3,FALSE))),IF(EIOPA_RFR!P28&lt;0%,EIOPA_RFR!P28,EIOPA_RFR!P28*(1+VLOOKUP($B67,Int_Rate_Param,3,FALSE))))</f>
        <v>2.8454399999999998E-2</v>
      </c>
      <c r="Q67" s="94">
        <f>IF($B67&gt;20,IF(EIOPA_RFR!Q28&lt;0%,EIOPA_RFR!Q28,EIOPA_RFR!Q28*(1+VLOOKUP($B$71,Int_Rate_Param,3,FALSE))),IF(EIOPA_RFR!Q28&lt;0%,EIOPA_RFR!Q28,EIOPA_RFR!Q28*(1+VLOOKUP($B67,Int_Rate_Param,3,FALSE))))</f>
        <v>3.3746400000000003E-2</v>
      </c>
      <c r="R67" s="94">
        <f>IF($B67&gt;20,IF(EIOPA_RFR!R28&lt;0%,EIOPA_RFR!R28,EIOPA_RFR!R28*(1+VLOOKUP($B$71,Int_Rate_Param,3,FALSE))),IF(EIOPA_RFR!R28&lt;0%,EIOPA_RFR!R28,EIOPA_RFR!R28*(1+VLOOKUP($B67,Int_Rate_Param,3,FALSE))))</f>
        <v>8.0351999999999993E-3</v>
      </c>
      <c r="S67" s="94">
        <f>IF($B67&gt;20,IF(EIOPA_RFR!S28&lt;0%,EIOPA_RFR!S28,EIOPA_RFR!S28*(1+VLOOKUP($B$71,Int_Rate_Param,3,FALSE))),IF(EIOPA_RFR!S28&lt;0%,EIOPA_RFR!S28,EIOPA_RFR!S28*(1+VLOOKUP($B67,Int_Rate_Param,3,FALSE))))</f>
        <v>8.0351999999999993E-3</v>
      </c>
      <c r="T67" s="94">
        <f>IF($B67&gt;20,IF(EIOPA_RFR!T28&lt;0%,EIOPA_RFR!T28,EIOPA_RFR!T28*(1+VLOOKUP($B$71,Int_Rate_Param,3,FALSE))),IF(EIOPA_RFR!T28&lt;0%,EIOPA_RFR!T28,EIOPA_RFR!T28*(1+VLOOKUP($B67,Int_Rate_Param,3,FALSE))))</f>
        <v>8.0351999999999993E-3</v>
      </c>
      <c r="U67" s="94">
        <f>IF($B67&gt;20,IF(EIOPA_RFR!U28&lt;0%,EIOPA_RFR!U28,EIOPA_RFR!U28*(1+VLOOKUP($B$71,Int_Rate_Param,3,FALSE))),IF(EIOPA_RFR!U28&lt;0%,EIOPA_RFR!U28,EIOPA_RFR!U28*(1+VLOOKUP($B67,Int_Rate_Param,3,FALSE))))</f>
        <v>2.3399999999999996E-3</v>
      </c>
      <c r="V67" s="94">
        <f>IF($B67&gt;20,IF(EIOPA_RFR!V28&lt;0%,EIOPA_RFR!V28,EIOPA_RFR!V28*(1+VLOOKUP($B$71,Int_Rate_Param,3,FALSE))),IF(EIOPA_RFR!V28&lt;0%,EIOPA_RFR!V28,EIOPA_RFR!V28*(1+VLOOKUP($B67,Int_Rate_Param,3,FALSE))))</f>
        <v>8.0351999999999993E-3</v>
      </c>
      <c r="W67" s="94">
        <f>IF($B67&gt;20,IF(EIOPA_RFR!W28&lt;0%,EIOPA_RFR!W28,EIOPA_RFR!W28*(1+VLOOKUP($B$71,Int_Rate_Param,3,FALSE))),IF(EIOPA_RFR!W28&lt;0%,EIOPA_RFR!W28,EIOPA_RFR!W28*(1+VLOOKUP($B67,Int_Rate_Param,3,FALSE))))</f>
        <v>8.0351999999999993E-3</v>
      </c>
      <c r="X67" s="94">
        <f>IF($B67&gt;20,IF(EIOPA_RFR!X28&lt;0%,EIOPA_RFR!X28,EIOPA_RFR!X28*(1+VLOOKUP($B$71,Int_Rate_Param,3,FALSE))),IF(EIOPA_RFR!X28&lt;0%,EIOPA_RFR!X28,EIOPA_RFR!X28*(1+VLOOKUP($B67,Int_Rate_Param,3,FALSE))))</f>
        <v>8.0351999999999993E-3</v>
      </c>
      <c r="Y67" s="94">
        <f>IF($B67&gt;20,IF(EIOPA_RFR!Y28&lt;0%,EIOPA_RFR!Y28,EIOPA_RFR!Y28*(1+VLOOKUP($B$71,Int_Rate_Param,3,FALSE))),IF(EIOPA_RFR!Y28&lt;0%,EIOPA_RFR!Y28,EIOPA_RFR!Y28*(1+VLOOKUP($B67,Int_Rate_Param,3,FALSE))))</f>
        <v>8.0351999999999993E-3</v>
      </c>
      <c r="Z67" s="94">
        <f>IF($B67&gt;20,IF(EIOPA_RFR!Z28&lt;0%,EIOPA_RFR!Z28,EIOPA_RFR!Z28*(1+VLOOKUP($B$71,Int_Rate_Param,3,FALSE))),IF(EIOPA_RFR!Z28&lt;0%,EIOPA_RFR!Z28,EIOPA_RFR!Z28*(1+VLOOKUP($B67,Int_Rate_Param,3,FALSE))))</f>
        <v>1.6264799999999999E-2</v>
      </c>
      <c r="AA67" s="94">
        <f>IF($B67&gt;20,IF(EIOPA_RFR!AA28&lt;0%,EIOPA_RFR!AA28,EIOPA_RFR!AA28*(1+VLOOKUP($B$71,Int_Rate_Param,3,FALSE))),IF(EIOPA_RFR!AA28&lt;0%,EIOPA_RFR!AA28,EIOPA_RFR!AA28*(1+VLOOKUP($B67,Int_Rate_Param,3,FALSE))))</f>
        <v>2.7014399999999997E-2</v>
      </c>
      <c r="AB67" s="94">
        <f>IF($B67&gt;20,IF(EIOPA_RFR!AB28&lt;0%,EIOPA_RFR!AB28,EIOPA_RFR!AB28*(1+VLOOKUP($B$71,Int_Rate_Param,3,FALSE))),IF(EIOPA_RFR!AB28&lt;0%,EIOPA_RFR!AB28,EIOPA_RFR!AB28*(1+VLOOKUP($B67,Int_Rate_Param,3,FALSE))))</f>
        <v>8.0351999999999993E-3</v>
      </c>
      <c r="AC67" s="94">
        <f>IF($B67&gt;20,IF(EIOPA_RFR!AC28&lt;0%,EIOPA_RFR!AC28,EIOPA_RFR!AC28*(1+VLOOKUP($B$71,Int_Rate_Param,3,FALSE))),IF(EIOPA_RFR!AC28&lt;0%,EIOPA_RFR!AC28,EIOPA_RFR!AC28*(1+VLOOKUP($B67,Int_Rate_Param,3,FALSE))))</f>
        <v>3.0801599999999998E-2</v>
      </c>
      <c r="AD67" s="94">
        <f>IF($B67&gt;20,IF(EIOPA_RFR!AD28&lt;0%,EIOPA_RFR!AD28,EIOPA_RFR!AD28*(1+VLOOKUP($B$71,Int_Rate_Param,3,FALSE))),IF(EIOPA_RFR!AD28&lt;0%,EIOPA_RFR!AD28,EIOPA_RFR!AD28*(1+VLOOKUP($B67,Int_Rate_Param,3,FALSE))))</f>
        <v>5.1091199999999996E-2</v>
      </c>
      <c r="AE67" s="94">
        <f>IF($B67&gt;20,IF(EIOPA_RFR!AE28&lt;0%,EIOPA_RFR!AE28,EIOPA_RFR!AE28*(1+VLOOKUP($B$71,Int_Rate_Param,3,FALSE))),IF(EIOPA_RFR!AE28&lt;0%,EIOPA_RFR!AE28,EIOPA_RFR!AE28*(1+VLOOKUP($B67,Int_Rate_Param,3,FALSE))))</f>
        <v>8.0351999999999993E-3</v>
      </c>
      <c r="AF67" s="94">
        <f>IF($B67&gt;20,IF(EIOPA_RFR!AF28&lt;0%,EIOPA_RFR!AF28,EIOPA_RFR!AF28*(1+VLOOKUP($B$71,Int_Rate_Param,3,FALSE))),IF(EIOPA_RFR!AF28&lt;0%,EIOPA_RFR!AF28,EIOPA_RFR!AF28*(1+VLOOKUP($B67,Int_Rate_Param,3,FALSE))))</f>
        <v>8.0351999999999993E-3</v>
      </c>
      <c r="AG67" s="94">
        <f>IF($B67&gt;20,IF(EIOPA_RFR!AG28&lt;0%,EIOPA_RFR!AG28,EIOPA_RFR!AG28*(1+VLOOKUP($B$71,Int_Rate_Param,3,FALSE))),IF(EIOPA_RFR!AG28&lt;0%,EIOPA_RFR!AG28,EIOPA_RFR!AG28*(1+VLOOKUP($B67,Int_Rate_Param,3,FALSE))))</f>
        <v>8.0351999999999993E-3</v>
      </c>
      <c r="AH67" s="94">
        <f>IF($B67&gt;20,IF(EIOPA_RFR!AH28&lt;0%,EIOPA_RFR!AH28,EIOPA_RFR!AH28*(1+VLOOKUP($B$71,Int_Rate_Param,3,FALSE))),IF(EIOPA_RFR!AH28&lt;0%,EIOPA_RFR!AH28,EIOPA_RFR!AH28*(1+VLOOKUP($B67,Int_Rate_Param,3,FALSE))))</f>
        <v>1.4428799999999999E-2</v>
      </c>
      <c r="AI67" s="94">
        <f>IF($B67&gt;20,IF(EIOPA_RFR!AI28&lt;0%,EIOPA_RFR!AI28,EIOPA_RFR!AI28*(1+VLOOKUP($B$71,Int_Rate_Param,3,FALSE))),IF(EIOPA_RFR!AI28&lt;0%,EIOPA_RFR!AI28,EIOPA_RFR!AI28*(1+VLOOKUP($B67,Int_Rate_Param,3,FALSE))))</f>
        <v>2.3399999999999996E-3</v>
      </c>
      <c r="AJ67" s="94">
        <f>IF($B67&gt;20,IF(EIOPA_RFR!AJ28&lt;0%,EIOPA_RFR!AJ28,EIOPA_RFR!AJ28*(1+VLOOKUP($B$71,Int_Rate_Param,3,FALSE))),IF(EIOPA_RFR!AJ28&lt;0%,EIOPA_RFR!AJ28,EIOPA_RFR!AJ28*(1+VLOOKUP($B67,Int_Rate_Param,3,FALSE))))</f>
        <v>9.1295999999999999E-3</v>
      </c>
      <c r="AK67" s="94">
        <f>IF($B67&gt;20,IF(EIOPA_RFR!AK28&lt;0%,EIOPA_RFR!AK28,EIOPA_RFR!AK28*(1+VLOOKUP($B$71,Int_Rate_Param,3,FALSE))),IF(EIOPA_RFR!AK28&lt;0%,EIOPA_RFR!AK28,EIOPA_RFR!AK28*(1+VLOOKUP($B67,Int_Rate_Param,3,FALSE))))</f>
        <v>2.2622399999999997E-2</v>
      </c>
      <c r="AL67" s="94">
        <f>IF($B67&gt;20,IF(EIOPA_RFR!AL28&lt;0%,EIOPA_RFR!AL28,EIOPA_RFR!AL28*(1+VLOOKUP($B$71,Int_Rate_Param,3,FALSE))),IF(EIOPA_RFR!AL28&lt;0%,EIOPA_RFR!AL28,EIOPA_RFR!AL28*(1+VLOOKUP($B67,Int_Rate_Param,3,FALSE))))</f>
        <v>6.4727999999999994E-2</v>
      </c>
      <c r="AM67" s="94">
        <f>IF($B67&gt;20,IF(EIOPA_RFR!AM28&lt;0%,EIOPA_RFR!AM28,EIOPA_RFR!AM28*(1+VLOOKUP($B$71,Int_Rate_Param,3,FALSE))),IF(EIOPA_RFR!AM28&lt;0%,EIOPA_RFR!AM28,EIOPA_RFR!AM28*(1+VLOOKUP($B67,Int_Rate_Param,3,FALSE))))</f>
        <v>1.5530399999999998E-2</v>
      </c>
      <c r="AN67" s="94">
        <f>IF($B67&gt;20,IF(EIOPA_RFR!AN28&lt;0%,EIOPA_RFR!AN28,EIOPA_RFR!AN28*(1+VLOOKUP($B$71,Int_Rate_Param,3,FALSE))),IF(EIOPA_RFR!AN28&lt;0%,EIOPA_RFR!AN28,EIOPA_RFR!AN28*(1+VLOOKUP($B67,Int_Rate_Param,3,FALSE))))</f>
        <v>2.99736E-2</v>
      </c>
      <c r="AO67" s="94">
        <f>IF($B67&gt;20,IF(EIOPA_RFR!AO28&lt;0%,EIOPA_RFR!AO28,EIOPA_RFR!AO28*(1+VLOOKUP($B$71,Int_Rate_Param,3,FALSE))),IF(EIOPA_RFR!AO28&lt;0%,EIOPA_RFR!AO28,EIOPA_RFR!AO28*(1+VLOOKUP($B67,Int_Rate_Param,3,FALSE))))</f>
        <v>3.168E-2</v>
      </c>
      <c r="AP67" s="94">
        <f>IF($B67&gt;20,IF(EIOPA_RFR!AP28&lt;0%,EIOPA_RFR!AP28,EIOPA_RFR!AP28*(1+VLOOKUP($B$71,Int_Rate_Param,3,FALSE))),IF(EIOPA_RFR!AP28&lt;0%,EIOPA_RFR!AP28,EIOPA_RFR!AP28*(1+VLOOKUP($B67,Int_Rate_Param,3,FALSE))))</f>
        <v>4.4877600000000004E-2</v>
      </c>
      <c r="AQ67" s="94">
        <f>IF($B67&gt;20,IF(EIOPA_RFR!AQ28&lt;0%,EIOPA_RFR!AQ28,EIOPA_RFR!AQ28*(1+VLOOKUP($B$71,Int_Rate_Param,3,FALSE))),IF(EIOPA_RFR!AQ28&lt;0%,EIOPA_RFR!AQ28,EIOPA_RFR!AQ28*(1+VLOOKUP($B67,Int_Rate_Param,3,FALSE))))</f>
        <v>1.7668799999999998E-2</v>
      </c>
      <c r="AR67" s="94">
        <f>IF($B67&gt;20,IF(EIOPA_RFR!AR28&lt;0%,EIOPA_RFR!AR28,EIOPA_RFR!AR28*(1+VLOOKUP($B$71,Int_Rate_Param,3,FALSE))),IF(EIOPA_RFR!AR28&lt;0%,EIOPA_RFR!AR28,EIOPA_RFR!AR28*(1+VLOOKUP($B67,Int_Rate_Param,3,FALSE))))</f>
        <v>4.92048E-2</v>
      </c>
      <c r="AS67" s="94">
        <f>IF($B67&gt;20,IF(EIOPA_RFR!AS28&lt;0%,EIOPA_RFR!AS28,EIOPA_RFR!AS28*(1+VLOOKUP($B$71,Int_Rate_Param,3,FALSE))),IF(EIOPA_RFR!AS28&lt;0%,EIOPA_RFR!AS28,EIOPA_RFR!AS28*(1+VLOOKUP($B67,Int_Rate_Param,3,FALSE))))</f>
        <v>3.1752E-3</v>
      </c>
      <c r="AT67" s="94">
        <f>IF($B67&gt;20,IF(EIOPA_RFR!AT28&lt;0%,EIOPA_RFR!AT28,EIOPA_RFR!AT28*(1+VLOOKUP($B$71,Int_Rate_Param,3,FALSE))),IF(EIOPA_RFR!AT28&lt;0%,EIOPA_RFR!AT28,EIOPA_RFR!AT28*(1+VLOOKUP($B67,Int_Rate_Param,3,FALSE))))</f>
        <v>3.08592E-2</v>
      </c>
      <c r="AU67" s="94">
        <f>IF($B67&gt;20,IF(EIOPA_RFR!AU28&lt;0%,EIOPA_RFR!AU28,EIOPA_RFR!AU28*(1+VLOOKUP($B$71,Int_Rate_Param,3,FALSE))),IF(EIOPA_RFR!AU28&lt;0%,EIOPA_RFR!AU28,EIOPA_RFR!AU28*(1+VLOOKUP($B67,Int_Rate_Param,3,FALSE))))</f>
        <v>5.6095199999999991E-2</v>
      </c>
      <c r="AV67" s="94">
        <f>IF($B67&gt;20,IF(EIOPA_RFR!AV28&lt;0%,EIOPA_RFR!AV28,EIOPA_RFR!AV28*(1+VLOOKUP($B$71,Int_Rate_Param,3,FALSE))),IF(EIOPA_RFR!AV28&lt;0%,EIOPA_RFR!AV28,EIOPA_RFR!AV28*(1+VLOOKUP($B67,Int_Rate_Param,3,FALSE))))</f>
        <v>2.7057600000000001E-2</v>
      </c>
      <c r="AW67" s="94">
        <f>IF($B67&gt;20,IF(EIOPA_RFR!AW28&lt;0%,EIOPA_RFR!AW28,EIOPA_RFR!AW28*(1+VLOOKUP($B$71,Int_Rate_Param,3,FALSE))),IF(EIOPA_RFR!AW28&lt;0%,EIOPA_RFR!AW28,EIOPA_RFR!AW28*(1+VLOOKUP($B67,Int_Rate_Param,3,FALSE))))</f>
        <v>1.8784799999999997E-2</v>
      </c>
      <c r="AX67" s="94">
        <f>IF($B67&gt;20,IF(EIOPA_RFR!AX28&lt;0%,EIOPA_RFR!AX28,EIOPA_RFR!AX28*(1+VLOOKUP($B$71,Int_Rate_Param,3,FALSE))),IF(EIOPA_RFR!AX28&lt;0%,EIOPA_RFR!AX28,EIOPA_RFR!AX28*(1+VLOOKUP($B67,Int_Rate_Param,3,FALSE))))</f>
        <v>6.0595199999999995E-2</v>
      </c>
      <c r="AY67" s="94">
        <f>IF($B67&gt;20,IF(EIOPA_RFR!AY28&lt;0%,EIOPA_RFR!AY28,EIOPA_RFR!AY28*(1+VLOOKUP($B$71,Int_Rate_Param,3,FALSE))),IF(EIOPA_RFR!AY28&lt;0%,EIOPA_RFR!AY28,EIOPA_RFR!AY28*(1+VLOOKUP($B67,Int_Rate_Param,3,FALSE))))</f>
        <v>1.3132799999999998E-2</v>
      </c>
      <c r="AZ67" s="94">
        <f>IF($B67&gt;20,IF(EIOPA_RFR!AZ28&lt;0%,EIOPA_RFR!AZ28,EIOPA_RFR!AZ28*(1+VLOOKUP($B$71,Int_Rate_Param,3,FALSE))),IF(EIOPA_RFR!AZ28&lt;0%,EIOPA_RFR!AZ28,EIOPA_RFR!AZ28*(1+VLOOKUP($B67,Int_Rate_Param,3,FALSE))))</f>
        <v>1.15776E-2</v>
      </c>
      <c r="BA67" s="94">
        <f>IF($B67&gt;20,IF(EIOPA_RFR!BA28&lt;0%,EIOPA_RFR!BA28,EIOPA_RFR!BA28*(1+VLOOKUP($B$71,Int_Rate_Param,3,FALSE))),IF(EIOPA_RFR!BA28&lt;0%,EIOPA_RFR!BA28,EIOPA_RFR!BA28*(1+VLOOKUP($B67,Int_Rate_Param,3,FALSE))))</f>
        <v>2.0419199999999998E-2</v>
      </c>
      <c r="BB67" s="94">
        <f>IF($B67&gt;20,IF(EIOPA_RFR!BB28&lt;0%,EIOPA_RFR!BB28,EIOPA_RFR!BB28*(1+VLOOKUP($B$71,Int_Rate_Param,3,FALSE))),IF(EIOPA_RFR!BB28&lt;0%,EIOPA_RFR!BB28,EIOPA_RFR!BB28*(1+VLOOKUP($B67,Int_Rate_Param,3,FALSE))))</f>
        <v>6.9314399999999998E-2</v>
      </c>
      <c r="BC67" s="94">
        <f>IF($B67&gt;20,IF(EIOPA_RFR!BC28&lt;0%,EIOPA_RFR!BC28,EIOPA_RFR!BC28*(1+VLOOKUP($B$71,Int_Rate_Param,3,FALSE))),IF(EIOPA_RFR!BC28&lt;0%,EIOPA_RFR!BC28,EIOPA_RFR!BC28*(1+VLOOKUP($B67,Int_Rate_Param,3,FALSE))))</f>
        <v>1.7719200000000001E-2</v>
      </c>
    </row>
    <row r="68" spans="1:55" x14ac:dyDescent="0.25">
      <c r="A68">
        <f t="shared" si="1"/>
        <v>19</v>
      </c>
      <c r="B68" s="95">
        <v>17</v>
      </c>
      <c r="C68" s="94">
        <f>IF($B68&gt;20,IF(EIOPA_RFR!C29&lt;0%,EIOPA_RFR!C29,EIOPA_RFR!C29*(1+VLOOKUP($B$71,Int_Rate_Param,3,FALSE))),IF(EIOPA_RFR!C29&lt;0%,EIOPA_RFR!C29,EIOPA_RFR!C29*(1+VLOOKUP($B68,Int_Rate_Param,3,FALSE))))</f>
        <v>8.2583999999999991E-3</v>
      </c>
      <c r="D68" s="94">
        <f>IF($B68&gt;20,IF(EIOPA_RFR!D29&lt;0%,EIOPA_RFR!D29,EIOPA_RFR!D29*(1+VLOOKUP($B$71,Int_Rate_Param,3,FALSE))),IF(EIOPA_RFR!D29&lt;0%,EIOPA_RFR!D29,EIOPA_RFR!D29*(1+VLOOKUP($B68,Int_Rate_Param,3,FALSE))))</f>
        <v>8.2583999999999991E-3</v>
      </c>
      <c r="E68" s="94">
        <f>IF($B68&gt;20,IF(EIOPA_RFR!E29&lt;0%,EIOPA_RFR!E29,EIOPA_RFR!E29*(1+VLOOKUP($B$71,Int_Rate_Param,3,FALSE))),IF(EIOPA_RFR!E29&lt;0%,EIOPA_RFR!E29,EIOPA_RFR!E29*(1+VLOOKUP($B68,Int_Rate_Param,3,FALSE))))</f>
        <v>8.2583999999999991E-3</v>
      </c>
      <c r="F68" s="94">
        <f>IF($B68&gt;20,IF(EIOPA_RFR!F29&lt;0%,EIOPA_RFR!F29,EIOPA_RFR!F29*(1+VLOOKUP($B$71,Int_Rate_Param,3,FALSE))),IF(EIOPA_RFR!F29&lt;0%,EIOPA_RFR!F29,EIOPA_RFR!F29*(1+VLOOKUP($B68,Int_Rate_Param,3,FALSE))))</f>
        <v>7.8839999999999986E-3</v>
      </c>
      <c r="G68" s="94">
        <f>IF($B68&gt;20,IF(EIOPA_RFR!G29&lt;0%,EIOPA_RFR!G29,EIOPA_RFR!G29*(1+VLOOKUP($B$71,Int_Rate_Param,3,FALSE))),IF(EIOPA_RFR!G29&lt;0%,EIOPA_RFR!G29,EIOPA_RFR!G29*(1+VLOOKUP($B68,Int_Rate_Param,3,FALSE))))</f>
        <v>2.3486400000000001E-2</v>
      </c>
      <c r="H68" s="94">
        <f>IF($B68&gt;20,IF(EIOPA_RFR!H29&lt;0%,EIOPA_RFR!H29,EIOPA_RFR!H29*(1+VLOOKUP($B$71,Int_Rate_Param,3,FALSE))),IF(EIOPA_RFR!H29&lt;0%,EIOPA_RFR!H29,EIOPA_RFR!H29*(1+VLOOKUP($B68,Int_Rate_Param,3,FALSE))))</f>
        <v>8.2583999999999991E-3</v>
      </c>
      <c r="I68" s="94">
        <f>IF($B68&gt;20,IF(EIOPA_RFR!I29&lt;0%,EIOPA_RFR!I29,EIOPA_RFR!I29*(1+VLOOKUP($B$71,Int_Rate_Param,3,FALSE))),IF(EIOPA_RFR!I29&lt;0%,EIOPA_RFR!I29,EIOPA_RFR!I29*(1+VLOOKUP($B68,Int_Rate_Param,3,FALSE))))</f>
        <v>1.0396799999999999E-2</v>
      </c>
      <c r="J68" s="94">
        <f>IF($B68&gt;20,IF(EIOPA_RFR!J29&lt;0%,EIOPA_RFR!J29,EIOPA_RFR!J29*(1+VLOOKUP($B$71,Int_Rate_Param,3,FALSE))),IF(EIOPA_RFR!J29&lt;0%,EIOPA_RFR!J29,EIOPA_RFR!J29*(1+VLOOKUP($B68,Int_Rate_Param,3,FALSE))))</f>
        <v>8.1791999999999993E-3</v>
      </c>
      <c r="K68" s="94">
        <f>IF($B68&gt;20,IF(EIOPA_RFR!K29&lt;0%,EIOPA_RFR!K29,EIOPA_RFR!K29*(1+VLOOKUP($B$71,Int_Rate_Param,3,FALSE))),IF(EIOPA_RFR!K29&lt;0%,EIOPA_RFR!K29,EIOPA_RFR!K29*(1+VLOOKUP($B68,Int_Rate_Param,3,FALSE))))</f>
        <v>8.2583999999999991E-3</v>
      </c>
      <c r="L68" s="94">
        <f>IF($B68&gt;20,IF(EIOPA_RFR!L29&lt;0%,EIOPA_RFR!L29,EIOPA_RFR!L29*(1+VLOOKUP($B$71,Int_Rate_Param,3,FALSE))),IF(EIOPA_RFR!L29&lt;0%,EIOPA_RFR!L29,EIOPA_RFR!L29*(1+VLOOKUP($B68,Int_Rate_Param,3,FALSE))))</f>
        <v>8.2583999999999991E-3</v>
      </c>
      <c r="M68" s="94">
        <f>IF($B68&gt;20,IF(EIOPA_RFR!M29&lt;0%,EIOPA_RFR!M29,EIOPA_RFR!M29*(1+VLOOKUP($B$71,Int_Rate_Param,3,FALSE))),IF(EIOPA_RFR!M29&lt;0%,EIOPA_RFR!M29,EIOPA_RFR!M29*(1+VLOOKUP($B68,Int_Rate_Param,3,FALSE))))</f>
        <v>8.2583999999999991E-3</v>
      </c>
      <c r="N68" s="94">
        <f>IF($B68&gt;20,IF(EIOPA_RFR!N29&lt;0%,EIOPA_RFR!N29,EIOPA_RFR!N29*(1+VLOOKUP($B$71,Int_Rate_Param,3,FALSE))),IF(EIOPA_RFR!N29&lt;0%,EIOPA_RFR!N29,EIOPA_RFR!N29*(1+VLOOKUP($B68,Int_Rate_Param,3,FALSE))))</f>
        <v>8.2583999999999991E-3</v>
      </c>
      <c r="O68" s="94">
        <f>IF($B68&gt;20,IF(EIOPA_RFR!O29&lt;0%,EIOPA_RFR!O29,EIOPA_RFR!O29*(1+VLOOKUP($B$71,Int_Rate_Param,3,FALSE))),IF(EIOPA_RFR!O29&lt;0%,EIOPA_RFR!O29,EIOPA_RFR!O29*(1+VLOOKUP($B68,Int_Rate_Param,3,FALSE))))</f>
        <v>8.2583999999999991E-3</v>
      </c>
      <c r="P68" s="94">
        <f>IF($B68&gt;20,IF(EIOPA_RFR!P29&lt;0%,EIOPA_RFR!P29,EIOPA_RFR!P29*(1+VLOOKUP($B$71,Int_Rate_Param,3,FALSE))),IF(EIOPA_RFR!P29&lt;0%,EIOPA_RFR!P29,EIOPA_RFR!P29*(1+VLOOKUP($B68,Int_Rate_Param,3,FALSE))))</f>
        <v>2.8987199999999998E-2</v>
      </c>
      <c r="Q68" s="94">
        <f>IF($B68&gt;20,IF(EIOPA_RFR!Q29&lt;0%,EIOPA_RFR!Q29,EIOPA_RFR!Q29*(1+VLOOKUP($B$71,Int_Rate_Param,3,FALSE))),IF(EIOPA_RFR!Q29&lt;0%,EIOPA_RFR!Q29,EIOPA_RFR!Q29*(1+VLOOKUP($B68,Int_Rate_Param,3,FALSE))))</f>
        <v>3.3659999999999995E-2</v>
      </c>
      <c r="R68" s="94">
        <f>IF($B68&gt;20,IF(EIOPA_RFR!R29&lt;0%,EIOPA_RFR!R29,EIOPA_RFR!R29*(1+VLOOKUP($B$71,Int_Rate_Param,3,FALSE))),IF(EIOPA_RFR!R29&lt;0%,EIOPA_RFR!R29,EIOPA_RFR!R29*(1+VLOOKUP($B68,Int_Rate_Param,3,FALSE))))</f>
        <v>8.2583999999999991E-3</v>
      </c>
      <c r="S68" s="94">
        <f>IF($B68&gt;20,IF(EIOPA_RFR!S29&lt;0%,EIOPA_RFR!S29,EIOPA_RFR!S29*(1+VLOOKUP($B$71,Int_Rate_Param,3,FALSE))),IF(EIOPA_RFR!S29&lt;0%,EIOPA_RFR!S29,EIOPA_RFR!S29*(1+VLOOKUP($B68,Int_Rate_Param,3,FALSE))))</f>
        <v>8.2583999999999991E-3</v>
      </c>
      <c r="T68" s="94">
        <f>IF($B68&gt;20,IF(EIOPA_RFR!T29&lt;0%,EIOPA_RFR!T29,EIOPA_RFR!T29*(1+VLOOKUP($B$71,Int_Rate_Param,3,FALSE))),IF(EIOPA_RFR!T29&lt;0%,EIOPA_RFR!T29,EIOPA_RFR!T29*(1+VLOOKUP($B68,Int_Rate_Param,3,FALSE))))</f>
        <v>8.2583999999999991E-3</v>
      </c>
      <c r="U68" s="94">
        <f>IF($B68&gt;20,IF(EIOPA_RFR!U29&lt;0%,EIOPA_RFR!U29,EIOPA_RFR!U29*(1+VLOOKUP($B$71,Int_Rate_Param,3,FALSE))),IF(EIOPA_RFR!U29&lt;0%,EIOPA_RFR!U29,EIOPA_RFR!U29*(1+VLOOKUP($B68,Int_Rate_Param,3,FALSE))))</f>
        <v>2.5703999999999996E-3</v>
      </c>
      <c r="V68" s="94">
        <f>IF($B68&gt;20,IF(EIOPA_RFR!V29&lt;0%,EIOPA_RFR!V29,EIOPA_RFR!V29*(1+VLOOKUP($B$71,Int_Rate_Param,3,FALSE))),IF(EIOPA_RFR!V29&lt;0%,EIOPA_RFR!V29,EIOPA_RFR!V29*(1+VLOOKUP($B68,Int_Rate_Param,3,FALSE))))</f>
        <v>8.2583999999999991E-3</v>
      </c>
      <c r="W68" s="94">
        <f>IF($B68&gt;20,IF(EIOPA_RFR!W29&lt;0%,EIOPA_RFR!W29,EIOPA_RFR!W29*(1+VLOOKUP($B$71,Int_Rate_Param,3,FALSE))),IF(EIOPA_RFR!W29&lt;0%,EIOPA_RFR!W29,EIOPA_RFR!W29*(1+VLOOKUP($B68,Int_Rate_Param,3,FALSE))))</f>
        <v>8.2583999999999991E-3</v>
      </c>
      <c r="X68" s="94">
        <f>IF($B68&gt;20,IF(EIOPA_RFR!X29&lt;0%,EIOPA_RFR!X29,EIOPA_RFR!X29*(1+VLOOKUP($B$71,Int_Rate_Param,3,FALSE))),IF(EIOPA_RFR!X29&lt;0%,EIOPA_RFR!X29,EIOPA_RFR!X29*(1+VLOOKUP($B68,Int_Rate_Param,3,FALSE))))</f>
        <v>8.2583999999999991E-3</v>
      </c>
      <c r="Y68" s="94">
        <f>IF($B68&gt;20,IF(EIOPA_RFR!Y29&lt;0%,EIOPA_RFR!Y29,EIOPA_RFR!Y29*(1+VLOOKUP($B$71,Int_Rate_Param,3,FALSE))),IF(EIOPA_RFR!Y29&lt;0%,EIOPA_RFR!Y29,EIOPA_RFR!Y29*(1+VLOOKUP($B68,Int_Rate_Param,3,FALSE))))</f>
        <v>8.2583999999999991E-3</v>
      </c>
      <c r="Z68" s="94">
        <f>IF($B68&gt;20,IF(EIOPA_RFR!Z29&lt;0%,EIOPA_RFR!Z29,EIOPA_RFR!Z29*(1+VLOOKUP($B$71,Int_Rate_Param,3,FALSE))),IF(EIOPA_RFR!Z29&lt;0%,EIOPA_RFR!Z29,EIOPA_RFR!Z29*(1+VLOOKUP($B68,Int_Rate_Param,3,FALSE))))</f>
        <v>1.6732799999999999E-2</v>
      </c>
      <c r="AA68" s="94">
        <f>IF($B68&gt;20,IF(EIOPA_RFR!AA29&lt;0%,EIOPA_RFR!AA29,EIOPA_RFR!AA29*(1+VLOOKUP($B$71,Int_Rate_Param,3,FALSE))),IF(EIOPA_RFR!AA29&lt;0%,EIOPA_RFR!AA29,EIOPA_RFR!AA29*(1+VLOOKUP($B68,Int_Rate_Param,3,FALSE))))</f>
        <v>2.7280799999999997E-2</v>
      </c>
      <c r="AB68" s="94">
        <f>IF($B68&gt;20,IF(EIOPA_RFR!AB29&lt;0%,EIOPA_RFR!AB29,EIOPA_RFR!AB29*(1+VLOOKUP($B$71,Int_Rate_Param,3,FALSE))),IF(EIOPA_RFR!AB29&lt;0%,EIOPA_RFR!AB29,EIOPA_RFR!AB29*(1+VLOOKUP($B68,Int_Rate_Param,3,FALSE))))</f>
        <v>8.2583999999999991E-3</v>
      </c>
      <c r="AC68" s="94">
        <f>IF($B68&gt;20,IF(EIOPA_RFR!AC29&lt;0%,EIOPA_RFR!AC29,EIOPA_RFR!AC29*(1+VLOOKUP($B$71,Int_Rate_Param,3,FALSE))),IF(EIOPA_RFR!AC29&lt;0%,EIOPA_RFR!AC29,EIOPA_RFR!AC29*(1+VLOOKUP($B68,Int_Rate_Param,3,FALSE))))</f>
        <v>3.0995999999999996E-2</v>
      </c>
      <c r="AD68" s="94">
        <f>IF($B68&gt;20,IF(EIOPA_RFR!AD29&lt;0%,EIOPA_RFR!AD29,EIOPA_RFR!AD29*(1+VLOOKUP($B$71,Int_Rate_Param,3,FALSE))),IF(EIOPA_RFR!AD29&lt;0%,EIOPA_RFR!AD29,EIOPA_RFR!AD29*(1+VLOOKUP($B68,Int_Rate_Param,3,FALSE))))</f>
        <v>5.0443199999999994E-2</v>
      </c>
      <c r="AE68" s="94">
        <f>IF($B68&gt;20,IF(EIOPA_RFR!AE29&lt;0%,EIOPA_RFR!AE29,EIOPA_RFR!AE29*(1+VLOOKUP($B$71,Int_Rate_Param,3,FALSE))),IF(EIOPA_RFR!AE29&lt;0%,EIOPA_RFR!AE29,EIOPA_RFR!AE29*(1+VLOOKUP($B68,Int_Rate_Param,3,FALSE))))</f>
        <v>8.2583999999999991E-3</v>
      </c>
      <c r="AF68" s="94">
        <f>IF($B68&gt;20,IF(EIOPA_RFR!AF29&lt;0%,EIOPA_RFR!AF29,EIOPA_RFR!AF29*(1+VLOOKUP($B$71,Int_Rate_Param,3,FALSE))),IF(EIOPA_RFR!AF29&lt;0%,EIOPA_RFR!AF29,EIOPA_RFR!AF29*(1+VLOOKUP($B68,Int_Rate_Param,3,FALSE))))</f>
        <v>8.2583999999999991E-3</v>
      </c>
      <c r="AG68" s="94">
        <f>IF($B68&gt;20,IF(EIOPA_RFR!AG29&lt;0%,EIOPA_RFR!AG29,EIOPA_RFR!AG29*(1+VLOOKUP($B$71,Int_Rate_Param,3,FALSE))),IF(EIOPA_RFR!AG29&lt;0%,EIOPA_RFR!AG29,EIOPA_RFR!AG29*(1+VLOOKUP($B68,Int_Rate_Param,3,FALSE))))</f>
        <v>8.2583999999999991E-3</v>
      </c>
      <c r="AH68" s="94">
        <f>IF($B68&gt;20,IF(EIOPA_RFR!AH29&lt;0%,EIOPA_RFR!AH29,EIOPA_RFR!AH29*(1+VLOOKUP($B$71,Int_Rate_Param,3,FALSE))),IF(EIOPA_RFR!AH29&lt;0%,EIOPA_RFR!AH29,EIOPA_RFR!AH29*(1+VLOOKUP($B68,Int_Rate_Param,3,FALSE))))</f>
        <v>1.5321599999999999E-2</v>
      </c>
      <c r="AI68" s="94">
        <f>IF($B68&gt;20,IF(EIOPA_RFR!AI29&lt;0%,EIOPA_RFR!AI29,EIOPA_RFR!AI29*(1+VLOOKUP($B$71,Int_Rate_Param,3,FALSE))),IF(EIOPA_RFR!AI29&lt;0%,EIOPA_RFR!AI29,EIOPA_RFR!AI29*(1+VLOOKUP($B68,Int_Rate_Param,3,FALSE))))</f>
        <v>2.5703999999999996E-3</v>
      </c>
      <c r="AJ68" s="94">
        <f>IF($B68&gt;20,IF(EIOPA_RFR!AJ29&lt;0%,EIOPA_RFR!AJ29,EIOPA_RFR!AJ29*(1+VLOOKUP($B$71,Int_Rate_Param,3,FALSE))),IF(EIOPA_RFR!AJ29&lt;0%,EIOPA_RFR!AJ29,EIOPA_RFR!AJ29*(1+VLOOKUP($B68,Int_Rate_Param,3,FALSE))))</f>
        <v>9.2375999999999986E-3</v>
      </c>
      <c r="AK68" s="94">
        <f>IF($B68&gt;20,IF(EIOPA_RFR!AK29&lt;0%,EIOPA_RFR!AK29,EIOPA_RFR!AK29*(1+VLOOKUP($B$71,Int_Rate_Param,3,FALSE))),IF(EIOPA_RFR!AK29&lt;0%,EIOPA_RFR!AK29,EIOPA_RFR!AK29*(1+VLOOKUP($B68,Int_Rate_Param,3,FALSE))))</f>
        <v>2.2823999999999997E-2</v>
      </c>
      <c r="AL68" s="94">
        <f>IF($B68&gt;20,IF(EIOPA_RFR!AL29&lt;0%,EIOPA_RFR!AL29,EIOPA_RFR!AL29*(1+VLOOKUP($B$71,Int_Rate_Param,3,FALSE))),IF(EIOPA_RFR!AL29&lt;0%,EIOPA_RFR!AL29,EIOPA_RFR!AL29*(1+VLOOKUP($B68,Int_Rate_Param,3,FALSE))))</f>
        <v>6.4044000000000004E-2</v>
      </c>
      <c r="AM68" s="94">
        <f>IF($B68&gt;20,IF(EIOPA_RFR!AM29&lt;0%,EIOPA_RFR!AM29,EIOPA_RFR!AM29*(1+VLOOKUP($B$71,Int_Rate_Param,3,FALSE))),IF(EIOPA_RFR!AM29&lt;0%,EIOPA_RFR!AM29,EIOPA_RFR!AM29*(1+VLOOKUP($B68,Int_Rate_Param,3,FALSE))))</f>
        <v>1.5854400000000001E-2</v>
      </c>
      <c r="AN68" s="94">
        <f>IF($B68&gt;20,IF(EIOPA_RFR!AN29&lt;0%,EIOPA_RFR!AN29,EIOPA_RFR!AN29*(1+VLOOKUP($B$71,Int_Rate_Param,3,FALSE))),IF(EIOPA_RFR!AN29&lt;0%,EIOPA_RFR!AN29,EIOPA_RFR!AN29*(1+VLOOKUP($B68,Int_Rate_Param,3,FALSE))))</f>
        <v>3.0095999999999998E-2</v>
      </c>
      <c r="AO68" s="94">
        <f>IF($B68&gt;20,IF(EIOPA_RFR!AO29&lt;0%,EIOPA_RFR!AO29,EIOPA_RFR!AO29*(1+VLOOKUP($B$71,Int_Rate_Param,3,FALSE))),IF(EIOPA_RFR!AO29&lt;0%,EIOPA_RFR!AO29,EIOPA_RFR!AO29*(1+VLOOKUP($B68,Int_Rate_Param,3,FALSE))))</f>
        <v>3.1752000000000002E-2</v>
      </c>
      <c r="AP68" s="94">
        <f>IF($B68&gt;20,IF(EIOPA_RFR!AP29&lt;0%,EIOPA_RFR!AP29,EIOPA_RFR!AP29*(1+VLOOKUP($B$71,Int_Rate_Param,3,FALSE))),IF(EIOPA_RFR!AP29&lt;0%,EIOPA_RFR!AP29,EIOPA_RFR!AP29*(1+VLOOKUP($B68,Int_Rate_Param,3,FALSE))))</f>
        <v>4.4603999999999998E-2</v>
      </c>
      <c r="AQ68" s="94">
        <f>IF($B68&gt;20,IF(EIOPA_RFR!AQ29&lt;0%,EIOPA_RFR!AQ29,EIOPA_RFR!AQ29*(1+VLOOKUP($B$71,Int_Rate_Param,3,FALSE))),IF(EIOPA_RFR!AQ29&lt;0%,EIOPA_RFR!AQ29,EIOPA_RFR!AQ29*(1+VLOOKUP($B68,Int_Rate_Param,3,FALSE))))</f>
        <v>1.79712E-2</v>
      </c>
      <c r="AR68" s="94">
        <f>IF($B68&gt;20,IF(EIOPA_RFR!AR29&lt;0%,EIOPA_RFR!AR29,EIOPA_RFR!AR29*(1+VLOOKUP($B$71,Int_Rate_Param,3,FALSE))),IF(EIOPA_RFR!AR29&lt;0%,EIOPA_RFR!AR29,EIOPA_RFR!AR29*(1+VLOOKUP($B68,Int_Rate_Param,3,FALSE))))</f>
        <v>4.9017600000000001E-2</v>
      </c>
      <c r="AS68" s="94">
        <f>IF($B68&gt;20,IF(EIOPA_RFR!AS29&lt;0%,EIOPA_RFR!AS29,EIOPA_RFR!AS29*(1+VLOOKUP($B$71,Int_Rate_Param,3,FALSE))),IF(EIOPA_RFR!AS29&lt;0%,EIOPA_RFR!AS29,EIOPA_RFR!AS29*(1+VLOOKUP($B68,Int_Rate_Param,3,FALSE))))</f>
        <v>3.4919999999999999E-3</v>
      </c>
      <c r="AT68" s="94">
        <f>IF($B68&gt;20,IF(EIOPA_RFR!AT29&lt;0%,EIOPA_RFR!AT29,EIOPA_RFR!AT29*(1+VLOOKUP($B$71,Int_Rate_Param,3,FALSE))),IF(EIOPA_RFR!AT29&lt;0%,EIOPA_RFR!AT29,EIOPA_RFR!AT29*(1+VLOOKUP($B68,Int_Rate_Param,3,FALSE))))</f>
        <v>3.1039199999999999E-2</v>
      </c>
      <c r="AU68" s="94">
        <f>IF($B68&gt;20,IF(EIOPA_RFR!AU29&lt;0%,EIOPA_RFR!AU29,EIOPA_RFR!AU29*(1+VLOOKUP($B$71,Int_Rate_Param,3,FALSE))),IF(EIOPA_RFR!AU29&lt;0%,EIOPA_RFR!AU29,EIOPA_RFR!AU29*(1+VLOOKUP($B68,Int_Rate_Param,3,FALSE))))</f>
        <v>5.6498399999999997E-2</v>
      </c>
      <c r="AV68" s="94">
        <f>IF($B68&gt;20,IF(EIOPA_RFR!AV29&lt;0%,EIOPA_RFR!AV29,EIOPA_RFR!AV29*(1+VLOOKUP($B$71,Int_Rate_Param,3,FALSE))),IF(EIOPA_RFR!AV29&lt;0%,EIOPA_RFR!AV29,EIOPA_RFR!AV29*(1+VLOOKUP($B68,Int_Rate_Param,3,FALSE))))</f>
        <v>2.7482400000000001E-2</v>
      </c>
      <c r="AW68" s="94">
        <f>IF($B68&gt;20,IF(EIOPA_RFR!AW29&lt;0%,EIOPA_RFR!AW29,EIOPA_RFR!AW29*(1+VLOOKUP($B$71,Int_Rate_Param,3,FALSE))),IF(EIOPA_RFR!AW29&lt;0%,EIOPA_RFR!AW29,EIOPA_RFR!AW29*(1+VLOOKUP($B68,Int_Rate_Param,3,FALSE))))</f>
        <v>1.8907199999999999E-2</v>
      </c>
      <c r="AX68" s="94">
        <f>IF($B68&gt;20,IF(EIOPA_RFR!AX29&lt;0%,EIOPA_RFR!AX29,EIOPA_RFR!AX29*(1+VLOOKUP($B$71,Int_Rate_Param,3,FALSE))),IF(EIOPA_RFR!AX29&lt;0%,EIOPA_RFR!AX29,EIOPA_RFR!AX29*(1+VLOOKUP($B68,Int_Rate_Param,3,FALSE))))</f>
        <v>6.0357599999999997E-2</v>
      </c>
      <c r="AY68" s="94">
        <f>IF($B68&gt;20,IF(EIOPA_RFR!AY29&lt;0%,EIOPA_RFR!AY29,EIOPA_RFR!AY29*(1+VLOOKUP($B$71,Int_Rate_Param,3,FALSE))),IF(EIOPA_RFR!AY29&lt;0%,EIOPA_RFR!AY29,EIOPA_RFR!AY29*(1+VLOOKUP($B68,Int_Rate_Param,3,FALSE))))</f>
        <v>1.3082399999999999E-2</v>
      </c>
      <c r="AZ68" s="94">
        <f>IF($B68&gt;20,IF(EIOPA_RFR!AZ29&lt;0%,EIOPA_RFR!AZ29,EIOPA_RFR!AZ29*(1+VLOOKUP($B$71,Int_Rate_Param,3,FALSE))),IF(EIOPA_RFR!AZ29&lt;0%,EIOPA_RFR!AZ29,EIOPA_RFR!AZ29*(1+VLOOKUP($B68,Int_Rate_Param,3,FALSE))))</f>
        <v>1.2196799999999999E-2</v>
      </c>
      <c r="BA68" s="94">
        <f>IF($B68&gt;20,IF(EIOPA_RFR!BA29&lt;0%,EIOPA_RFR!BA29,EIOPA_RFR!BA29*(1+VLOOKUP($B$71,Int_Rate_Param,3,FALSE))),IF(EIOPA_RFR!BA29&lt;0%,EIOPA_RFR!BA29,EIOPA_RFR!BA29*(1+VLOOKUP($B68,Int_Rate_Param,3,FALSE))))</f>
        <v>2.0728799999999999E-2</v>
      </c>
      <c r="BB68" s="94">
        <f>IF($B68&gt;20,IF(EIOPA_RFR!BB29&lt;0%,EIOPA_RFR!BB29,EIOPA_RFR!BB29*(1+VLOOKUP($B$71,Int_Rate_Param,3,FALSE))),IF(EIOPA_RFR!BB29&lt;0%,EIOPA_RFR!BB29,EIOPA_RFR!BB29*(1+VLOOKUP($B68,Int_Rate_Param,3,FALSE))))</f>
        <v>6.8270399999999995E-2</v>
      </c>
      <c r="BC68" s="94">
        <f>IF($B68&gt;20,IF(EIOPA_RFR!BC29&lt;0%,EIOPA_RFR!BC29,EIOPA_RFR!BC29*(1+VLOOKUP($B$71,Int_Rate_Param,3,FALSE))),IF(EIOPA_RFR!BC29&lt;0%,EIOPA_RFR!BC29,EIOPA_RFR!BC29*(1+VLOOKUP($B68,Int_Rate_Param,3,FALSE))))</f>
        <v>1.7848799999999998E-2</v>
      </c>
    </row>
    <row r="69" spans="1:55" x14ac:dyDescent="0.25">
      <c r="A69">
        <f t="shared" si="1"/>
        <v>20</v>
      </c>
      <c r="B69" s="95">
        <v>18</v>
      </c>
      <c r="C69" s="94">
        <f>IF($B69&gt;20,IF(EIOPA_RFR!C30&lt;0%,EIOPA_RFR!C30,EIOPA_RFR!C30*(1+VLOOKUP($B$71,Int_Rate_Param,3,FALSE))),IF(EIOPA_RFR!C30&lt;0%,EIOPA_RFR!C30,EIOPA_RFR!C30*(1+VLOOKUP($B69,Int_Rate_Param,3,FALSE))))</f>
        <v>8.4743999999999983E-3</v>
      </c>
      <c r="D69" s="94">
        <f>IF($B69&gt;20,IF(EIOPA_RFR!D30&lt;0%,EIOPA_RFR!D30,EIOPA_RFR!D30*(1+VLOOKUP($B$71,Int_Rate_Param,3,FALSE))),IF(EIOPA_RFR!D30&lt;0%,EIOPA_RFR!D30,EIOPA_RFR!D30*(1+VLOOKUP($B69,Int_Rate_Param,3,FALSE))))</f>
        <v>8.4743999999999983E-3</v>
      </c>
      <c r="E69" s="94">
        <f>IF($B69&gt;20,IF(EIOPA_RFR!E30&lt;0%,EIOPA_RFR!E30,EIOPA_RFR!E30*(1+VLOOKUP($B$71,Int_Rate_Param,3,FALSE))),IF(EIOPA_RFR!E30&lt;0%,EIOPA_RFR!E30,EIOPA_RFR!E30*(1+VLOOKUP($B69,Int_Rate_Param,3,FALSE))))</f>
        <v>8.4743999999999983E-3</v>
      </c>
      <c r="F69" s="94">
        <f>IF($B69&gt;20,IF(EIOPA_RFR!F30&lt;0%,EIOPA_RFR!F30,EIOPA_RFR!F30*(1+VLOOKUP($B$71,Int_Rate_Param,3,FALSE))),IF(EIOPA_RFR!F30&lt;0%,EIOPA_RFR!F30,EIOPA_RFR!F30*(1+VLOOKUP($B69,Int_Rate_Param,3,FALSE))))</f>
        <v>8.092799999999999E-3</v>
      </c>
      <c r="G69" s="94">
        <f>IF($B69&gt;20,IF(EIOPA_RFR!G30&lt;0%,EIOPA_RFR!G30,EIOPA_RFR!G30*(1+VLOOKUP($B$71,Int_Rate_Param,3,FALSE))),IF(EIOPA_RFR!G30&lt;0%,EIOPA_RFR!G30,EIOPA_RFR!G30*(1+VLOOKUP($B69,Int_Rate_Param,3,FALSE))))</f>
        <v>2.3745600000000002E-2</v>
      </c>
      <c r="H69" s="94">
        <f>IF($B69&gt;20,IF(EIOPA_RFR!H30&lt;0%,EIOPA_RFR!H30,EIOPA_RFR!H30*(1+VLOOKUP($B$71,Int_Rate_Param,3,FALSE))),IF(EIOPA_RFR!H30&lt;0%,EIOPA_RFR!H30,EIOPA_RFR!H30*(1+VLOOKUP($B69,Int_Rate_Param,3,FALSE))))</f>
        <v>8.4743999999999983E-3</v>
      </c>
      <c r="I69" s="94">
        <f>IF($B69&gt;20,IF(EIOPA_RFR!I30&lt;0%,EIOPA_RFR!I30,EIOPA_RFR!I30*(1+VLOOKUP($B$71,Int_Rate_Param,3,FALSE))),IF(EIOPA_RFR!I30&lt;0%,EIOPA_RFR!I30,EIOPA_RFR!I30*(1+VLOOKUP($B69,Int_Rate_Param,3,FALSE))))</f>
        <v>1.0922399999999999E-2</v>
      </c>
      <c r="J69" s="94">
        <f>IF($B69&gt;20,IF(EIOPA_RFR!J30&lt;0%,EIOPA_RFR!J30,EIOPA_RFR!J30*(1+VLOOKUP($B$71,Int_Rate_Param,3,FALSE))),IF(EIOPA_RFR!J30&lt;0%,EIOPA_RFR!J30,EIOPA_RFR!J30*(1+VLOOKUP($B69,Int_Rate_Param,3,FALSE))))</f>
        <v>8.3952000000000002E-3</v>
      </c>
      <c r="K69" s="94">
        <f>IF($B69&gt;20,IF(EIOPA_RFR!K30&lt;0%,EIOPA_RFR!K30,EIOPA_RFR!K30*(1+VLOOKUP($B$71,Int_Rate_Param,3,FALSE))),IF(EIOPA_RFR!K30&lt;0%,EIOPA_RFR!K30,EIOPA_RFR!K30*(1+VLOOKUP($B69,Int_Rate_Param,3,FALSE))))</f>
        <v>8.4743999999999983E-3</v>
      </c>
      <c r="L69" s="94">
        <f>IF($B69&gt;20,IF(EIOPA_RFR!L30&lt;0%,EIOPA_RFR!L30,EIOPA_RFR!L30*(1+VLOOKUP($B$71,Int_Rate_Param,3,FALSE))),IF(EIOPA_RFR!L30&lt;0%,EIOPA_RFR!L30,EIOPA_RFR!L30*(1+VLOOKUP($B69,Int_Rate_Param,3,FALSE))))</f>
        <v>8.4743999999999983E-3</v>
      </c>
      <c r="M69" s="94">
        <f>IF($B69&gt;20,IF(EIOPA_RFR!M30&lt;0%,EIOPA_RFR!M30,EIOPA_RFR!M30*(1+VLOOKUP($B$71,Int_Rate_Param,3,FALSE))),IF(EIOPA_RFR!M30&lt;0%,EIOPA_RFR!M30,EIOPA_RFR!M30*(1+VLOOKUP($B69,Int_Rate_Param,3,FALSE))))</f>
        <v>8.4743999999999983E-3</v>
      </c>
      <c r="N69" s="94">
        <f>IF($B69&gt;20,IF(EIOPA_RFR!N30&lt;0%,EIOPA_RFR!N30,EIOPA_RFR!N30*(1+VLOOKUP($B$71,Int_Rate_Param,3,FALSE))),IF(EIOPA_RFR!N30&lt;0%,EIOPA_RFR!N30,EIOPA_RFR!N30*(1+VLOOKUP($B69,Int_Rate_Param,3,FALSE))))</f>
        <v>8.4743999999999983E-3</v>
      </c>
      <c r="O69" s="94">
        <f>IF($B69&gt;20,IF(EIOPA_RFR!O30&lt;0%,EIOPA_RFR!O30,EIOPA_RFR!O30*(1+VLOOKUP($B$71,Int_Rate_Param,3,FALSE))),IF(EIOPA_RFR!O30&lt;0%,EIOPA_RFR!O30,EIOPA_RFR!O30*(1+VLOOKUP($B69,Int_Rate_Param,3,FALSE))))</f>
        <v>8.4743999999999983E-3</v>
      </c>
      <c r="P69" s="94">
        <f>IF($B69&gt;20,IF(EIOPA_RFR!P30&lt;0%,EIOPA_RFR!P30,EIOPA_RFR!P30*(1+VLOOKUP($B$71,Int_Rate_Param,3,FALSE))),IF(EIOPA_RFR!P30&lt;0%,EIOPA_RFR!P30,EIOPA_RFR!P30*(1+VLOOKUP($B69,Int_Rate_Param,3,FALSE))))</f>
        <v>2.9433599999999997E-2</v>
      </c>
      <c r="Q69" s="94">
        <f>IF($B69&gt;20,IF(EIOPA_RFR!Q30&lt;0%,EIOPA_RFR!Q30,EIOPA_RFR!Q30*(1+VLOOKUP($B$71,Int_Rate_Param,3,FALSE))),IF(EIOPA_RFR!Q30&lt;0%,EIOPA_RFR!Q30,EIOPA_RFR!Q30*(1+VLOOKUP($B69,Int_Rate_Param,3,FALSE))))</f>
        <v>3.3573599999999995E-2</v>
      </c>
      <c r="R69" s="94">
        <f>IF($B69&gt;20,IF(EIOPA_RFR!R30&lt;0%,EIOPA_RFR!R30,EIOPA_RFR!R30*(1+VLOOKUP($B$71,Int_Rate_Param,3,FALSE))),IF(EIOPA_RFR!R30&lt;0%,EIOPA_RFR!R30,EIOPA_RFR!R30*(1+VLOOKUP($B69,Int_Rate_Param,3,FALSE))))</f>
        <v>8.4743999999999983E-3</v>
      </c>
      <c r="S69" s="94">
        <f>IF($B69&gt;20,IF(EIOPA_RFR!S30&lt;0%,EIOPA_RFR!S30,EIOPA_RFR!S30*(1+VLOOKUP($B$71,Int_Rate_Param,3,FALSE))),IF(EIOPA_RFR!S30&lt;0%,EIOPA_RFR!S30,EIOPA_RFR!S30*(1+VLOOKUP($B69,Int_Rate_Param,3,FALSE))))</f>
        <v>8.4743999999999983E-3</v>
      </c>
      <c r="T69" s="94">
        <f>IF($B69&gt;20,IF(EIOPA_RFR!T30&lt;0%,EIOPA_RFR!T30,EIOPA_RFR!T30*(1+VLOOKUP($B$71,Int_Rate_Param,3,FALSE))),IF(EIOPA_RFR!T30&lt;0%,EIOPA_RFR!T30,EIOPA_RFR!T30*(1+VLOOKUP($B69,Int_Rate_Param,3,FALSE))))</f>
        <v>8.4743999999999983E-3</v>
      </c>
      <c r="U69" s="94">
        <f>IF($B69&gt;20,IF(EIOPA_RFR!U30&lt;0%,EIOPA_RFR!U30,EIOPA_RFR!U30*(1+VLOOKUP($B$71,Int_Rate_Param,3,FALSE))),IF(EIOPA_RFR!U30&lt;0%,EIOPA_RFR!U30,EIOPA_RFR!U30*(1+VLOOKUP($B69,Int_Rate_Param,3,FALSE))))</f>
        <v>2.7648E-3</v>
      </c>
      <c r="V69" s="94">
        <f>IF($B69&gt;20,IF(EIOPA_RFR!V30&lt;0%,EIOPA_RFR!V30,EIOPA_RFR!V30*(1+VLOOKUP($B$71,Int_Rate_Param,3,FALSE))),IF(EIOPA_RFR!V30&lt;0%,EIOPA_RFR!V30,EIOPA_RFR!V30*(1+VLOOKUP($B69,Int_Rate_Param,3,FALSE))))</f>
        <v>8.4743999999999983E-3</v>
      </c>
      <c r="W69" s="94">
        <f>IF($B69&gt;20,IF(EIOPA_RFR!W30&lt;0%,EIOPA_RFR!W30,EIOPA_RFR!W30*(1+VLOOKUP($B$71,Int_Rate_Param,3,FALSE))),IF(EIOPA_RFR!W30&lt;0%,EIOPA_RFR!W30,EIOPA_RFR!W30*(1+VLOOKUP($B69,Int_Rate_Param,3,FALSE))))</f>
        <v>8.4743999999999983E-3</v>
      </c>
      <c r="X69" s="94">
        <f>IF($B69&gt;20,IF(EIOPA_RFR!X30&lt;0%,EIOPA_RFR!X30,EIOPA_RFR!X30*(1+VLOOKUP($B$71,Int_Rate_Param,3,FALSE))),IF(EIOPA_RFR!X30&lt;0%,EIOPA_RFR!X30,EIOPA_RFR!X30*(1+VLOOKUP($B69,Int_Rate_Param,3,FALSE))))</f>
        <v>8.4743999999999983E-3</v>
      </c>
      <c r="Y69" s="94">
        <f>IF($B69&gt;20,IF(EIOPA_RFR!Y30&lt;0%,EIOPA_RFR!Y30,EIOPA_RFR!Y30*(1+VLOOKUP($B$71,Int_Rate_Param,3,FALSE))),IF(EIOPA_RFR!Y30&lt;0%,EIOPA_RFR!Y30,EIOPA_RFR!Y30*(1+VLOOKUP($B69,Int_Rate_Param,3,FALSE))))</f>
        <v>8.4743999999999983E-3</v>
      </c>
      <c r="Z69" s="94">
        <f>IF($B69&gt;20,IF(EIOPA_RFR!Z30&lt;0%,EIOPA_RFR!Z30,EIOPA_RFR!Z30*(1+VLOOKUP($B$71,Int_Rate_Param,3,FALSE))),IF(EIOPA_RFR!Z30&lt;0%,EIOPA_RFR!Z30,EIOPA_RFR!Z30*(1+VLOOKUP($B69,Int_Rate_Param,3,FALSE))))</f>
        <v>1.7179199999999999E-2</v>
      </c>
      <c r="AA69" s="94">
        <f>IF($B69&gt;20,IF(EIOPA_RFR!AA30&lt;0%,EIOPA_RFR!AA30,EIOPA_RFR!AA30*(1+VLOOKUP($B$71,Int_Rate_Param,3,FALSE))),IF(EIOPA_RFR!AA30&lt;0%,EIOPA_RFR!AA30,EIOPA_RFR!AA30*(1+VLOOKUP($B69,Int_Rate_Param,3,FALSE))))</f>
        <v>2.75112E-2</v>
      </c>
      <c r="AB69" s="94">
        <f>IF($B69&gt;20,IF(EIOPA_RFR!AB30&lt;0%,EIOPA_RFR!AB30,EIOPA_RFR!AB30*(1+VLOOKUP($B$71,Int_Rate_Param,3,FALSE))),IF(EIOPA_RFR!AB30&lt;0%,EIOPA_RFR!AB30,EIOPA_RFR!AB30*(1+VLOOKUP($B69,Int_Rate_Param,3,FALSE))))</f>
        <v>8.4743999999999983E-3</v>
      </c>
      <c r="AC69" s="94">
        <f>IF($B69&gt;20,IF(EIOPA_RFR!AC30&lt;0%,EIOPA_RFR!AC30,EIOPA_RFR!AC30*(1+VLOOKUP($B$71,Int_Rate_Param,3,FALSE))),IF(EIOPA_RFR!AC30&lt;0%,EIOPA_RFR!AC30,EIOPA_RFR!AC30*(1+VLOOKUP($B69,Int_Rate_Param,3,FALSE))))</f>
        <v>3.1154400000000002E-2</v>
      </c>
      <c r="AD69" s="94">
        <f>IF($B69&gt;20,IF(EIOPA_RFR!AD30&lt;0%,EIOPA_RFR!AD30,EIOPA_RFR!AD30*(1+VLOOKUP($B$71,Int_Rate_Param,3,FALSE))),IF(EIOPA_RFR!AD30&lt;0%,EIOPA_RFR!AD30,EIOPA_RFR!AD30*(1+VLOOKUP($B69,Int_Rate_Param,3,FALSE))))</f>
        <v>4.9809600000000002E-2</v>
      </c>
      <c r="AE69" s="94">
        <f>IF($B69&gt;20,IF(EIOPA_RFR!AE30&lt;0%,EIOPA_RFR!AE30,EIOPA_RFR!AE30*(1+VLOOKUP($B$71,Int_Rate_Param,3,FALSE))),IF(EIOPA_RFR!AE30&lt;0%,EIOPA_RFR!AE30,EIOPA_RFR!AE30*(1+VLOOKUP($B69,Int_Rate_Param,3,FALSE))))</f>
        <v>8.4743999999999983E-3</v>
      </c>
      <c r="AF69" s="94">
        <f>IF($B69&gt;20,IF(EIOPA_RFR!AF30&lt;0%,EIOPA_RFR!AF30,EIOPA_RFR!AF30*(1+VLOOKUP($B$71,Int_Rate_Param,3,FALSE))),IF(EIOPA_RFR!AF30&lt;0%,EIOPA_RFR!AF30,EIOPA_RFR!AF30*(1+VLOOKUP($B69,Int_Rate_Param,3,FALSE))))</f>
        <v>8.4743999999999983E-3</v>
      </c>
      <c r="AG69" s="94">
        <f>IF($B69&gt;20,IF(EIOPA_RFR!AG30&lt;0%,EIOPA_RFR!AG30,EIOPA_RFR!AG30*(1+VLOOKUP($B$71,Int_Rate_Param,3,FALSE))),IF(EIOPA_RFR!AG30&lt;0%,EIOPA_RFR!AG30,EIOPA_RFR!AG30*(1+VLOOKUP($B69,Int_Rate_Param,3,FALSE))))</f>
        <v>8.4743999999999983E-3</v>
      </c>
      <c r="AH69" s="94">
        <f>IF($B69&gt;20,IF(EIOPA_RFR!AH30&lt;0%,EIOPA_RFR!AH30,EIOPA_RFR!AH30*(1+VLOOKUP($B$71,Int_Rate_Param,3,FALSE))),IF(EIOPA_RFR!AH30&lt;0%,EIOPA_RFR!AH30,EIOPA_RFR!AH30*(1+VLOOKUP($B69,Int_Rate_Param,3,FALSE))))</f>
        <v>1.6128E-2</v>
      </c>
      <c r="AI69" s="94">
        <f>IF($B69&gt;20,IF(EIOPA_RFR!AI30&lt;0%,EIOPA_RFR!AI30,EIOPA_RFR!AI30*(1+VLOOKUP($B$71,Int_Rate_Param,3,FALSE))),IF(EIOPA_RFR!AI30&lt;0%,EIOPA_RFR!AI30,EIOPA_RFR!AI30*(1+VLOOKUP($B69,Int_Rate_Param,3,FALSE))))</f>
        <v>2.7648E-3</v>
      </c>
      <c r="AJ69" s="94">
        <f>IF($B69&gt;20,IF(EIOPA_RFR!AJ30&lt;0%,EIOPA_RFR!AJ30,EIOPA_RFR!AJ30*(1+VLOOKUP($B$71,Int_Rate_Param,3,FALSE))),IF(EIOPA_RFR!AJ30&lt;0%,EIOPA_RFR!AJ30,EIOPA_RFR!AJ30*(1+VLOOKUP($B69,Int_Rate_Param,3,FALSE))))</f>
        <v>9.3168000000000001E-3</v>
      </c>
      <c r="AK69" s="94">
        <f>IF($B69&gt;20,IF(EIOPA_RFR!AK30&lt;0%,EIOPA_RFR!AK30,EIOPA_RFR!AK30*(1+VLOOKUP($B$71,Int_Rate_Param,3,FALSE))),IF(EIOPA_RFR!AK30&lt;0%,EIOPA_RFR!AK30,EIOPA_RFR!AK30*(1+VLOOKUP($B69,Int_Rate_Param,3,FALSE))))</f>
        <v>2.3011200000000002E-2</v>
      </c>
      <c r="AL69" s="94">
        <f>IF($B69&gt;20,IF(EIOPA_RFR!AL30&lt;0%,EIOPA_RFR!AL30,EIOPA_RFR!AL30*(1+VLOOKUP($B$71,Int_Rate_Param,3,FALSE))),IF(EIOPA_RFR!AL30&lt;0%,EIOPA_RFR!AL30,EIOPA_RFR!AL30*(1+VLOOKUP($B69,Int_Rate_Param,3,FALSE))))</f>
        <v>6.3338400000000003E-2</v>
      </c>
      <c r="AM69" s="94">
        <f>IF($B69&gt;20,IF(EIOPA_RFR!AM30&lt;0%,EIOPA_RFR!AM30,EIOPA_RFR!AM30*(1+VLOOKUP($B$71,Int_Rate_Param,3,FALSE))),IF(EIOPA_RFR!AM30&lt;0%,EIOPA_RFR!AM30,EIOPA_RFR!AM30*(1+VLOOKUP($B69,Int_Rate_Param,3,FALSE))))</f>
        <v>1.61064E-2</v>
      </c>
      <c r="AN69" s="94">
        <f>IF($B69&gt;20,IF(EIOPA_RFR!AN30&lt;0%,EIOPA_RFR!AN30,EIOPA_RFR!AN30*(1+VLOOKUP($B$71,Int_Rate_Param,3,FALSE))),IF(EIOPA_RFR!AN30&lt;0%,EIOPA_RFR!AN30,EIOPA_RFR!AN30*(1+VLOOKUP($B69,Int_Rate_Param,3,FALSE))))</f>
        <v>3.01896E-2</v>
      </c>
      <c r="AO69" s="94">
        <f>IF($B69&gt;20,IF(EIOPA_RFR!AO30&lt;0%,EIOPA_RFR!AO30,EIOPA_RFR!AO30*(1+VLOOKUP($B$71,Int_Rate_Param,3,FALSE))),IF(EIOPA_RFR!AO30&lt;0%,EIOPA_RFR!AO30,EIOPA_RFR!AO30*(1+VLOOKUP($B69,Int_Rate_Param,3,FALSE))))</f>
        <v>3.1809599999999993E-2</v>
      </c>
      <c r="AP69" s="94">
        <f>IF($B69&gt;20,IF(EIOPA_RFR!AP30&lt;0%,EIOPA_RFR!AP30,EIOPA_RFR!AP30*(1+VLOOKUP($B$71,Int_Rate_Param,3,FALSE))),IF(EIOPA_RFR!AP30&lt;0%,EIOPA_RFR!AP30,EIOPA_RFR!AP30*(1+VLOOKUP($B69,Int_Rate_Param,3,FALSE))))</f>
        <v>4.4308799999999995E-2</v>
      </c>
      <c r="AQ69" s="94">
        <f>IF($B69&gt;20,IF(EIOPA_RFR!AQ30&lt;0%,EIOPA_RFR!AQ30,EIOPA_RFR!AQ30*(1+VLOOKUP($B$71,Int_Rate_Param,3,FALSE))),IF(EIOPA_RFR!AQ30&lt;0%,EIOPA_RFR!AQ30,EIOPA_RFR!AQ30*(1+VLOOKUP($B69,Int_Rate_Param,3,FALSE))))</f>
        <v>1.82808E-2</v>
      </c>
      <c r="AR69" s="94">
        <f>IF($B69&gt;20,IF(EIOPA_RFR!AR30&lt;0%,EIOPA_RFR!AR30,EIOPA_RFR!AR30*(1+VLOOKUP($B$71,Int_Rate_Param,3,FALSE))),IF(EIOPA_RFR!AR30&lt;0%,EIOPA_RFR!AR30,EIOPA_RFR!AR30*(1+VLOOKUP($B69,Int_Rate_Param,3,FALSE))))</f>
        <v>4.8801600000000001E-2</v>
      </c>
      <c r="AS69" s="94">
        <f>IF($B69&gt;20,IF(EIOPA_RFR!AS30&lt;0%,EIOPA_RFR!AS30,EIOPA_RFR!AS30*(1+VLOOKUP($B$71,Int_Rate_Param,3,FALSE))),IF(EIOPA_RFR!AS30&lt;0%,EIOPA_RFR!AS30,EIOPA_RFR!AS30*(1+VLOOKUP($B69,Int_Rate_Param,3,FALSE))))</f>
        <v>3.7871999999999997E-3</v>
      </c>
      <c r="AT69" s="94">
        <f>IF($B69&gt;20,IF(EIOPA_RFR!AT30&lt;0%,EIOPA_RFR!AT30,EIOPA_RFR!AT30*(1+VLOOKUP($B$71,Int_Rate_Param,3,FALSE))),IF(EIOPA_RFR!AT30&lt;0%,EIOPA_RFR!AT30,EIOPA_RFR!AT30*(1+VLOOKUP($B69,Int_Rate_Param,3,FALSE))))</f>
        <v>3.1154400000000002E-2</v>
      </c>
      <c r="AU69" s="94">
        <f>IF($B69&gt;20,IF(EIOPA_RFR!AU30&lt;0%,EIOPA_RFR!AU30,EIOPA_RFR!AU30*(1+VLOOKUP($B$71,Int_Rate_Param,3,FALSE))),IF(EIOPA_RFR!AU30&lt;0%,EIOPA_RFR!AU30,EIOPA_RFR!AU30*(1+VLOOKUP($B69,Int_Rate_Param,3,FALSE))))</f>
        <v>5.6815199999999996E-2</v>
      </c>
      <c r="AV69" s="94">
        <f>IF($B69&gt;20,IF(EIOPA_RFR!AV30&lt;0%,EIOPA_RFR!AV30,EIOPA_RFR!AV30*(1+VLOOKUP($B$71,Int_Rate_Param,3,FALSE))),IF(EIOPA_RFR!AV30&lt;0%,EIOPA_RFR!AV30,EIOPA_RFR!AV30*(1+VLOOKUP($B69,Int_Rate_Param,3,FALSE))))</f>
        <v>2.7871199999999999E-2</v>
      </c>
      <c r="AW69" s="94">
        <f>IF($B69&gt;20,IF(EIOPA_RFR!AW30&lt;0%,EIOPA_RFR!AW30,EIOPA_RFR!AW30*(1+VLOOKUP($B$71,Int_Rate_Param,3,FALSE))),IF(EIOPA_RFR!AW30&lt;0%,EIOPA_RFR!AW30,EIOPA_RFR!AW30*(1+VLOOKUP($B69,Int_Rate_Param,3,FALSE))))</f>
        <v>1.9029599999999997E-2</v>
      </c>
      <c r="AX69" s="94">
        <f>IF($B69&gt;20,IF(EIOPA_RFR!AX30&lt;0%,EIOPA_RFR!AX30,EIOPA_RFR!AX30*(1+VLOOKUP($B$71,Int_Rate_Param,3,FALSE))),IF(EIOPA_RFR!AX30&lt;0%,EIOPA_RFR!AX30,EIOPA_RFR!AX30*(1+VLOOKUP($B69,Int_Rate_Param,3,FALSE))))</f>
        <v>6.0026400000000001E-2</v>
      </c>
      <c r="AY69" s="94">
        <f>IF($B69&gt;20,IF(EIOPA_RFR!AY30&lt;0%,EIOPA_RFR!AY30,EIOPA_RFR!AY30*(1+VLOOKUP($B$71,Int_Rate_Param,3,FALSE))),IF(EIOPA_RFR!AY30&lt;0%,EIOPA_RFR!AY30,EIOPA_RFR!AY30*(1+VLOOKUP($B69,Int_Rate_Param,3,FALSE))))</f>
        <v>1.3068E-2</v>
      </c>
      <c r="AZ69" s="94">
        <f>IF($B69&gt;20,IF(EIOPA_RFR!AZ30&lt;0%,EIOPA_RFR!AZ30,EIOPA_RFR!AZ30*(1+VLOOKUP($B$71,Int_Rate_Param,3,FALSE))),IF(EIOPA_RFR!AZ30&lt;0%,EIOPA_RFR!AZ30,EIOPA_RFR!AZ30*(1+VLOOKUP($B69,Int_Rate_Param,3,FALSE))))</f>
        <v>1.2794400000000001E-2</v>
      </c>
      <c r="BA69" s="94">
        <f>IF($B69&gt;20,IF(EIOPA_RFR!BA30&lt;0%,EIOPA_RFR!BA30,EIOPA_RFR!BA30*(1+VLOOKUP($B$71,Int_Rate_Param,3,FALSE))),IF(EIOPA_RFR!BA30&lt;0%,EIOPA_RFR!BA30,EIOPA_RFR!BA30*(1+VLOOKUP($B69,Int_Rate_Param,3,FALSE))))</f>
        <v>2.1024000000000001E-2</v>
      </c>
      <c r="BB69" s="94">
        <f>IF($B69&gt;20,IF(EIOPA_RFR!BB30&lt;0%,EIOPA_RFR!BB30,EIOPA_RFR!BB30*(1+VLOOKUP($B$71,Int_Rate_Param,3,FALSE))),IF(EIOPA_RFR!BB30&lt;0%,EIOPA_RFR!BB30,EIOPA_RFR!BB30*(1+VLOOKUP($B69,Int_Rate_Param,3,FALSE))))</f>
        <v>6.72624E-2</v>
      </c>
      <c r="BC69" s="94">
        <f>IF($B69&gt;20,IF(EIOPA_RFR!BC30&lt;0%,EIOPA_RFR!BC30,EIOPA_RFR!BC30*(1+VLOOKUP($B$71,Int_Rate_Param,3,FALSE))),IF(EIOPA_RFR!BC30&lt;0%,EIOPA_RFR!BC30,EIOPA_RFR!BC30*(1+VLOOKUP($B69,Int_Rate_Param,3,FALSE))))</f>
        <v>1.7964000000000001E-2</v>
      </c>
    </row>
    <row r="70" spans="1:55" x14ac:dyDescent="0.25">
      <c r="A70">
        <f t="shared" si="1"/>
        <v>21</v>
      </c>
      <c r="B70" s="95">
        <v>19</v>
      </c>
      <c r="C70" s="94">
        <f>IF($B70&gt;20,IF(EIOPA_RFR!C31&lt;0%,EIOPA_RFR!C31,EIOPA_RFR!C31*(1+VLOOKUP($B$71,Int_Rate_Param,3,FALSE))),IF(EIOPA_RFR!C31&lt;0%,EIOPA_RFR!C31,EIOPA_RFR!C31*(1+VLOOKUP($B70,Int_Rate_Param,3,FALSE))))</f>
        <v>8.5980999999999991E-3</v>
      </c>
      <c r="D70" s="94">
        <f>IF($B70&gt;20,IF(EIOPA_RFR!D31&lt;0%,EIOPA_RFR!D31,EIOPA_RFR!D31*(1+VLOOKUP($B$71,Int_Rate_Param,3,FALSE))),IF(EIOPA_RFR!D31&lt;0%,EIOPA_RFR!D31,EIOPA_RFR!D31*(1+VLOOKUP($B70,Int_Rate_Param,3,FALSE))))</f>
        <v>8.5980999999999991E-3</v>
      </c>
      <c r="E70" s="94">
        <f>IF($B70&gt;20,IF(EIOPA_RFR!E31&lt;0%,EIOPA_RFR!E31,EIOPA_RFR!E31*(1+VLOOKUP($B$71,Int_Rate_Param,3,FALSE))),IF(EIOPA_RFR!E31&lt;0%,EIOPA_RFR!E31,EIOPA_RFR!E31*(1+VLOOKUP($B70,Int_Rate_Param,3,FALSE))))</f>
        <v>8.5980999999999991E-3</v>
      </c>
      <c r="F70" s="94">
        <f>IF($B70&gt;20,IF(EIOPA_RFR!F31&lt;0%,EIOPA_RFR!F31,EIOPA_RFR!F31*(1+VLOOKUP($B$71,Int_Rate_Param,3,FALSE))),IF(EIOPA_RFR!F31&lt;0%,EIOPA_RFR!F31,EIOPA_RFR!F31*(1+VLOOKUP($B70,Int_Rate_Param,3,FALSE))))</f>
        <v>8.2217999999999996E-3</v>
      </c>
      <c r="G70" s="94">
        <f>IF($B70&gt;20,IF(EIOPA_RFR!G31&lt;0%,EIOPA_RFR!G31,EIOPA_RFR!G31*(1+VLOOKUP($B$71,Int_Rate_Param,3,FALSE))),IF(EIOPA_RFR!G31&lt;0%,EIOPA_RFR!G31,EIOPA_RFR!G31*(1+VLOOKUP($B70,Int_Rate_Param,3,FALSE))))</f>
        <v>2.3643000000000001E-2</v>
      </c>
      <c r="H70" s="94">
        <f>IF($B70&gt;20,IF(EIOPA_RFR!H31&lt;0%,EIOPA_RFR!H31,EIOPA_RFR!H31*(1+VLOOKUP($B$71,Int_Rate_Param,3,FALSE))),IF(EIOPA_RFR!H31&lt;0%,EIOPA_RFR!H31,EIOPA_RFR!H31*(1+VLOOKUP($B70,Int_Rate_Param,3,FALSE))))</f>
        <v>8.5980999999999991E-3</v>
      </c>
      <c r="I70" s="94">
        <f>IF($B70&gt;20,IF(EIOPA_RFR!I31&lt;0%,EIOPA_RFR!I31,EIOPA_RFR!I31*(1+VLOOKUP($B$71,Int_Rate_Param,3,FALSE))),IF(EIOPA_RFR!I31&lt;0%,EIOPA_RFR!I31,EIOPA_RFR!I31*(1+VLOOKUP($B70,Int_Rate_Param,3,FALSE))))</f>
        <v>1.1303199999999999E-2</v>
      </c>
      <c r="J70" s="94">
        <f>IF($B70&gt;20,IF(EIOPA_RFR!J31&lt;0%,EIOPA_RFR!J31,EIOPA_RFR!J31*(1+VLOOKUP($B$71,Int_Rate_Param,3,FALSE))),IF(EIOPA_RFR!J31&lt;0%,EIOPA_RFR!J31,EIOPA_RFR!J31*(1+VLOOKUP($B70,Int_Rate_Param,3,FALSE))))</f>
        <v>8.5199999999999998E-3</v>
      </c>
      <c r="K70" s="94">
        <f>IF($B70&gt;20,IF(EIOPA_RFR!K31&lt;0%,EIOPA_RFR!K31,EIOPA_RFR!K31*(1+VLOOKUP($B$71,Int_Rate_Param,3,FALSE))),IF(EIOPA_RFR!K31&lt;0%,EIOPA_RFR!K31,EIOPA_RFR!K31*(1+VLOOKUP($B70,Int_Rate_Param,3,FALSE))))</f>
        <v>8.5980999999999991E-3</v>
      </c>
      <c r="L70" s="94">
        <f>IF($B70&gt;20,IF(EIOPA_RFR!L31&lt;0%,EIOPA_RFR!L31,EIOPA_RFR!L31*(1+VLOOKUP($B$71,Int_Rate_Param,3,FALSE))),IF(EIOPA_RFR!L31&lt;0%,EIOPA_RFR!L31,EIOPA_RFR!L31*(1+VLOOKUP($B70,Int_Rate_Param,3,FALSE))))</f>
        <v>8.5980999999999991E-3</v>
      </c>
      <c r="M70" s="94">
        <f>IF($B70&gt;20,IF(EIOPA_RFR!M31&lt;0%,EIOPA_RFR!M31,EIOPA_RFR!M31*(1+VLOOKUP($B$71,Int_Rate_Param,3,FALSE))),IF(EIOPA_RFR!M31&lt;0%,EIOPA_RFR!M31,EIOPA_RFR!M31*(1+VLOOKUP($B70,Int_Rate_Param,3,FALSE))))</f>
        <v>8.5980999999999991E-3</v>
      </c>
      <c r="N70" s="94">
        <f>IF($B70&gt;20,IF(EIOPA_RFR!N31&lt;0%,EIOPA_RFR!N31,EIOPA_RFR!N31*(1+VLOOKUP($B$71,Int_Rate_Param,3,FALSE))),IF(EIOPA_RFR!N31&lt;0%,EIOPA_RFR!N31,EIOPA_RFR!N31*(1+VLOOKUP($B70,Int_Rate_Param,3,FALSE))))</f>
        <v>8.5980999999999991E-3</v>
      </c>
      <c r="O70" s="94">
        <f>IF($B70&gt;20,IF(EIOPA_RFR!O31&lt;0%,EIOPA_RFR!O31,EIOPA_RFR!O31*(1+VLOOKUP($B$71,Int_Rate_Param,3,FALSE))),IF(EIOPA_RFR!O31&lt;0%,EIOPA_RFR!O31,EIOPA_RFR!O31*(1+VLOOKUP($B70,Int_Rate_Param,3,FALSE))))</f>
        <v>8.5980999999999991E-3</v>
      </c>
      <c r="P70" s="94">
        <f>IF($B70&gt;20,IF(EIOPA_RFR!P31&lt;0%,EIOPA_RFR!P31,EIOPA_RFR!P31*(1+VLOOKUP($B$71,Int_Rate_Param,3,FALSE))),IF(EIOPA_RFR!P31&lt;0%,EIOPA_RFR!P31,EIOPA_RFR!P31*(1+VLOOKUP($B70,Int_Rate_Param,3,FALSE))))</f>
        <v>2.9379799999999998E-2</v>
      </c>
      <c r="Q70" s="94">
        <f>IF($B70&gt;20,IF(EIOPA_RFR!Q31&lt;0%,EIOPA_RFR!Q31,EIOPA_RFR!Q31*(1+VLOOKUP($B$71,Int_Rate_Param,3,FALSE))),IF(EIOPA_RFR!Q31&lt;0%,EIOPA_RFR!Q31,EIOPA_RFR!Q31*(1+VLOOKUP($B70,Int_Rate_Param,3,FALSE))))</f>
        <v>3.3029199999999995E-2</v>
      </c>
      <c r="R70" s="94">
        <f>IF($B70&gt;20,IF(EIOPA_RFR!R31&lt;0%,EIOPA_RFR!R31,EIOPA_RFR!R31*(1+VLOOKUP($B$71,Int_Rate_Param,3,FALSE))),IF(EIOPA_RFR!R31&lt;0%,EIOPA_RFR!R31,EIOPA_RFR!R31*(1+VLOOKUP($B70,Int_Rate_Param,3,FALSE))))</f>
        <v>8.5980999999999991E-3</v>
      </c>
      <c r="S70" s="94">
        <f>IF($B70&gt;20,IF(EIOPA_RFR!S31&lt;0%,EIOPA_RFR!S31,EIOPA_RFR!S31*(1+VLOOKUP($B$71,Int_Rate_Param,3,FALSE))),IF(EIOPA_RFR!S31&lt;0%,EIOPA_RFR!S31,EIOPA_RFR!S31*(1+VLOOKUP($B70,Int_Rate_Param,3,FALSE))))</f>
        <v>8.5980999999999991E-3</v>
      </c>
      <c r="T70" s="94">
        <f>IF($B70&gt;20,IF(EIOPA_RFR!T31&lt;0%,EIOPA_RFR!T31,EIOPA_RFR!T31*(1+VLOOKUP($B$71,Int_Rate_Param,3,FALSE))),IF(EIOPA_RFR!T31&lt;0%,EIOPA_RFR!T31,EIOPA_RFR!T31*(1+VLOOKUP($B70,Int_Rate_Param,3,FALSE))))</f>
        <v>8.5980999999999991E-3</v>
      </c>
      <c r="U70" s="94">
        <f>IF($B70&gt;20,IF(EIOPA_RFR!U31&lt;0%,EIOPA_RFR!U31,EIOPA_RFR!U31*(1+VLOOKUP($B$71,Int_Rate_Param,3,FALSE))),IF(EIOPA_RFR!U31&lt;0%,EIOPA_RFR!U31,EIOPA_RFR!U31*(1+VLOOKUP($B70,Int_Rate_Param,3,FALSE))))</f>
        <v>2.8825999999999999E-3</v>
      </c>
      <c r="V70" s="94">
        <f>IF($B70&gt;20,IF(EIOPA_RFR!V31&lt;0%,EIOPA_RFR!V31,EIOPA_RFR!V31*(1+VLOOKUP($B$71,Int_Rate_Param,3,FALSE))),IF(EIOPA_RFR!V31&lt;0%,EIOPA_RFR!V31,EIOPA_RFR!V31*(1+VLOOKUP($B70,Int_Rate_Param,3,FALSE))))</f>
        <v>8.5980999999999991E-3</v>
      </c>
      <c r="W70" s="94">
        <f>IF($B70&gt;20,IF(EIOPA_RFR!W31&lt;0%,EIOPA_RFR!W31,EIOPA_RFR!W31*(1+VLOOKUP($B$71,Int_Rate_Param,3,FALSE))),IF(EIOPA_RFR!W31&lt;0%,EIOPA_RFR!W31,EIOPA_RFR!W31*(1+VLOOKUP($B70,Int_Rate_Param,3,FALSE))))</f>
        <v>8.5980999999999991E-3</v>
      </c>
      <c r="X70" s="94">
        <f>IF($B70&gt;20,IF(EIOPA_RFR!X31&lt;0%,EIOPA_RFR!X31,EIOPA_RFR!X31*(1+VLOOKUP($B$71,Int_Rate_Param,3,FALSE))),IF(EIOPA_RFR!X31&lt;0%,EIOPA_RFR!X31,EIOPA_RFR!X31*(1+VLOOKUP($B70,Int_Rate_Param,3,FALSE))))</f>
        <v>8.5980999999999991E-3</v>
      </c>
      <c r="Y70" s="94">
        <f>IF($B70&gt;20,IF(EIOPA_RFR!Y31&lt;0%,EIOPA_RFR!Y31,EIOPA_RFR!Y31*(1+VLOOKUP($B$71,Int_Rate_Param,3,FALSE))),IF(EIOPA_RFR!Y31&lt;0%,EIOPA_RFR!Y31,EIOPA_RFR!Y31*(1+VLOOKUP($B70,Int_Rate_Param,3,FALSE))))</f>
        <v>8.5980999999999991E-3</v>
      </c>
      <c r="Z70" s="94">
        <f>IF($B70&gt;20,IF(EIOPA_RFR!Z31&lt;0%,EIOPA_RFR!Z31,EIOPA_RFR!Z31*(1+VLOOKUP($B$71,Int_Rate_Param,3,FALSE))),IF(EIOPA_RFR!Z31&lt;0%,EIOPA_RFR!Z31,EIOPA_RFR!Z31*(1+VLOOKUP($B70,Int_Rate_Param,3,FALSE))))</f>
        <v>1.7366599999999999E-2</v>
      </c>
      <c r="AA70" s="94">
        <f>IF($B70&gt;20,IF(EIOPA_RFR!AA31&lt;0%,EIOPA_RFR!AA31,EIOPA_RFR!AA31*(1+VLOOKUP($B$71,Int_Rate_Param,3,FALSE))),IF(EIOPA_RFR!AA31&lt;0%,EIOPA_RFR!AA31,EIOPA_RFR!AA31*(1+VLOOKUP($B70,Int_Rate_Param,3,FALSE))))</f>
        <v>2.7334999999999998E-2</v>
      </c>
      <c r="AB70" s="94">
        <f>IF($B70&gt;20,IF(EIOPA_RFR!AB31&lt;0%,EIOPA_RFR!AB31,EIOPA_RFR!AB31*(1+VLOOKUP($B$71,Int_Rate_Param,3,FALSE))),IF(EIOPA_RFR!AB31&lt;0%,EIOPA_RFR!AB31,EIOPA_RFR!AB31*(1+VLOOKUP($B70,Int_Rate_Param,3,FALSE))))</f>
        <v>8.5980999999999991E-3</v>
      </c>
      <c r="AC70" s="94">
        <f>IF($B70&gt;20,IF(EIOPA_RFR!AC31&lt;0%,EIOPA_RFR!AC31,EIOPA_RFR!AC31*(1+VLOOKUP($B$71,Int_Rate_Param,3,FALSE))),IF(EIOPA_RFR!AC31&lt;0%,EIOPA_RFR!AC31,EIOPA_RFR!AC31*(1+VLOOKUP($B70,Int_Rate_Param,3,FALSE))))</f>
        <v>3.0849500000000002E-2</v>
      </c>
      <c r="AD70" s="94">
        <f>IF($B70&gt;20,IF(EIOPA_RFR!AD31&lt;0%,EIOPA_RFR!AD31,EIOPA_RFR!AD31*(1+VLOOKUP($B$71,Int_Rate_Param,3,FALSE))),IF(EIOPA_RFR!AD31&lt;0%,EIOPA_RFR!AD31,EIOPA_RFR!AD31*(1+VLOOKUP($B70,Int_Rate_Param,3,FALSE))))</f>
        <v>4.8521399999999999E-2</v>
      </c>
      <c r="AE70" s="94">
        <f>IF($B70&gt;20,IF(EIOPA_RFR!AE31&lt;0%,EIOPA_RFR!AE31,EIOPA_RFR!AE31*(1+VLOOKUP($B$71,Int_Rate_Param,3,FALSE))),IF(EIOPA_RFR!AE31&lt;0%,EIOPA_RFR!AE31,EIOPA_RFR!AE31*(1+VLOOKUP($B70,Int_Rate_Param,3,FALSE))))</f>
        <v>8.5980999999999991E-3</v>
      </c>
      <c r="AF70" s="94">
        <f>IF($B70&gt;20,IF(EIOPA_RFR!AF31&lt;0%,EIOPA_RFR!AF31,EIOPA_RFR!AF31*(1+VLOOKUP($B$71,Int_Rate_Param,3,FALSE))),IF(EIOPA_RFR!AF31&lt;0%,EIOPA_RFR!AF31,EIOPA_RFR!AF31*(1+VLOOKUP($B70,Int_Rate_Param,3,FALSE))))</f>
        <v>8.5980999999999991E-3</v>
      </c>
      <c r="AG70" s="94">
        <f>IF($B70&gt;20,IF(EIOPA_RFR!AG31&lt;0%,EIOPA_RFR!AG31,EIOPA_RFR!AG31*(1+VLOOKUP($B$71,Int_Rate_Param,3,FALSE))),IF(EIOPA_RFR!AG31&lt;0%,EIOPA_RFR!AG31,EIOPA_RFR!AG31*(1+VLOOKUP($B70,Int_Rate_Param,3,FALSE))))</f>
        <v>8.5980999999999991E-3</v>
      </c>
      <c r="AH70" s="94">
        <f>IF($B70&gt;20,IF(EIOPA_RFR!AH31&lt;0%,EIOPA_RFR!AH31,EIOPA_RFR!AH31*(1+VLOOKUP($B$71,Int_Rate_Param,3,FALSE))),IF(EIOPA_RFR!AH31&lt;0%,EIOPA_RFR!AH31,EIOPA_RFR!AH31*(1+VLOOKUP($B70,Int_Rate_Param,3,FALSE))))</f>
        <v>1.66211E-2</v>
      </c>
      <c r="AI70" s="94">
        <f>IF($B70&gt;20,IF(EIOPA_RFR!AI31&lt;0%,EIOPA_RFR!AI31,EIOPA_RFR!AI31*(1+VLOOKUP($B$71,Int_Rate_Param,3,FALSE))),IF(EIOPA_RFR!AI31&lt;0%,EIOPA_RFR!AI31,EIOPA_RFR!AI31*(1+VLOOKUP($B70,Int_Rate_Param,3,FALSE))))</f>
        <v>2.8825999999999999E-3</v>
      </c>
      <c r="AJ70" s="94">
        <f>IF($B70&gt;20,IF(EIOPA_RFR!AJ31&lt;0%,EIOPA_RFR!AJ31,EIOPA_RFR!AJ31*(1+VLOOKUP($B$71,Int_Rate_Param,3,FALSE))),IF(EIOPA_RFR!AJ31&lt;0%,EIOPA_RFR!AJ31,EIOPA_RFR!AJ31*(1+VLOOKUP($B70,Int_Rate_Param,3,FALSE))))</f>
        <v>9.2370999999999998E-3</v>
      </c>
      <c r="AK70" s="94">
        <f>IF($B70&gt;20,IF(EIOPA_RFR!AK31&lt;0%,EIOPA_RFR!AK31,EIOPA_RFR!AK31*(1+VLOOKUP($B$71,Int_Rate_Param,3,FALSE))),IF(EIOPA_RFR!AK31&lt;0%,EIOPA_RFR!AK31,EIOPA_RFR!AK31*(1+VLOOKUP($B70,Int_Rate_Param,3,FALSE))))</f>
        <v>2.2861999999999997E-2</v>
      </c>
      <c r="AL70" s="94">
        <f>IF($B70&gt;20,IF(EIOPA_RFR!AL31&lt;0%,EIOPA_RFR!AL31,EIOPA_RFR!AL31*(1+VLOOKUP($B$71,Int_Rate_Param,3,FALSE))),IF(EIOPA_RFR!AL31&lt;0%,EIOPA_RFR!AL31,EIOPA_RFR!AL31*(1+VLOOKUP($B70,Int_Rate_Param,3,FALSE))))</f>
        <v>6.1769999999999992E-2</v>
      </c>
      <c r="AM70" s="94">
        <f>IF($B70&gt;20,IF(EIOPA_RFR!AM31&lt;0%,EIOPA_RFR!AM31,EIOPA_RFR!AM31*(1+VLOOKUP($B$71,Int_Rate_Param,3,FALSE))),IF(EIOPA_RFR!AM31&lt;0%,EIOPA_RFR!AM31,EIOPA_RFR!AM31*(1+VLOOKUP($B70,Int_Rate_Param,3,FALSE))))</f>
        <v>1.6045999999999998E-2</v>
      </c>
      <c r="AN70" s="94">
        <f>IF($B70&gt;20,IF(EIOPA_RFR!AN31&lt;0%,EIOPA_RFR!AN31,EIOPA_RFR!AN31*(1+VLOOKUP($B$71,Int_Rate_Param,3,FALSE))),IF(EIOPA_RFR!AN31&lt;0%,EIOPA_RFR!AN31,EIOPA_RFR!AN31*(1+VLOOKUP($B70,Int_Rate_Param,3,FALSE))))</f>
        <v>2.9848400000000001E-2</v>
      </c>
      <c r="AO70" s="94">
        <f>IF($B70&gt;20,IF(EIOPA_RFR!AO31&lt;0%,EIOPA_RFR!AO31,EIOPA_RFR!AO31*(1+VLOOKUP($B$71,Int_Rate_Param,3,FALSE))),IF(EIOPA_RFR!AO31&lt;0%,EIOPA_RFR!AO31,EIOPA_RFR!AO31*(1+VLOOKUP($B70,Int_Rate_Param,3,FALSE))))</f>
        <v>3.1403299999999995E-2</v>
      </c>
      <c r="AP70" s="94">
        <f>IF($B70&gt;20,IF(EIOPA_RFR!AP31&lt;0%,EIOPA_RFR!AP31,EIOPA_RFR!AP31*(1+VLOOKUP($B$71,Int_Rate_Param,3,FALSE))),IF(EIOPA_RFR!AP31&lt;0%,EIOPA_RFR!AP31,EIOPA_RFR!AP31*(1+VLOOKUP($B70,Int_Rate_Param,3,FALSE))))</f>
        <v>4.3380999999999996E-2</v>
      </c>
      <c r="AQ70" s="94">
        <f>IF($B70&gt;20,IF(EIOPA_RFR!AQ31&lt;0%,EIOPA_RFR!AQ31,EIOPA_RFR!AQ31*(1+VLOOKUP($B$71,Int_Rate_Param,3,FALSE))),IF(EIOPA_RFR!AQ31&lt;0%,EIOPA_RFR!AQ31,EIOPA_RFR!AQ31*(1+VLOOKUP($B70,Int_Rate_Param,3,FALSE))))</f>
        <v>1.8339299999999999E-2</v>
      </c>
      <c r="AR70" s="94">
        <f>IF($B70&gt;20,IF(EIOPA_RFR!AR31&lt;0%,EIOPA_RFR!AR31,EIOPA_RFR!AR31*(1+VLOOKUP($B$71,Int_Rate_Param,3,FALSE))),IF(EIOPA_RFR!AR31&lt;0%,EIOPA_RFR!AR31,EIOPA_RFR!AR31*(1+VLOOKUP($B70,Int_Rate_Param,3,FALSE))))</f>
        <v>4.7896600000000004E-2</v>
      </c>
      <c r="AS70" s="94">
        <f>IF($B70&gt;20,IF(EIOPA_RFR!AS31&lt;0%,EIOPA_RFR!AS31,EIOPA_RFR!AS31*(1+VLOOKUP($B$71,Int_Rate_Param,3,FALSE))),IF(EIOPA_RFR!AS31&lt;0%,EIOPA_RFR!AS31,EIOPA_RFR!AS31*(1+VLOOKUP($B70,Int_Rate_Param,3,FALSE))))</f>
        <v>3.9972999999999996E-3</v>
      </c>
      <c r="AT70" s="94">
        <f>IF($B70&gt;20,IF(EIOPA_RFR!AT31&lt;0%,EIOPA_RFR!AT31,EIOPA_RFR!AT31*(1+VLOOKUP($B$71,Int_Rate_Param,3,FALSE))),IF(EIOPA_RFR!AT31&lt;0%,EIOPA_RFR!AT31,EIOPA_RFR!AT31*(1+VLOOKUP($B70,Int_Rate_Param,3,FALSE))))</f>
        <v>3.0799799999999999E-2</v>
      </c>
      <c r="AU70" s="94">
        <f>IF($B70&gt;20,IF(EIOPA_RFR!AU31&lt;0%,EIOPA_RFR!AU31,EIOPA_RFR!AU31*(1+VLOOKUP($B$71,Int_Rate_Param,3,FALSE))),IF(EIOPA_RFR!AU31&lt;0%,EIOPA_RFR!AU31,EIOPA_RFR!AU31*(1+VLOOKUP($B70,Int_Rate_Param,3,FALSE))))</f>
        <v>5.6246199999999996E-2</v>
      </c>
      <c r="AV70" s="94">
        <f>IF($B70&gt;20,IF(EIOPA_RFR!AV31&lt;0%,EIOPA_RFR!AV31,EIOPA_RFR!AV31*(1+VLOOKUP($B$71,Int_Rate_Param,3,FALSE))),IF(EIOPA_RFR!AV31&lt;0%,EIOPA_RFR!AV31,EIOPA_RFR!AV31*(1+VLOOKUP($B70,Int_Rate_Param,3,FALSE))))</f>
        <v>2.7810700000000001E-2</v>
      </c>
      <c r="AW70" s="94">
        <f>IF($B70&gt;20,IF(EIOPA_RFR!AW31&lt;0%,EIOPA_RFR!AW31,EIOPA_RFR!AW31*(1+VLOOKUP($B$71,Int_Rate_Param,3,FALSE))),IF(EIOPA_RFR!AW31&lt;0%,EIOPA_RFR!AW31,EIOPA_RFR!AW31*(1+VLOOKUP($B70,Int_Rate_Param,3,FALSE))))</f>
        <v>1.8900199999999999E-2</v>
      </c>
      <c r="AX70" s="94">
        <f>IF($B70&gt;20,IF(EIOPA_RFR!AX31&lt;0%,EIOPA_RFR!AX31,EIOPA_RFR!AX31*(1+VLOOKUP($B$71,Int_Rate_Param,3,FALSE))),IF(EIOPA_RFR!AX31&lt;0%,EIOPA_RFR!AX31,EIOPA_RFR!AX31*(1+VLOOKUP($B70,Int_Rate_Param,3,FALSE))))</f>
        <v>5.8816399999999998E-2</v>
      </c>
      <c r="AY70" s="94">
        <f>IF($B70&gt;20,IF(EIOPA_RFR!AY31&lt;0%,EIOPA_RFR!AY31,EIOPA_RFR!AY31*(1+VLOOKUP($B$71,Int_Rate_Param,3,FALSE))),IF(EIOPA_RFR!AY31&lt;0%,EIOPA_RFR!AY31,EIOPA_RFR!AY31*(1+VLOOKUP($B70,Int_Rate_Param,3,FALSE))))</f>
        <v>1.2929099999999999E-2</v>
      </c>
      <c r="AZ70" s="94">
        <f>IF($B70&gt;20,IF(EIOPA_RFR!AZ31&lt;0%,EIOPA_RFR!AZ31,EIOPA_RFR!AZ31*(1+VLOOKUP($B$71,Int_Rate_Param,3,FALSE))),IF(EIOPA_RFR!AZ31&lt;0%,EIOPA_RFR!AZ31,EIOPA_RFR!AZ31*(1+VLOOKUP($B70,Int_Rate_Param,3,FALSE))))</f>
        <v>1.3184699999999999E-2</v>
      </c>
      <c r="BA70" s="94">
        <f>IF($B70&gt;20,IF(EIOPA_RFR!BA31&lt;0%,EIOPA_RFR!BA31,EIOPA_RFR!BA31*(1+VLOOKUP($B$71,Int_Rate_Param,3,FALSE))),IF(EIOPA_RFR!BA31&lt;0%,EIOPA_RFR!BA31,EIOPA_RFR!BA31*(1+VLOOKUP($B70,Int_Rate_Param,3,FALSE))))</f>
        <v>2.1016E-2</v>
      </c>
      <c r="BB70" s="94">
        <f>IF($B70&gt;20,IF(EIOPA_RFR!BB31&lt;0%,EIOPA_RFR!BB31,EIOPA_RFR!BB31*(1+VLOOKUP($B$71,Int_Rate_Param,3,FALSE))),IF(EIOPA_RFR!BB31&lt;0%,EIOPA_RFR!BB31,EIOPA_RFR!BB31*(1+VLOOKUP($B70,Int_Rate_Param,3,FALSE))))</f>
        <v>6.5369700000000003E-2</v>
      </c>
      <c r="BC70" s="94">
        <f>IF($B70&gt;20,IF(EIOPA_RFR!BC31&lt;0%,EIOPA_RFR!BC31,EIOPA_RFR!BC31*(1+VLOOKUP($B$71,Int_Rate_Param,3,FALSE))),IF(EIOPA_RFR!BC31&lt;0%,EIOPA_RFR!BC31,EIOPA_RFR!BC31*(1+VLOOKUP($B70,Int_Rate_Param,3,FALSE))))</f>
        <v>1.7806800000000001E-2</v>
      </c>
    </row>
    <row r="71" spans="1:55" x14ac:dyDescent="0.25">
      <c r="A71">
        <f t="shared" si="1"/>
        <v>22</v>
      </c>
      <c r="B71" s="95">
        <v>20</v>
      </c>
      <c r="C71" s="94">
        <f>IF($B71&gt;20,IF(EIOPA_RFR!C32&lt;0%,EIOPA_RFR!C32,EIOPA_RFR!C32*(1+VLOOKUP($B$71,Int_Rate_Param,3,FALSE))),IF(EIOPA_RFR!C32&lt;0%,EIOPA_RFR!C32,EIOPA_RFR!C32*(1+VLOOKUP($B71,Int_Rate_Param,3,FALSE))))</f>
        <v>8.8891999999999999E-3</v>
      </c>
      <c r="D71" s="94">
        <f>IF($B71&gt;20,IF(EIOPA_RFR!D32&lt;0%,EIOPA_RFR!D32,EIOPA_RFR!D32*(1+VLOOKUP($B$71,Int_Rate_Param,3,FALSE))),IF(EIOPA_RFR!D32&lt;0%,EIOPA_RFR!D32,EIOPA_RFR!D32*(1+VLOOKUP($B71,Int_Rate_Param,3,FALSE))))</f>
        <v>8.8891999999999999E-3</v>
      </c>
      <c r="E71" s="94">
        <f>IF($B71&gt;20,IF(EIOPA_RFR!E32&lt;0%,EIOPA_RFR!E32,EIOPA_RFR!E32*(1+VLOOKUP($B$71,Int_Rate_Param,3,FALSE))),IF(EIOPA_RFR!E32&lt;0%,EIOPA_RFR!E32,EIOPA_RFR!E32*(1+VLOOKUP($B71,Int_Rate_Param,3,FALSE))))</f>
        <v>8.8891999999999999E-3</v>
      </c>
      <c r="F71" s="94">
        <f>IF($B71&gt;20,IF(EIOPA_RFR!F32&lt;0%,EIOPA_RFR!F32,EIOPA_RFR!F32*(1+VLOOKUP($B$71,Int_Rate_Param,3,FALSE))),IF(EIOPA_RFR!F32&lt;0%,EIOPA_RFR!F32,EIOPA_RFR!F32*(1+VLOOKUP($B71,Int_Rate_Param,3,FALSE))))</f>
        <v>8.5199999999999998E-3</v>
      </c>
      <c r="G71" s="94">
        <f>IF($B71&gt;20,IF(EIOPA_RFR!G32&lt;0%,EIOPA_RFR!G32,EIOPA_RFR!G32*(1+VLOOKUP($B$71,Int_Rate_Param,3,FALSE))),IF(EIOPA_RFR!G32&lt;0%,EIOPA_RFR!G32,EIOPA_RFR!G32*(1+VLOOKUP($B71,Int_Rate_Param,3,FALSE))))</f>
        <v>2.3863099999999998E-2</v>
      </c>
      <c r="H71" s="94">
        <f>IF($B71&gt;20,IF(EIOPA_RFR!H32&lt;0%,EIOPA_RFR!H32,EIOPA_RFR!H32*(1+VLOOKUP($B$71,Int_Rate_Param,3,FALSE))),IF(EIOPA_RFR!H32&lt;0%,EIOPA_RFR!H32,EIOPA_RFR!H32*(1+VLOOKUP($B71,Int_Rate_Param,3,FALSE))))</f>
        <v>8.8891999999999999E-3</v>
      </c>
      <c r="I71" s="94">
        <f>IF($B71&gt;20,IF(EIOPA_RFR!I32&lt;0%,EIOPA_RFR!I32,EIOPA_RFR!I32*(1+VLOOKUP($B$71,Int_Rate_Param,3,FALSE))),IF(EIOPA_RFR!I32&lt;0%,EIOPA_RFR!I32,EIOPA_RFR!I32*(1+VLOOKUP($B71,Int_Rate_Param,3,FALSE))))</f>
        <v>1.18286E-2</v>
      </c>
      <c r="J71" s="94">
        <f>IF($B71&gt;20,IF(EIOPA_RFR!J32&lt;0%,EIOPA_RFR!J32,EIOPA_RFR!J32*(1+VLOOKUP($B$71,Int_Rate_Param,3,FALSE))),IF(EIOPA_RFR!J32&lt;0%,EIOPA_RFR!J32,EIOPA_RFR!J32*(1+VLOOKUP($B71,Int_Rate_Param,3,FALSE))))</f>
        <v>8.8182E-3</v>
      </c>
      <c r="K71" s="94">
        <f>IF($B71&gt;20,IF(EIOPA_RFR!K32&lt;0%,EIOPA_RFR!K32,EIOPA_RFR!K32*(1+VLOOKUP($B$71,Int_Rate_Param,3,FALSE))),IF(EIOPA_RFR!K32&lt;0%,EIOPA_RFR!K32,EIOPA_RFR!K32*(1+VLOOKUP($B71,Int_Rate_Param,3,FALSE))))</f>
        <v>8.8891999999999999E-3</v>
      </c>
      <c r="L71" s="94">
        <f>IF($B71&gt;20,IF(EIOPA_RFR!L32&lt;0%,EIOPA_RFR!L32,EIOPA_RFR!L32*(1+VLOOKUP($B$71,Int_Rate_Param,3,FALSE))),IF(EIOPA_RFR!L32&lt;0%,EIOPA_RFR!L32,EIOPA_RFR!L32*(1+VLOOKUP($B71,Int_Rate_Param,3,FALSE))))</f>
        <v>8.8891999999999999E-3</v>
      </c>
      <c r="M71" s="94">
        <f>IF($B71&gt;20,IF(EIOPA_RFR!M32&lt;0%,EIOPA_RFR!M32,EIOPA_RFR!M32*(1+VLOOKUP($B$71,Int_Rate_Param,3,FALSE))),IF(EIOPA_RFR!M32&lt;0%,EIOPA_RFR!M32,EIOPA_RFR!M32*(1+VLOOKUP($B71,Int_Rate_Param,3,FALSE))))</f>
        <v>8.8891999999999999E-3</v>
      </c>
      <c r="N71" s="94">
        <f>IF($B71&gt;20,IF(EIOPA_RFR!N32&lt;0%,EIOPA_RFR!N32,EIOPA_RFR!N32*(1+VLOOKUP($B$71,Int_Rate_Param,3,FALSE))),IF(EIOPA_RFR!N32&lt;0%,EIOPA_RFR!N32,EIOPA_RFR!N32*(1+VLOOKUP($B71,Int_Rate_Param,3,FALSE))))</f>
        <v>8.8891999999999999E-3</v>
      </c>
      <c r="O71" s="94">
        <f>IF($B71&gt;20,IF(EIOPA_RFR!O32&lt;0%,EIOPA_RFR!O32,EIOPA_RFR!O32*(1+VLOOKUP($B$71,Int_Rate_Param,3,FALSE))),IF(EIOPA_RFR!O32&lt;0%,EIOPA_RFR!O32,EIOPA_RFR!O32*(1+VLOOKUP($B71,Int_Rate_Param,3,FALSE))))</f>
        <v>8.8891999999999999E-3</v>
      </c>
      <c r="P71" s="94">
        <f>IF($B71&gt;20,IF(EIOPA_RFR!P32&lt;0%,EIOPA_RFR!P32,EIOPA_RFR!P32*(1+VLOOKUP($B$71,Int_Rate_Param,3,FALSE))),IF(EIOPA_RFR!P32&lt;0%,EIOPA_RFR!P32,EIOPA_RFR!P32*(1+VLOOKUP($B71,Int_Rate_Param,3,FALSE))))</f>
        <v>2.96709E-2</v>
      </c>
      <c r="Q71" s="94">
        <f>IF($B71&gt;20,IF(EIOPA_RFR!Q32&lt;0%,EIOPA_RFR!Q32,EIOPA_RFR!Q32*(1+VLOOKUP($B$71,Int_Rate_Param,3,FALSE))),IF(EIOPA_RFR!Q32&lt;0%,EIOPA_RFR!Q32,EIOPA_RFR!Q32*(1+VLOOKUP($B71,Int_Rate_Param,3,FALSE))))</f>
        <v>3.2951099999999997E-2</v>
      </c>
      <c r="R71" s="94">
        <f>IF($B71&gt;20,IF(EIOPA_RFR!R32&lt;0%,EIOPA_RFR!R32,EIOPA_RFR!R32*(1+VLOOKUP($B$71,Int_Rate_Param,3,FALSE))),IF(EIOPA_RFR!R32&lt;0%,EIOPA_RFR!R32,EIOPA_RFR!R32*(1+VLOOKUP($B71,Int_Rate_Param,3,FALSE))))</f>
        <v>8.8891999999999999E-3</v>
      </c>
      <c r="S71" s="94">
        <f>IF($B71&gt;20,IF(EIOPA_RFR!S32&lt;0%,EIOPA_RFR!S32,EIOPA_RFR!S32*(1+VLOOKUP($B$71,Int_Rate_Param,3,FALSE))),IF(EIOPA_RFR!S32&lt;0%,EIOPA_RFR!S32,EIOPA_RFR!S32*(1+VLOOKUP($B71,Int_Rate_Param,3,FALSE))))</f>
        <v>8.8891999999999999E-3</v>
      </c>
      <c r="T71" s="94">
        <f>IF($B71&gt;20,IF(EIOPA_RFR!T32&lt;0%,EIOPA_RFR!T32,EIOPA_RFR!T32*(1+VLOOKUP($B$71,Int_Rate_Param,3,FALSE))),IF(EIOPA_RFR!T32&lt;0%,EIOPA_RFR!T32,EIOPA_RFR!T32*(1+VLOOKUP($B71,Int_Rate_Param,3,FALSE))))</f>
        <v>8.8891999999999999E-3</v>
      </c>
      <c r="U71" s="94">
        <f>IF($B71&gt;20,IF(EIOPA_RFR!U32&lt;0%,EIOPA_RFR!U32,EIOPA_RFR!U32*(1+VLOOKUP($B$71,Int_Rate_Param,3,FALSE))),IF(EIOPA_RFR!U32&lt;0%,EIOPA_RFR!U32,EIOPA_RFR!U32*(1+VLOOKUP($B71,Int_Rate_Param,3,FALSE))))</f>
        <v>2.9891000000000002E-3</v>
      </c>
      <c r="V71" s="94">
        <f>IF($B71&gt;20,IF(EIOPA_RFR!V32&lt;0%,EIOPA_RFR!V32,EIOPA_RFR!V32*(1+VLOOKUP($B$71,Int_Rate_Param,3,FALSE))),IF(EIOPA_RFR!V32&lt;0%,EIOPA_RFR!V32,EIOPA_RFR!V32*(1+VLOOKUP($B71,Int_Rate_Param,3,FALSE))))</f>
        <v>8.8891999999999999E-3</v>
      </c>
      <c r="W71" s="94">
        <f>IF($B71&gt;20,IF(EIOPA_RFR!W32&lt;0%,EIOPA_RFR!W32,EIOPA_RFR!W32*(1+VLOOKUP($B$71,Int_Rate_Param,3,FALSE))),IF(EIOPA_RFR!W32&lt;0%,EIOPA_RFR!W32,EIOPA_RFR!W32*(1+VLOOKUP($B71,Int_Rate_Param,3,FALSE))))</f>
        <v>8.8891999999999999E-3</v>
      </c>
      <c r="X71" s="94">
        <f>IF($B71&gt;20,IF(EIOPA_RFR!X32&lt;0%,EIOPA_RFR!X32,EIOPA_RFR!X32*(1+VLOOKUP($B$71,Int_Rate_Param,3,FALSE))),IF(EIOPA_RFR!X32&lt;0%,EIOPA_RFR!X32,EIOPA_RFR!X32*(1+VLOOKUP($B71,Int_Rate_Param,3,FALSE))))</f>
        <v>8.8891999999999999E-3</v>
      </c>
      <c r="Y71" s="94">
        <f>IF($B71&gt;20,IF(EIOPA_RFR!Y32&lt;0%,EIOPA_RFR!Y32,EIOPA_RFR!Y32*(1+VLOOKUP($B$71,Int_Rate_Param,3,FALSE))),IF(EIOPA_RFR!Y32&lt;0%,EIOPA_RFR!Y32,EIOPA_RFR!Y32*(1+VLOOKUP($B71,Int_Rate_Param,3,FALSE))))</f>
        <v>8.8891999999999999E-3</v>
      </c>
      <c r="Z71" s="94">
        <f>IF($B71&gt;20,IF(EIOPA_RFR!Z32&lt;0%,EIOPA_RFR!Z32,EIOPA_RFR!Z32*(1+VLOOKUP($B$71,Int_Rate_Param,3,FALSE))),IF(EIOPA_RFR!Z32&lt;0%,EIOPA_RFR!Z32,EIOPA_RFR!Z32*(1+VLOOKUP($B71,Int_Rate_Param,3,FALSE))))</f>
        <v>1.77713E-2</v>
      </c>
      <c r="AA71" s="94">
        <f>IF($B71&gt;20,IF(EIOPA_RFR!AA32&lt;0%,EIOPA_RFR!AA32,EIOPA_RFR!AA32*(1+VLOOKUP($B$71,Int_Rate_Param,3,FALSE))),IF(EIOPA_RFR!AA32&lt;0%,EIOPA_RFR!AA32,EIOPA_RFR!AA32*(1+VLOOKUP($B71,Int_Rate_Param,3,FALSE))))</f>
        <v>2.7512499999999999E-2</v>
      </c>
      <c r="AB71" s="94">
        <f>IF($B71&gt;20,IF(EIOPA_RFR!AB32&lt;0%,EIOPA_RFR!AB32,EIOPA_RFR!AB32*(1+VLOOKUP($B$71,Int_Rate_Param,3,FALSE))),IF(EIOPA_RFR!AB32&lt;0%,EIOPA_RFR!AB32,EIOPA_RFR!AB32*(1+VLOOKUP($B71,Int_Rate_Param,3,FALSE))))</f>
        <v>8.8891999999999999E-3</v>
      </c>
      <c r="AC71" s="94">
        <f>IF($B71&gt;20,IF(EIOPA_RFR!AC32&lt;0%,EIOPA_RFR!AC32,EIOPA_RFR!AC32*(1+VLOOKUP($B$71,Int_Rate_Param,3,FALSE))),IF(EIOPA_RFR!AC32&lt;0%,EIOPA_RFR!AC32,EIOPA_RFR!AC32*(1+VLOOKUP($B71,Int_Rate_Param,3,FALSE))))</f>
        <v>3.0941799999999998E-2</v>
      </c>
      <c r="AD71" s="94">
        <f>IF($B71&gt;20,IF(EIOPA_RFR!AD32&lt;0%,EIOPA_RFR!AD32,EIOPA_RFR!AD32*(1+VLOOKUP($B$71,Int_Rate_Param,3,FALSE))),IF(EIOPA_RFR!AD32&lt;0%,EIOPA_RFR!AD32,EIOPA_RFR!AD32*(1+VLOOKUP($B71,Int_Rate_Param,3,FALSE))))</f>
        <v>4.7939199999999994E-2</v>
      </c>
      <c r="AE71" s="94">
        <f>IF($B71&gt;20,IF(EIOPA_RFR!AE32&lt;0%,EIOPA_RFR!AE32,EIOPA_RFR!AE32*(1+VLOOKUP($B$71,Int_Rate_Param,3,FALSE))),IF(EIOPA_RFR!AE32&lt;0%,EIOPA_RFR!AE32,EIOPA_RFR!AE32*(1+VLOOKUP($B71,Int_Rate_Param,3,FALSE))))</f>
        <v>8.8891999999999999E-3</v>
      </c>
      <c r="AF71" s="94">
        <f>IF($B71&gt;20,IF(EIOPA_RFR!AF32&lt;0%,EIOPA_RFR!AF32,EIOPA_RFR!AF32*(1+VLOOKUP($B$71,Int_Rate_Param,3,FALSE))),IF(EIOPA_RFR!AF32&lt;0%,EIOPA_RFR!AF32,EIOPA_RFR!AF32*(1+VLOOKUP($B71,Int_Rate_Param,3,FALSE))))</f>
        <v>8.8891999999999999E-3</v>
      </c>
      <c r="AG71" s="94">
        <f>IF($B71&gt;20,IF(EIOPA_RFR!AG32&lt;0%,EIOPA_RFR!AG32,EIOPA_RFR!AG32*(1+VLOOKUP($B$71,Int_Rate_Param,3,FALSE))),IF(EIOPA_RFR!AG32&lt;0%,EIOPA_RFR!AG32,EIOPA_RFR!AG32*(1+VLOOKUP($B71,Int_Rate_Param,3,FALSE))))</f>
        <v>8.8891999999999999E-3</v>
      </c>
      <c r="AH71" s="94">
        <f>IF($B71&gt;20,IF(EIOPA_RFR!AH32&lt;0%,EIOPA_RFR!AH32,EIOPA_RFR!AH32*(1+VLOOKUP($B$71,Int_Rate_Param,3,FALSE))),IF(EIOPA_RFR!AH32&lt;0%,EIOPA_RFR!AH32,EIOPA_RFR!AH32*(1+VLOOKUP($B71,Int_Rate_Param,3,FALSE))))</f>
        <v>1.7274299999999999E-2</v>
      </c>
      <c r="AI71" s="94">
        <f>IF($B71&gt;20,IF(EIOPA_RFR!AI32&lt;0%,EIOPA_RFR!AI32,EIOPA_RFR!AI32*(1+VLOOKUP($B$71,Int_Rate_Param,3,FALSE))),IF(EIOPA_RFR!AI32&lt;0%,EIOPA_RFR!AI32,EIOPA_RFR!AI32*(1+VLOOKUP($B71,Int_Rate_Param,3,FALSE))))</f>
        <v>2.9891000000000002E-3</v>
      </c>
      <c r="AJ71" s="94">
        <f>IF($B71&gt;20,IF(EIOPA_RFR!AJ32&lt;0%,EIOPA_RFR!AJ32,EIOPA_RFR!AJ32*(1+VLOOKUP($B$71,Int_Rate_Param,3,FALSE))),IF(EIOPA_RFR!AJ32&lt;0%,EIOPA_RFR!AJ32,EIOPA_RFR!AJ32*(1+VLOOKUP($B71,Int_Rate_Param,3,FALSE))))</f>
        <v>9.2228999999999992E-3</v>
      </c>
      <c r="AK71" s="94">
        <f>IF($B71&gt;20,IF(EIOPA_RFR!AK32&lt;0%,EIOPA_RFR!AK32,EIOPA_RFR!AK32*(1+VLOOKUP($B$71,Int_Rate_Param,3,FALSE))),IF(EIOPA_RFR!AK32&lt;0%,EIOPA_RFR!AK32,EIOPA_RFR!AK32*(1+VLOOKUP($B71,Int_Rate_Param,3,FALSE))))</f>
        <v>2.3025299999999999E-2</v>
      </c>
      <c r="AL71" s="94">
        <f>IF($B71&gt;20,IF(EIOPA_RFR!AL32&lt;0%,EIOPA_RFR!AL32,EIOPA_RFR!AL32*(1+VLOOKUP($B$71,Int_Rate_Param,3,FALSE))),IF(EIOPA_RFR!AL32&lt;0%,EIOPA_RFR!AL32,EIOPA_RFR!AL32*(1+VLOOKUP($B71,Int_Rate_Param,3,FALSE))))</f>
        <v>6.1074199999999995E-2</v>
      </c>
      <c r="AM71" s="94">
        <f>IF($B71&gt;20,IF(EIOPA_RFR!AM32&lt;0%,EIOPA_RFR!AM32,EIOPA_RFR!AM32*(1+VLOOKUP($B$71,Int_Rate_Param,3,FALSE))),IF(EIOPA_RFR!AM32&lt;0%,EIOPA_RFR!AM32,EIOPA_RFR!AM32*(1+VLOOKUP($B71,Int_Rate_Param,3,FALSE))))</f>
        <v>1.6124099999999999E-2</v>
      </c>
      <c r="AN71" s="94">
        <f>IF($B71&gt;20,IF(EIOPA_RFR!AN32&lt;0%,EIOPA_RFR!AN32,EIOPA_RFR!AN32*(1+VLOOKUP($B$71,Int_Rate_Param,3,FALSE))),IF(EIOPA_RFR!AN32&lt;0%,EIOPA_RFR!AN32,EIOPA_RFR!AN32*(1+VLOOKUP($B71,Int_Rate_Param,3,FALSE))))</f>
        <v>2.9919399999999995E-2</v>
      </c>
      <c r="AO71" s="94">
        <f>IF($B71&gt;20,IF(EIOPA_RFR!AO32&lt;0%,EIOPA_RFR!AO32,EIOPA_RFR!AO32*(1+VLOOKUP($B$71,Int_Rate_Param,3,FALSE))),IF(EIOPA_RFR!AO32&lt;0%,EIOPA_RFR!AO32,EIOPA_RFR!AO32*(1+VLOOKUP($B71,Int_Rate_Param,3,FALSE))))</f>
        <v>3.1431699999999993E-2</v>
      </c>
      <c r="AP71" s="94">
        <f>IF($B71&gt;20,IF(EIOPA_RFR!AP32&lt;0%,EIOPA_RFR!AP32,EIOPA_RFR!AP32*(1+VLOOKUP($B$71,Int_Rate_Param,3,FALSE))),IF(EIOPA_RFR!AP32&lt;0%,EIOPA_RFR!AP32,EIOPA_RFR!AP32*(1+VLOOKUP($B71,Int_Rate_Param,3,FALSE))))</f>
        <v>4.3061500000000003E-2</v>
      </c>
      <c r="AQ71" s="94">
        <f>IF($B71&gt;20,IF(EIOPA_RFR!AQ32&lt;0%,EIOPA_RFR!AQ32,EIOPA_RFR!AQ32*(1+VLOOKUP($B$71,Int_Rate_Param,3,FALSE))),IF(EIOPA_RFR!AQ32&lt;0%,EIOPA_RFR!AQ32,EIOPA_RFR!AQ32*(1+VLOOKUP($B71,Int_Rate_Param,3,FALSE))))</f>
        <v>1.86517E-2</v>
      </c>
      <c r="AR71" s="94">
        <f>IF($B71&gt;20,IF(EIOPA_RFR!AR32&lt;0%,EIOPA_RFR!AR32,EIOPA_RFR!AR32*(1+VLOOKUP($B$71,Int_Rate_Param,3,FALSE))),IF(EIOPA_RFR!AR32&lt;0%,EIOPA_RFR!AR32,EIOPA_RFR!AR32*(1+VLOOKUP($B71,Int_Rate_Param,3,FALSE))))</f>
        <v>4.7655199999999995E-2</v>
      </c>
      <c r="AS71" s="94">
        <f>IF($B71&gt;20,IF(EIOPA_RFR!AS32&lt;0%,EIOPA_RFR!AS32,EIOPA_RFR!AS32*(1+VLOOKUP($B$71,Int_Rate_Param,3,FALSE))),IF(EIOPA_RFR!AS32&lt;0%,EIOPA_RFR!AS32,EIOPA_RFR!AS32*(1+VLOOKUP($B71,Int_Rate_Param,3,FALSE))))</f>
        <v>4.2386999999999998E-3</v>
      </c>
      <c r="AT71" s="94">
        <f>IF($B71&gt;20,IF(EIOPA_RFR!AT32&lt;0%,EIOPA_RFR!AT32,EIOPA_RFR!AT32*(1+VLOOKUP($B$71,Int_Rate_Param,3,FALSE))),IF(EIOPA_RFR!AT32&lt;0%,EIOPA_RFR!AT32,EIOPA_RFR!AT32*(1+VLOOKUP($B71,Int_Rate_Param,3,FALSE))))</f>
        <v>3.0849500000000002E-2</v>
      </c>
      <c r="AU71" s="94">
        <f>IF($B71&gt;20,IF(EIOPA_RFR!AU32&lt;0%,EIOPA_RFR!AU32,EIOPA_RFR!AU32*(1+VLOOKUP($B$71,Int_Rate_Param,3,FALSE))),IF(EIOPA_RFR!AU32&lt;0%,EIOPA_RFR!AU32,EIOPA_RFR!AU32*(1+VLOOKUP($B71,Int_Rate_Param,3,FALSE))))</f>
        <v>5.6359800000000002E-2</v>
      </c>
      <c r="AV71" s="94">
        <f>IF($B71&gt;20,IF(EIOPA_RFR!AV32&lt;0%,EIOPA_RFR!AV32,EIOPA_RFR!AV32*(1+VLOOKUP($B$71,Int_Rate_Param,3,FALSE))),IF(EIOPA_RFR!AV32&lt;0%,EIOPA_RFR!AV32,EIOPA_RFR!AV32*(1+VLOOKUP($B71,Int_Rate_Param,3,FALSE))))</f>
        <v>2.8101799999999996E-2</v>
      </c>
      <c r="AW71" s="94">
        <f>IF($B71&gt;20,IF(EIOPA_RFR!AW32&lt;0%,EIOPA_RFR!AW32,EIOPA_RFR!AW32*(1+VLOOKUP($B$71,Int_Rate_Param,3,FALSE))),IF(EIOPA_RFR!AW32&lt;0%,EIOPA_RFR!AW32,EIOPA_RFR!AW32*(1+VLOOKUP($B71,Int_Rate_Param,3,FALSE))))</f>
        <v>1.9056399999999998E-2</v>
      </c>
      <c r="AX71" s="94">
        <f>IF($B71&gt;20,IF(EIOPA_RFR!AX32&lt;0%,EIOPA_RFR!AX32,EIOPA_RFR!AX32*(1+VLOOKUP($B$71,Int_Rate_Param,3,FALSE))),IF(EIOPA_RFR!AX32&lt;0%,EIOPA_RFR!AX32,EIOPA_RFR!AX32*(1+VLOOKUP($B71,Int_Rate_Param,3,FALSE))))</f>
        <v>5.8390399999999995E-2</v>
      </c>
      <c r="AY71" s="94">
        <f>IF($B71&gt;20,IF(EIOPA_RFR!AY32&lt;0%,EIOPA_RFR!AY32,EIOPA_RFR!AY32*(1+VLOOKUP($B$71,Int_Rate_Param,3,FALSE))),IF(EIOPA_RFR!AY32&lt;0%,EIOPA_RFR!AY32,EIOPA_RFR!AY32*(1+VLOOKUP($B71,Int_Rate_Param,3,FALSE))))</f>
        <v>1.3042700000000001E-2</v>
      </c>
      <c r="AZ71" s="94">
        <f>IF($B71&gt;20,IF(EIOPA_RFR!AZ32&lt;0%,EIOPA_RFR!AZ32,EIOPA_RFR!AZ32*(1+VLOOKUP($B$71,Int_Rate_Param,3,FALSE))),IF(EIOPA_RFR!AZ32&lt;0%,EIOPA_RFR!AZ32,EIOPA_RFR!AZ32*(1+VLOOKUP($B71,Int_Rate_Param,3,FALSE))))</f>
        <v>1.37314E-2</v>
      </c>
      <c r="BA71" s="94">
        <f>IF($B71&gt;20,IF(EIOPA_RFR!BA32&lt;0%,EIOPA_RFR!BA32,EIOPA_RFR!BA32*(1+VLOOKUP($B$71,Int_Rate_Param,3,FALSE))),IF(EIOPA_RFR!BA32&lt;0%,EIOPA_RFR!BA32,EIOPA_RFR!BA32*(1+VLOOKUP($B71,Int_Rate_Param,3,FALSE))))</f>
        <v>2.1285799999999997E-2</v>
      </c>
      <c r="BB71" s="94">
        <f>IF($B71&gt;20,IF(EIOPA_RFR!BB32&lt;0%,EIOPA_RFR!BB32,EIOPA_RFR!BB32*(1+VLOOKUP($B$71,Int_Rate_Param,3,FALSE))),IF(EIOPA_RFR!BB32&lt;0%,EIOPA_RFR!BB32,EIOPA_RFR!BB32*(1+VLOOKUP($B71,Int_Rate_Param,3,FALSE))))</f>
        <v>6.4453799999999992E-2</v>
      </c>
      <c r="BC71" s="94">
        <f>IF($B71&gt;20,IF(EIOPA_RFR!BC32&lt;0%,EIOPA_RFR!BC32,EIOPA_RFR!BC32*(1+VLOOKUP($B$71,Int_Rate_Param,3,FALSE))),IF(EIOPA_RFR!BC32&lt;0%,EIOPA_RFR!BC32,EIOPA_RFR!BC32*(1+VLOOKUP($B71,Int_Rate_Param,3,FALSE))))</f>
        <v>1.7884899999999999E-2</v>
      </c>
    </row>
    <row r="72" spans="1:55" x14ac:dyDescent="0.25">
      <c r="A72">
        <f t="shared" si="1"/>
        <v>23</v>
      </c>
      <c r="B72" s="95">
        <v>21</v>
      </c>
      <c r="C72" s="94">
        <f>IF($B72&gt;20,IF(EIOPA_RFR!C33&lt;0%,EIOPA_RFR!C33,EIOPA_RFR!C33*(1+VLOOKUP($B$71,Int_Rate_Param,3,FALSE))),IF(EIOPA_RFR!C33&lt;0%,EIOPA_RFR!C33,EIOPA_RFR!C33*(1+VLOOKUP($B72,Int_Rate_Param,3,FALSE))))</f>
        <v>9.2512999999999988E-3</v>
      </c>
      <c r="D72" s="94">
        <f>IF($B72&gt;20,IF(EIOPA_RFR!D33&lt;0%,EIOPA_RFR!D33,EIOPA_RFR!D33*(1+VLOOKUP($B$71,Int_Rate_Param,3,FALSE))),IF(EIOPA_RFR!D33&lt;0%,EIOPA_RFR!D33,EIOPA_RFR!D33*(1+VLOOKUP($B72,Int_Rate_Param,3,FALSE))))</f>
        <v>9.2512999999999988E-3</v>
      </c>
      <c r="E72" s="94">
        <f>IF($B72&gt;20,IF(EIOPA_RFR!E33&lt;0%,EIOPA_RFR!E33,EIOPA_RFR!E33*(1+VLOOKUP($B$71,Int_Rate_Param,3,FALSE))),IF(EIOPA_RFR!E33&lt;0%,EIOPA_RFR!E33,EIOPA_RFR!E33*(1+VLOOKUP($B72,Int_Rate_Param,3,FALSE))))</f>
        <v>9.2512999999999988E-3</v>
      </c>
      <c r="F72" s="94">
        <f>IF($B72&gt;20,IF(EIOPA_RFR!F33&lt;0%,EIOPA_RFR!F33,EIOPA_RFR!F33*(1+VLOOKUP($B$71,Int_Rate_Param,3,FALSE))),IF(EIOPA_RFR!F33&lt;0%,EIOPA_RFR!F33,EIOPA_RFR!F33*(1+VLOOKUP($B72,Int_Rate_Param,3,FALSE))))</f>
        <v>8.8821000000000004E-3</v>
      </c>
      <c r="G72" s="94">
        <f>IF($B72&gt;20,IF(EIOPA_RFR!G33&lt;0%,EIOPA_RFR!G33,EIOPA_RFR!G33*(1+VLOOKUP($B$71,Int_Rate_Param,3,FALSE))),IF(EIOPA_RFR!G33&lt;0%,EIOPA_RFR!G33,EIOPA_RFR!G33*(1+VLOOKUP($B72,Int_Rate_Param,3,FALSE))))</f>
        <v>2.4069E-2</v>
      </c>
      <c r="H72" s="94">
        <f>IF($B72&gt;20,IF(EIOPA_RFR!H33&lt;0%,EIOPA_RFR!H33,EIOPA_RFR!H33*(1+VLOOKUP($B$71,Int_Rate_Param,3,FALSE))),IF(EIOPA_RFR!H33&lt;0%,EIOPA_RFR!H33,EIOPA_RFR!H33*(1+VLOOKUP($B72,Int_Rate_Param,3,FALSE))))</f>
        <v>9.2512999999999988E-3</v>
      </c>
      <c r="I72" s="94">
        <f>IF($B72&gt;20,IF(EIOPA_RFR!I33&lt;0%,EIOPA_RFR!I33,EIOPA_RFR!I33*(1+VLOOKUP($B$71,Int_Rate_Param,3,FALSE))),IF(EIOPA_RFR!I33&lt;0%,EIOPA_RFR!I33,EIOPA_RFR!I33*(1+VLOOKUP($B72,Int_Rate_Param,3,FALSE))))</f>
        <v>1.2346899999999999E-2</v>
      </c>
      <c r="J72" s="94">
        <f>IF($B72&gt;20,IF(EIOPA_RFR!J33&lt;0%,EIOPA_RFR!J33,EIOPA_RFR!J33*(1+VLOOKUP($B$71,Int_Rate_Param,3,FALSE))),IF(EIOPA_RFR!J33&lt;0%,EIOPA_RFR!J33,EIOPA_RFR!J33*(1+VLOOKUP($B72,Int_Rate_Param,3,FALSE))))</f>
        <v>9.1731999999999994E-3</v>
      </c>
      <c r="K72" s="94">
        <f>IF($B72&gt;20,IF(EIOPA_RFR!K33&lt;0%,EIOPA_RFR!K33,EIOPA_RFR!K33*(1+VLOOKUP($B$71,Int_Rate_Param,3,FALSE))),IF(EIOPA_RFR!K33&lt;0%,EIOPA_RFR!K33,EIOPA_RFR!K33*(1+VLOOKUP($B72,Int_Rate_Param,3,FALSE))))</f>
        <v>9.2512999999999988E-3</v>
      </c>
      <c r="L72" s="94">
        <f>IF($B72&gt;20,IF(EIOPA_RFR!L33&lt;0%,EIOPA_RFR!L33,EIOPA_RFR!L33*(1+VLOOKUP($B$71,Int_Rate_Param,3,FALSE))),IF(EIOPA_RFR!L33&lt;0%,EIOPA_RFR!L33,EIOPA_RFR!L33*(1+VLOOKUP($B72,Int_Rate_Param,3,FALSE))))</f>
        <v>9.2512999999999988E-3</v>
      </c>
      <c r="M72" s="94">
        <f>IF($B72&gt;20,IF(EIOPA_RFR!M33&lt;0%,EIOPA_RFR!M33,EIOPA_RFR!M33*(1+VLOOKUP($B$71,Int_Rate_Param,3,FALSE))),IF(EIOPA_RFR!M33&lt;0%,EIOPA_RFR!M33,EIOPA_RFR!M33*(1+VLOOKUP($B72,Int_Rate_Param,3,FALSE))))</f>
        <v>9.2512999999999988E-3</v>
      </c>
      <c r="N72" s="94">
        <f>IF($B72&gt;20,IF(EIOPA_RFR!N33&lt;0%,EIOPA_RFR!N33,EIOPA_RFR!N33*(1+VLOOKUP($B$71,Int_Rate_Param,3,FALSE))),IF(EIOPA_RFR!N33&lt;0%,EIOPA_RFR!N33,EIOPA_RFR!N33*(1+VLOOKUP($B72,Int_Rate_Param,3,FALSE))))</f>
        <v>9.2512999999999988E-3</v>
      </c>
      <c r="O72" s="94">
        <f>IF($B72&gt;20,IF(EIOPA_RFR!O33&lt;0%,EIOPA_RFR!O33,EIOPA_RFR!O33*(1+VLOOKUP($B$71,Int_Rate_Param,3,FALSE))),IF(EIOPA_RFR!O33&lt;0%,EIOPA_RFR!O33,EIOPA_RFR!O33*(1+VLOOKUP($B72,Int_Rate_Param,3,FALSE))))</f>
        <v>9.2512999999999988E-3</v>
      </c>
      <c r="P72" s="94">
        <f>IF($B72&gt;20,IF(EIOPA_RFR!P33&lt;0%,EIOPA_RFR!P33,EIOPA_RFR!P33*(1+VLOOKUP($B$71,Int_Rate_Param,3,FALSE))),IF(EIOPA_RFR!P33&lt;0%,EIOPA_RFR!P33,EIOPA_RFR!P33*(1+VLOOKUP($B72,Int_Rate_Param,3,FALSE))))</f>
        <v>2.9912299999999999E-2</v>
      </c>
      <c r="Q72" s="94">
        <f>IF($B72&gt;20,IF(EIOPA_RFR!Q33&lt;0%,EIOPA_RFR!Q33,EIOPA_RFR!Q33*(1+VLOOKUP($B$71,Int_Rate_Param,3,FALSE))),IF(EIOPA_RFR!Q33&lt;0%,EIOPA_RFR!Q33,EIOPA_RFR!Q33*(1+VLOOKUP($B72,Int_Rate_Param,3,FALSE))))</f>
        <v>3.2872999999999999E-2</v>
      </c>
      <c r="R72" s="94">
        <f>IF($B72&gt;20,IF(EIOPA_RFR!R33&lt;0%,EIOPA_RFR!R33,EIOPA_RFR!R33*(1+VLOOKUP($B$71,Int_Rate_Param,3,FALSE))),IF(EIOPA_RFR!R33&lt;0%,EIOPA_RFR!R33,EIOPA_RFR!R33*(1+VLOOKUP($B72,Int_Rate_Param,3,FALSE))))</f>
        <v>9.2512999999999988E-3</v>
      </c>
      <c r="S72" s="94">
        <f>IF($B72&gt;20,IF(EIOPA_RFR!S33&lt;0%,EIOPA_RFR!S33,EIOPA_RFR!S33*(1+VLOOKUP($B$71,Int_Rate_Param,3,FALSE))),IF(EIOPA_RFR!S33&lt;0%,EIOPA_RFR!S33,EIOPA_RFR!S33*(1+VLOOKUP($B72,Int_Rate_Param,3,FALSE))))</f>
        <v>9.2512999999999988E-3</v>
      </c>
      <c r="T72" s="94">
        <f>IF($B72&gt;20,IF(EIOPA_RFR!T33&lt;0%,EIOPA_RFR!T33,EIOPA_RFR!T33*(1+VLOOKUP($B$71,Int_Rate_Param,3,FALSE))),IF(EIOPA_RFR!T33&lt;0%,EIOPA_RFR!T33,EIOPA_RFR!T33*(1+VLOOKUP($B72,Int_Rate_Param,3,FALSE))))</f>
        <v>9.2512999999999988E-3</v>
      </c>
      <c r="U72" s="94">
        <f>IF($B72&gt;20,IF(EIOPA_RFR!U33&lt;0%,EIOPA_RFR!U33,EIOPA_RFR!U33*(1+VLOOKUP($B$71,Int_Rate_Param,3,FALSE))),IF(EIOPA_RFR!U33&lt;0%,EIOPA_RFR!U33,EIOPA_RFR!U33*(1+VLOOKUP($B72,Int_Rate_Param,3,FALSE))))</f>
        <v>3.0600999999999996E-3</v>
      </c>
      <c r="V72" s="94">
        <f>IF($B72&gt;20,IF(EIOPA_RFR!V33&lt;0%,EIOPA_RFR!V33,EIOPA_RFR!V33*(1+VLOOKUP($B$71,Int_Rate_Param,3,FALSE))),IF(EIOPA_RFR!V33&lt;0%,EIOPA_RFR!V33,EIOPA_RFR!V33*(1+VLOOKUP($B72,Int_Rate_Param,3,FALSE))))</f>
        <v>9.2512999999999988E-3</v>
      </c>
      <c r="W72" s="94">
        <f>IF($B72&gt;20,IF(EIOPA_RFR!W33&lt;0%,EIOPA_RFR!W33,EIOPA_RFR!W33*(1+VLOOKUP($B$71,Int_Rate_Param,3,FALSE))),IF(EIOPA_RFR!W33&lt;0%,EIOPA_RFR!W33,EIOPA_RFR!W33*(1+VLOOKUP($B72,Int_Rate_Param,3,FALSE))))</f>
        <v>9.2512999999999988E-3</v>
      </c>
      <c r="X72" s="94">
        <f>IF($B72&gt;20,IF(EIOPA_RFR!X33&lt;0%,EIOPA_RFR!X33,EIOPA_RFR!X33*(1+VLOOKUP($B$71,Int_Rate_Param,3,FALSE))),IF(EIOPA_RFR!X33&lt;0%,EIOPA_RFR!X33,EIOPA_RFR!X33*(1+VLOOKUP($B72,Int_Rate_Param,3,FALSE))))</f>
        <v>9.2512999999999988E-3</v>
      </c>
      <c r="Y72" s="94">
        <f>IF($B72&gt;20,IF(EIOPA_RFR!Y33&lt;0%,EIOPA_RFR!Y33,EIOPA_RFR!Y33*(1+VLOOKUP($B$71,Int_Rate_Param,3,FALSE))),IF(EIOPA_RFR!Y33&lt;0%,EIOPA_RFR!Y33,EIOPA_RFR!Y33*(1+VLOOKUP($B72,Int_Rate_Param,3,FALSE))))</f>
        <v>9.2512999999999988E-3</v>
      </c>
      <c r="Z72" s="94">
        <f>IF($B72&gt;20,IF(EIOPA_RFR!Z33&lt;0%,EIOPA_RFR!Z33,EIOPA_RFR!Z33*(1+VLOOKUP($B$71,Int_Rate_Param,3,FALSE))),IF(EIOPA_RFR!Z33&lt;0%,EIOPA_RFR!Z33,EIOPA_RFR!Z33*(1+VLOOKUP($B72,Int_Rate_Param,3,FALSE))))</f>
        <v>1.8154699999999999E-2</v>
      </c>
      <c r="AA72" s="94">
        <f>IF($B72&gt;20,IF(EIOPA_RFR!AA33&lt;0%,EIOPA_RFR!AA33,EIOPA_RFR!AA33*(1+VLOOKUP($B$71,Int_Rate_Param,3,FALSE))),IF(EIOPA_RFR!AA33&lt;0%,EIOPA_RFR!AA33,EIOPA_RFR!AA33*(1+VLOOKUP($B72,Int_Rate_Param,3,FALSE))))</f>
        <v>2.7668699999999997E-2</v>
      </c>
      <c r="AB72" s="94">
        <f>IF($B72&gt;20,IF(EIOPA_RFR!AB33&lt;0%,EIOPA_RFR!AB33,EIOPA_RFR!AB33*(1+VLOOKUP($B$71,Int_Rate_Param,3,FALSE))),IF(EIOPA_RFR!AB33&lt;0%,EIOPA_RFR!AB33,EIOPA_RFR!AB33*(1+VLOOKUP($B72,Int_Rate_Param,3,FALSE))))</f>
        <v>9.2512999999999988E-3</v>
      </c>
      <c r="AC72" s="94">
        <f>IF($B72&gt;20,IF(EIOPA_RFR!AC33&lt;0%,EIOPA_RFR!AC33,EIOPA_RFR!AC33*(1+VLOOKUP($B$71,Int_Rate_Param,3,FALSE))),IF(EIOPA_RFR!AC33&lt;0%,EIOPA_RFR!AC33,EIOPA_RFR!AC33*(1+VLOOKUP($B72,Int_Rate_Param,3,FALSE))))</f>
        <v>3.10199E-2</v>
      </c>
      <c r="AD72" s="94">
        <f>IF($B72&gt;20,IF(EIOPA_RFR!AD33&lt;0%,EIOPA_RFR!AD33,EIOPA_RFR!AD33*(1+VLOOKUP($B$71,Int_Rate_Param,3,FALSE))),IF(EIOPA_RFR!AD33&lt;0%,EIOPA_RFR!AD33,EIOPA_RFR!AD33*(1+VLOOKUP($B72,Int_Rate_Param,3,FALSE))))</f>
        <v>4.7378299999999998E-2</v>
      </c>
      <c r="AE72" s="94">
        <f>IF($B72&gt;20,IF(EIOPA_RFR!AE33&lt;0%,EIOPA_RFR!AE33,EIOPA_RFR!AE33*(1+VLOOKUP($B$71,Int_Rate_Param,3,FALSE))),IF(EIOPA_RFR!AE33&lt;0%,EIOPA_RFR!AE33,EIOPA_RFR!AE33*(1+VLOOKUP($B72,Int_Rate_Param,3,FALSE))))</f>
        <v>9.2512999999999988E-3</v>
      </c>
      <c r="AF72" s="94">
        <f>IF($B72&gt;20,IF(EIOPA_RFR!AF33&lt;0%,EIOPA_RFR!AF33,EIOPA_RFR!AF33*(1+VLOOKUP($B$71,Int_Rate_Param,3,FALSE))),IF(EIOPA_RFR!AF33&lt;0%,EIOPA_RFR!AF33,EIOPA_RFR!AF33*(1+VLOOKUP($B72,Int_Rate_Param,3,FALSE))))</f>
        <v>9.2512999999999988E-3</v>
      </c>
      <c r="AG72" s="94">
        <f>IF($B72&gt;20,IF(EIOPA_RFR!AG33&lt;0%,EIOPA_RFR!AG33,EIOPA_RFR!AG33*(1+VLOOKUP($B$71,Int_Rate_Param,3,FALSE))),IF(EIOPA_RFR!AG33&lt;0%,EIOPA_RFR!AG33,EIOPA_RFR!AG33*(1+VLOOKUP($B72,Int_Rate_Param,3,FALSE))))</f>
        <v>9.2512999999999988E-3</v>
      </c>
      <c r="AH72" s="94">
        <f>IF($B72&gt;20,IF(EIOPA_RFR!AH33&lt;0%,EIOPA_RFR!AH33,EIOPA_RFR!AH33*(1+VLOOKUP($B$71,Int_Rate_Param,3,FALSE))),IF(EIOPA_RFR!AH33&lt;0%,EIOPA_RFR!AH33,EIOPA_RFR!AH33*(1+VLOOKUP($B72,Int_Rate_Param,3,FALSE))))</f>
        <v>1.7863599999999997E-2</v>
      </c>
      <c r="AI72" s="94">
        <f>IF($B72&gt;20,IF(EIOPA_RFR!AI33&lt;0%,EIOPA_RFR!AI33,EIOPA_RFR!AI33*(1+VLOOKUP($B$71,Int_Rate_Param,3,FALSE))),IF(EIOPA_RFR!AI33&lt;0%,EIOPA_RFR!AI33,EIOPA_RFR!AI33*(1+VLOOKUP($B72,Int_Rate_Param,3,FALSE))))</f>
        <v>3.0600999999999996E-3</v>
      </c>
      <c r="AJ72" s="94">
        <f>IF($B72&gt;20,IF(EIOPA_RFR!AJ33&lt;0%,EIOPA_RFR!AJ33,EIOPA_RFR!AJ33*(1+VLOOKUP($B$71,Int_Rate_Param,3,FALSE))),IF(EIOPA_RFR!AJ33&lt;0%,EIOPA_RFR!AJ33,EIOPA_RFR!AJ33*(1+VLOOKUP($B72,Int_Rate_Param,3,FALSE))))</f>
        <v>9.201599999999999E-3</v>
      </c>
      <c r="AK72" s="94">
        <f>IF($B72&gt;20,IF(EIOPA_RFR!AK33&lt;0%,EIOPA_RFR!AK33,EIOPA_RFR!AK33*(1+VLOOKUP($B$71,Int_Rate_Param,3,FALSE))),IF(EIOPA_RFR!AK33&lt;0%,EIOPA_RFR!AK33,EIOPA_RFR!AK33*(1+VLOOKUP($B72,Int_Rate_Param,3,FALSE))))</f>
        <v>2.31886E-2</v>
      </c>
      <c r="AL72" s="94">
        <f>IF($B72&gt;20,IF(EIOPA_RFR!AL33&lt;0%,EIOPA_RFR!AL33,EIOPA_RFR!AL33*(1+VLOOKUP($B$71,Int_Rate_Param,3,FALSE))),IF(EIOPA_RFR!AL33&lt;0%,EIOPA_RFR!AL33,EIOPA_RFR!AL33*(1+VLOOKUP($B72,Int_Rate_Param,3,FALSE))))</f>
        <v>6.0392599999999998E-2</v>
      </c>
      <c r="AM72" s="94">
        <f>IF($B72&gt;20,IF(EIOPA_RFR!AM33&lt;0%,EIOPA_RFR!AM33,EIOPA_RFR!AM33*(1+VLOOKUP($B$71,Int_Rate_Param,3,FALSE))),IF(EIOPA_RFR!AM33&lt;0%,EIOPA_RFR!AM33,EIOPA_RFR!AM33*(1+VLOOKUP($B72,Int_Rate_Param,3,FALSE))))</f>
        <v>1.6124099999999999E-2</v>
      </c>
      <c r="AN72" s="94">
        <f>IF($B72&gt;20,IF(EIOPA_RFR!AN33&lt;0%,EIOPA_RFR!AN33,EIOPA_RFR!AN33*(1+VLOOKUP($B$71,Int_Rate_Param,3,FALSE))),IF(EIOPA_RFR!AN33&lt;0%,EIOPA_RFR!AN33,EIOPA_RFR!AN33*(1+VLOOKUP($B72,Int_Rate_Param,3,FALSE))))</f>
        <v>2.9976199999999998E-2</v>
      </c>
      <c r="AO72" s="94">
        <f>IF($B72&gt;20,IF(EIOPA_RFR!AO33&lt;0%,EIOPA_RFR!AO33,EIOPA_RFR!AO33*(1+VLOOKUP($B$71,Int_Rate_Param,3,FALSE))),IF(EIOPA_RFR!AO33&lt;0%,EIOPA_RFR!AO33,EIOPA_RFR!AO33*(1+VLOOKUP($B72,Int_Rate_Param,3,FALSE))))</f>
        <v>3.1445899999999999E-2</v>
      </c>
      <c r="AP72" s="94">
        <f>IF($B72&gt;20,IF(EIOPA_RFR!AP33&lt;0%,EIOPA_RFR!AP33,EIOPA_RFR!AP33*(1+VLOOKUP($B$71,Int_Rate_Param,3,FALSE))),IF(EIOPA_RFR!AP33&lt;0%,EIOPA_RFR!AP33,EIOPA_RFR!AP33*(1+VLOOKUP($B72,Int_Rate_Param,3,FALSE))))</f>
        <v>4.2741999999999995E-2</v>
      </c>
      <c r="AQ72" s="94">
        <f>IF($B72&gt;20,IF(EIOPA_RFR!AQ33&lt;0%,EIOPA_RFR!AQ33,EIOPA_RFR!AQ33*(1+VLOOKUP($B$71,Int_Rate_Param,3,FALSE))),IF(EIOPA_RFR!AQ33&lt;0%,EIOPA_RFR!AQ33,EIOPA_RFR!AQ33*(1+VLOOKUP($B72,Int_Rate_Param,3,FALSE))))</f>
        <v>1.8957000000000002E-2</v>
      </c>
      <c r="AR72" s="94">
        <f>IF($B72&gt;20,IF(EIOPA_RFR!AR33&lt;0%,EIOPA_RFR!AR33,EIOPA_RFR!AR33*(1+VLOOKUP($B$71,Int_Rate_Param,3,FALSE))),IF(EIOPA_RFR!AR33&lt;0%,EIOPA_RFR!AR33,EIOPA_RFR!AR33*(1+VLOOKUP($B72,Int_Rate_Param,3,FALSE))))</f>
        <v>4.7413799999999999E-2</v>
      </c>
      <c r="AS72" s="94">
        <f>IF($B72&gt;20,IF(EIOPA_RFR!AS33&lt;0%,EIOPA_RFR!AS33,EIOPA_RFR!AS33*(1+VLOOKUP($B$71,Int_Rate_Param,3,FALSE))),IF(EIOPA_RFR!AS33&lt;0%,EIOPA_RFR!AS33,EIOPA_RFR!AS33*(1+VLOOKUP($B72,Int_Rate_Param,3,FALSE))))</f>
        <v>4.4517000000000003E-3</v>
      </c>
      <c r="AT72" s="94">
        <f>IF($B72&gt;20,IF(EIOPA_RFR!AT33&lt;0%,EIOPA_RFR!AT33,EIOPA_RFR!AT33*(1+VLOOKUP($B$71,Int_Rate_Param,3,FALSE))),IF(EIOPA_RFR!AT33&lt;0%,EIOPA_RFR!AT33,EIOPA_RFR!AT33*(1+VLOOKUP($B72,Int_Rate_Param,3,FALSE))))</f>
        <v>3.0892099999999999E-2</v>
      </c>
      <c r="AU72" s="94">
        <f>IF($B72&gt;20,IF(EIOPA_RFR!AU33&lt;0%,EIOPA_RFR!AU33,EIOPA_RFR!AU33*(1+VLOOKUP($B$71,Int_Rate_Param,3,FALSE))),IF(EIOPA_RFR!AU33&lt;0%,EIOPA_RFR!AU33,EIOPA_RFR!AU33*(1+VLOOKUP($B72,Int_Rate_Param,3,FALSE))))</f>
        <v>5.6345599999999996E-2</v>
      </c>
      <c r="AV72" s="94">
        <f>IF($B72&gt;20,IF(EIOPA_RFR!AV33&lt;0%,EIOPA_RFR!AV33,EIOPA_RFR!AV33*(1+VLOOKUP($B$71,Int_Rate_Param,3,FALSE))),IF(EIOPA_RFR!AV33&lt;0%,EIOPA_RFR!AV33,EIOPA_RFR!AV33*(1+VLOOKUP($B72,Int_Rate_Param,3,FALSE))))</f>
        <v>2.8350299999999998E-2</v>
      </c>
      <c r="AW72" s="94">
        <f>IF($B72&gt;20,IF(EIOPA_RFR!AW33&lt;0%,EIOPA_RFR!AW33,EIOPA_RFR!AW33*(1+VLOOKUP($B$71,Int_Rate_Param,3,FALSE))),IF(EIOPA_RFR!AW33&lt;0%,EIOPA_RFR!AW33,EIOPA_RFR!AW33*(1+VLOOKUP($B72,Int_Rate_Param,3,FALSE))))</f>
        <v>1.9240999999999998E-2</v>
      </c>
      <c r="AX72" s="94">
        <f>IF($B72&gt;20,IF(EIOPA_RFR!AX33&lt;0%,EIOPA_RFR!AX33,EIOPA_RFR!AX33*(1+VLOOKUP($B$71,Int_Rate_Param,3,FALSE))),IF(EIOPA_RFR!AX33&lt;0%,EIOPA_RFR!AX33,EIOPA_RFR!AX33*(1+VLOOKUP($B72,Int_Rate_Param,3,FALSE))))</f>
        <v>5.7936000000000001E-2</v>
      </c>
      <c r="AY72" s="94">
        <f>IF($B72&gt;20,IF(EIOPA_RFR!AY33&lt;0%,EIOPA_RFR!AY33,EIOPA_RFR!AY33*(1+VLOOKUP($B$71,Int_Rate_Param,3,FALSE))),IF(EIOPA_RFR!AY33&lt;0%,EIOPA_RFR!AY33,EIOPA_RFR!AY33*(1+VLOOKUP($B72,Int_Rate_Param,3,FALSE))))</f>
        <v>1.32415E-2</v>
      </c>
      <c r="AZ72" s="94">
        <f>IF($B72&gt;20,IF(EIOPA_RFR!AZ33&lt;0%,EIOPA_RFR!AZ33,EIOPA_RFR!AZ33*(1+VLOOKUP($B$71,Int_Rate_Param,3,FALSE))),IF(EIOPA_RFR!AZ33&lt;0%,EIOPA_RFR!AZ33,EIOPA_RFR!AZ33*(1+VLOOKUP($B72,Int_Rate_Param,3,FALSE))))</f>
        <v>1.4249700000000001E-2</v>
      </c>
      <c r="BA72" s="94">
        <f>IF($B72&gt;20,IF(EIOPA_RFR!BA33&lt;0%,EIOPA_RFR!BA33,EIOPA_RFR!BA33*(1+VLOOKUP($B$71,Int_Rate_Param,3,FALSE))),IF(EIOPA_RFR!BA33&lt;0%,EIOPA_RFR!BA33,EIOPA_RFR!BA33*(1+VLOOKUP($B72,Int_Rate_Param,3,FALSE))))</f>
        <v>2.1548499999999998E-2</v>
      </c>
      <c r="BB72" s="94">
        <f>IF($B72&gt;20,IF(EIOPA_RFR!BB33&lt;0%,EIOPA_RFR!BB33,EIOPA_RFR!BB33*(1+VLOOKUP($B$71,Int_Rate_Param,3,FALSE))),IF(EIOPA_RFR!BB33&lt;0%,EIOPA_RFR!BB33,EIOPA_RFR!BB33*(1+VLOOKUP($B72,Int_Rate_Param,3,FALSE))))</f>
        <v>6.3566299999999992E-2</v>
      </c>
      <c r="BC72" s="94">
        <f>IF($B72&gt;20,IF(EIOPA_RFR!BC33&lt;0%,EIOPA_RFR!BC33,EIOPA_RFR!BC33*(1+VLOOKUP($B$71,Int_Rate_Param,3,FALSE))),IF(EIOPA_RFR!BC33&lt;0%,EIOPA_RFR!BC33,EIOPA_RFR!BC33*(1+VLOOKUP($B72,Int_Rate_Param,3,FALSE))))</f>
        <v>1.7934599999999998E-2</v>
      </c>
    </row>
    <row r="73" spans="1:55" x14ac:dyDescent="0.25">
      <c r="A73">
        <f t="shared" si="1"/>
        <v>24</v>
      </c>
      <c r="B73" s="95">
        <v>22</v>
      </c>
      <c r="C73" s="94">
        <f>IF($B73&gt;20,IF(EIOPA_RFR!C34&lt;0%,EIOPA_RFR!C34,EIOPA_RFR!C34*(1+VLOOKUP($B$71,Int_Rate_Param,3,FALSE))),IF(EIOPA_RFR!C34&lt;0%,EIOPA_RFR!C34,EIOPA_RFR!C34*(1+VLOOKUP($B73,Int_Rate_Param,3,FALSE))))</f>
        <v>9.6559999999999997E-3</v>
      </c>
      <c r="D73" s="94">
        <f>IF($B73&gt;20,IF(EIOPA_RFR!D34&lt;0%,EIOPA_RFR!D34,EIOPA_RFR!D34*(1+VLOOKUP($B$71,Int_Rate_Param,3,FALSE))),IF(EIOPA_RFR!D34&lt;0%,EIOPA_RFR!D34,EIOPA_RFR!D34*(1+VLOOKUP($B73,Int_Rate_Param,3,FALSE))))</f>
        <v>9.6559999999999997E-3</v>
      </c>
      <c r="E73" s="94">
        <f>IF($B73&gt;20,IF(EIOPA_RFR!E34&lt;0%,EIOPA_RFR!E34,EIOPA_RFR!E34*(1+VLOOKUP($B$71,Int_Rate_Param,3,FALSE))),IF(EIOPA_RFR!E34&lt;0%,EIOPA_RFR!E34,EIOPA_RFR!E34*(1+VLOOKUP($B73,Int_Rate_Param,3,FALSE))))</f>
        <v>9.6559999999999997E-3</v>
      </c>
      <c r="F73" s="94">
        <f>IF($B73&gt;20,IF(EIOPA_RFR!F34&lt;0%,EIOPA_RFR!F34,EIOPA_RFR!F34*(1+VLOOKUP($B$71,Int_Rate_Param,3,FALSE))),IF(EIOPA_RFR!F34&lt;0%,EIOPA_RFR!F34,EIOPA_RFR!F34*(1+VLOOKUP($B73,Int_Rate_Param,3,FALSE))))</f>
        <v>9.293899999999999E-3</v>
      </c>
      <c r="G73" s="94">
        <f>IF($B73&gt;20,IF(EIOPA_RFR!G34&lt;0%,EIOPA_RFR!G34,EIOPA_RFR!G34*(1+VLOOKUP($B$71,Int_Rate_Param,3,FALSE))),IF(EIOPA_RFR!G34&lt;0%,EIOPA_RFR!G34,EIOPA_RFR!G34*(1+VLOOKUP($B73,Int_Rate_Param,3,FALSE))))</f>
        <v>2.42607E-2</v>
      </c>
      <c r="H73" s="94">
        <f>IF($B73&gt;20,IF(EIOPA_RFR!H34&lt;0%,EIOPA_RFR!H34,EIOPA_RFR!H34*(1+VLOOKUP($B$71,Int_Rate_Param,3,FALSE))),IF(EIOPA_RFR!H34&lt;0%,EIOPA_RFR!H34,EIOPA_RFR!H34*(1+VLOOKUP($B73,Int_Rate_Param,3,FALSE))))</f>
        <v>9.6559999999999997E-3</v>
      </c>
      <c r="I73" s="94">
        <f>IF($B73&gt;20,IF(EIOPA_RFR!I34&lt;0%,EIOPA_RFR!I34,EIOPA_RFR!I34*(1+VLOOKUP($B$71,Int_Rate_Param,3,FALSE))),IF(EIOPA_RFR!I34&lt;0%,EIOPA_RFR!I34,EIOPA_RFR!I34*(1+VLOOKUP($B73,Int_Rate_Param,3,FALSE))))</f>
        <v>1.2858100000000001E-2</v>
      </c>
      <c r="J73" s="94">
        <f>IF($B73&gt;20,IF(EIOPA_RFR!J34&lt;0%,EIOPA_RFR!J34,EIOPA_RFR!J34*(1+VLOOKUP($B$71,Int_Rate_Param,3,FALSE))),IF(EIOPA_RFR!J34&lt;0%,EIOPA_RFR!J34,EIOPA_RFR!J34*(1+VLOOKUP($B73,Int_Rate_Param,3,FALSE))))</f>
        <v>9.5849999999999998E-3</v>
      </c>
      <c r="K73" s="94">
        <f>IF($B73&gt;20,IF(EIOPA_RFR!K34&lt;0%,EIOPA_RFR!K34,EIOPA_RFR!K34*(1+VLOOKUP($B$71,Int_Rate_Param,3,FALSE))),IF(EIOPA_RFR!K34&lt;0%,EIOPA_RFR!K34,EIOPA_RFR!K34*(1+VLOOKUP($B73,Int_Rate_Param,3,FALSE))))</f>
        <v>9.6559999999999997E-3</v>
      </c>
      <c r="L73" s="94">
        <f>IF($B73&gt;20,IF(EIOPA_RFR!L34&lt;0%,EIOPA_RFR!L34,EIOPA_RFR!L34*(1+VLOOKUP($B$71,Int_Rate_Param,3,FALSE))),IF(EIOPA_RFR!L34&lt;0%,EIOPA_RFR!L34,EIOPA_RFR!L34*(1+VLOOKUP($B73,Int_Rate_Param,3,FALSE))))</f>
        <v>9.6559999999999997E-3</v>
      </c>
      <c r="M73" s="94">
        <f>IF($B73&gt;20,IF(EIOPA_RFR!M34&lt;0%,EIOPA_RFR!M34,EIOPA_RFR!M34*(1+VLOOKUP($B$71,Int_Rate_Param,3,FALSE))),IF(EIOPA_RFR!M34&lt;0%,EIOPA_RFR!M34,EIOPA_RFR!M34*(1+VLOOKUP($B73,Int_Rate_Param,3,FALSE))))</f>
        <v>9.6559999999999997E-3</v>
      </c>
      <c r="N73" s="94">
        <f>IF($B73&gt;20,IF(EIOPA_RFR!N34&lt;0%,EIOPA_RFR!N34,EIOPA_RFR!N34*(1+VLOOKUP($B$71,Int_Rate_Param,3,FALSE))),IF(EIOPA_RFR!N34&lt;0%,EIOPA_RFR!N34,EIOPA_RFR!N34*(1+VLOOKUP($B73,Int_Rate_Param,3,FALSE))))</f>
        <v>9.6559999999999997E-3</v>
      </c>
      <c r="O73" s="94">
        <f>IF($B73&gt;20,IF(EIOPA_RFR!O34&lt;0%,EIOPA_RFR!O34,EIOPA_RFR!O34*(1+VLOOKUP($B$71,Int_Rate_Param,3,FALSE))),IF(EIOPA_RFR!O34&lt;0%,EIOPA_RFR!O34,EIOPA_RFR!O34*(1+VLOOKUP($B73,Int_Rate_Param,3,FALSE))))</f>
        <v>9.6559999999999997E-3</v>
      </c>
      <c r="P73" s="94">
        <f>IF($B73&gt;20,IF(EIOPA_RFR!P34&lt;0%,EIOPA_RFR!P34,EIOPA_RFR!P34*(1+VLOOKUP($B$71,Int_Rate_Param,3,FALSE))),IF(EIOPA_RFR!P34&lt;0%,EIOPA_RFR!P34,EIOPA_RFR!P34*(1+VLOOKUP($B73,Int_Rate_Param,3,FALSE))))</f>
        <v>3.0103999999999999E-2</v>
      </c>
      <c r="Q73" s="94">
        <f>IF($B73&gt;20,IF(EIOPA_RFR!Q34&lt;0%,EIOPA_RFR!Q34,EIOPA_RFR!Q34*(1+VLOOKUP($B$71,Int_Rate_Param,3,FALSE))),IF(EIOPA_RFR!Q34&lt;0%,EIOPA_RFR!Q34,EIOPA_RFR!Q34*(1+VLOOKUP($B73,Int_Rate_Param,3,FALSE))))</f>
        <v>3.2794900000000002E-2</v>
      </c>
      <c r="R73" s="94">
        <f>IF($B73&gt;20,IF(EIOPA_RFR!R34&lt;0%,EIOPA_RFR!R34,EIOPA_RFR!R34*(1+VLOOKUP($B$71,Int_Rate_Param,3,FALSE))),IF(EIOPA_RFR!R34&lt;0%,EIOPA_RFR!R34,EIOPA_RFR!R34*(1+VLOOKUP($B73,Int_Rate_Param,3,FALSE))))</f>
        <v>9.6559999999999997E-3</v>
      </c>
      <c r="S73" s="94">
        <f>IF($B73&gt;20,IF(EIOPA_RFR!S34&lt;0%,EIOPA_RFR!S34,EIOPA_RFR!S34*(1+VLOOKUP($B$71,Int_Rate_Param,3,FALSE))),IF(EIOPA_RFR!S34&lt;0%,EIOPA_RFR!S34,EIOPA_RFR!S34*(1+VLOOKUP($B73,Int_Rate_Param,3,FALSE))))</f>
        <v>9.6559999999999997E-3</v>
      </c>
      <c r="T73" s="94">
        <f>IF($B73&gt;20,IF(EIOPA_RFR!T34&lt;0%,EIOPA_RFR!T34,EIOPA_RFR!T34*(1+VLOOKUP($B$71,Int_Rate_Param,3,FALSE))),IF(EIOPA_RFR!T34&lt;0%,EIOPA_RFR!T34,EIOPA_RFR!T34*(1+VLOOKUP($B73,Int_Rate_Param,3,FALSE))))</f>
        <v>9.6559999999999997E-3</v>
      </c>
      <c r="U73" s="94">
        <f>IF($B73&gt;20,IF(EIOPA_RFR!U34&lt;0%,EIOPA_RFR!U34,EIOPA_RFR!U34*(1+VLOOKUP($B$71,Int_Rate_Param,3,FALSE))),IF(EIOPA_RFR!U34&lt;0%,EIOPA_RFR!U34,EIOPA_RFR!U34*(1+VLOOKUP($B73,Int_Rate_Param,3,FALSE))))</f>
        <v>3.1168999999999997E-3</v>
      </c>
      <c r="V73" s="94">
        <f>IF($B73&gt;20,IF(EIOPA_RFR!V34&lt;0%,EIOPA_RFR!V34,EIOPA_RFR!V34*(1+VLOOKUP($B$71,Int_Rate_Param,3,FALSE))),IF(EIOPA_RFR!V34&lt;0%,EIOPA_RFR!V34,EIOPA_RFR!V34*(1+VLOOKUP($B73,Int_Rate_Param,3,FALSE))))</f>
        <v>9.6559999999999997E-3</v>
      </c>
      <c r="W73" s="94">
        <f>IF($B73&gt;20,IF(EIOPA_RFR!W34&lt;0%,EIOPA_RFR!W34,EIOPA_RFR!W34*(1+VLOOKUP($B$71,Int_Rate_Param,3,FALSE))),IF(EIOPA_RFR!W34&lt;0%,EIOPA_RFR!W34,EIOPA_RFR!W34*(1+VLOOKUP($B73,Int_Rate_Param,3,FALSE))))</f>
        <v>9.6559999999999997E-3</v>
      </c>
      <c r="X73" s="94">
        <f>IF($B73&gt;20,IF(EIOPA_RFR!X34&lt;0%,EIOPA_RFR!X34,EIOPA_RFR!X34*(1+VLOOKUP($B$71,Int_Rate_Param,3,FALSE))),IF(EIOPA_RFR!X34&lt;0%,EIOPA_RFR!X34,EIOPA_RFR!X34*(1+VLOOKUP($B73,Int_Rate_Param,3,FALSE))))</f>
        <v>9.6559999999999997E-3</v>
      </c>
      <c r="Y73" s="94">
        <f>IF($B73&gt;20,IF(EIOPA_RFR!Y34&lt;0%,EIOPA_RFR!Y34,EIOPA_RFR!Y34*(1+VLOOKUP($B$71,Int_Rate_Param,3,FALSE))),IF(EIOPA_RFR!Y34&lt;0%,EIOPA_RFR!Y34,EIOPA_RFR!Y34*(1+VLOOKUP($B73,Int_Rate_Param,3,FALSE))))</f>
        <v>9.6559999999999997E-3</v>
      </c>
      <c r="Z73" s="94">
        <f>IF($B73&gt;20,IF(EIOPA_RFR!Z34&lt;0%,EIOPA_RFR!Z34,EIOPA_RFR!Z34*(1+VLOOKUP($B$71,Int_Rate_Param,3,FALSE))),IF(EIOPA_RFR!Z34&lt;0%,EIOPA_RFR!Z34,EIOPA_RFR!Z34*(1+VLOOKUP($B73,Int_Rate_Param,3,FALSE))))</f>
        <v>1.8523899999999999E-2</v>
      </c>
      <c r="AA73" s="94">
        <f>IF($B73&gt;20,IF(EIOPA_RFR!AA34&lt;0%,EIOPA_RFR!AA34,EIOPA_RFR!AA34*(1+VLOOKUP($B$71,Int_Rate_Param,3,FALSE))),IF(EIOPA_RFR!AA34&lt;0%,EIOPA_RFR!AA34,EIOPA_RFR!AA34*(1+VLOOKUP($B73,Int_Rate_Param,3,FALSE))))</f>
        <v>2.7810700000000001E-2</v>
      </c>
      <c r="AB73" s="94">
        <f>IF($B73&gt;20,IF(EIOPA_RFR!AB34&lt;0%,EIOPA_RFR!AB34,EIOPA_RFR!AB34*(1+VLOOKUP($B$71,Int_Rate_Param,3,FALSE))),IF(EIOPA_RFR!AB34&lt;0%,EIOPA_RFR!AB34,EIOPA_RFR!AB34*(1+VLOOKUP($B73,Int_Rate_Param,3,FALSE))))</f>
        <v>9.6559999999999997E-3</v>
      </c>
      <c r="AC73" s="94">
        <f>IF($B73&gt;20,IF(EIOPA_RFR!AC34&lt;0%,EIOPA_RFR!AC34,EIOPA_RFR!AC34*(1+VLOOKUP($B$71,Int_Rate_Param,3,FALSE))),IF(EIOPA_RFR!AC34&lt;0%,EIOPA_RFR!AC34,EIOPA_RFR!AC34*(1+VLOOKUP($B73,Int_Rate_Param,3,FALSE))))</f>
        <v>3.1076700000000002E-2</v>
      </c>
      <c r="AD73" s="94">
        <f>IF($B73&gt;20,IF(EIOPA_RFR!AD34&lt;0%,EIOPA_RFR!AD34,EIOPA_RFR!AD34*(1+VLOOKUP($B$71,Int_Rate_Param,3,FALSE))),IF(EIOPA_RFR!AD34&lt;0%,EIOPA_RFR!AD34,EIOPA_RFR!AD34*(1+VLOOKUP($B73,Int_Rate_Param,3,FALSE))))</f>
        <v>4.6838699999999997E-2</v>
      </c>
      <c r="AE73" s="94">
        <f>IF($B73&gt;20,IF(EIOPA_RFR!AE34&lt;0%,EIOPA_RFR!AE34,EIOPA_RFR!AE34*(1+VLOOKUP($B$71,Int_Rate_Param,3,FALSE))),IF(EIOPA_RFR!AE34&lt;0%,EIOPA_RFR!AE34,EIOPA_RFR!AE34*(1+VLOOKUP($B73,Int_Rate_Param,3,FALSE))))</f>
        <v>9.6559999999999997E-3</v>
      </c>
      <c r="AF73" s="94">
        <f>IF($B73&gt;20,IF(EIOPA_RFR!AF34&lt;0%,EIOPA_RFR!AF34,EIOPA_RFR!AF34*(1+VLOOKUP($B$71,Int_Rate_Param,3,FALSE))),IF(EIOPA_RFR!AF34&lt;0%,EIOPA_RFR!AF34,EIOPA_RFR!AF34*(1+VLOOKUP($B73,Int_Rate_Param,3,FALSE))))</f>
        <v>9.6559999999999997E-3</v>
      </c>
      <c r="AG73" s="94">
        <f>IF($B73&gt;20,IF(EIOPA_RFR!AG34&lt;0%,EIOPA_RFR!AG34,EIOPA_RFR!AG34*(1+VLOOKUP($B$71,Int_Rate_Param,3,FALSE))),IF(EIOPA_RFR!AG34&lt;0%,EIOPA_RFR!AG34,EIOPA_RFR!AG34*(1+VLOOKUP($B73,Int_Rate_Param,3,FALSE))))</f>
        <v>9.6559999999999997E-3</v>
      </c>
      <c r="AH73" s="94">
        <f>IF($B73&gt;20,IF(EIOPA_RFR!AH34&lt;0%,EIOPA_RFR!AH34,EIOPA_RFR!AH34*(1+VLOOKUP($B$71,Int_Rate_Param,3,FALSE))),IF(EIOPA_RFR!AH34&lt;0%,EIOPA_RFR!AH34,EIOPA_RFR!AH34*(1+VLOOKUP($B73,Int_Rate_Param,3,FALSE))))</f>
        <v>1.8396099999999999E-2</v>
      </c>
      <c r="AI73" s="94">
        <f>IF($B73&gt;20,IF(EIOPA_RFR!AI34&lt;0%,EIOPA_RFR!AI34,EIOPA_RFR!AI34*(1+VLOOKUP($B$71,Int_Rate_Param,3,FALSE))),IF(EIOPA_RFR!AI34&lt;0%,EIOPA_RFR!AI34,EIOPA_RFR!AI34*(1+VLOOKUP($B73,Int_Rate_Param,3,FALSE))))</f>
        <v>3.1168999999999997E-3</v>
      </c>
      <c r="AJ73" s="94">
        <f>IF($B73&gt;20,IF(EIOPA_RFR!AJ34&lt;0%,EIOPA_RFR!AJ34,EIOPA_RFR!AJ34*(1+VLOOKUP($B$71,Int_Rate_Param,3,FALSE))),IF(EIOPA_RFR!AJ34&lt;0%,EIOPA_RFR!AJ34,EIOPA_RFR!AJ34*(1+VLOOKUP($B73,Int_Rate_Param,3,FALSE))))</f>
        <v>9.1874000000000001E-3</v>
      </c>
      <c r="AK73" s="94">
        <f>IF($B73&gt;20,IF(EIOPA_RFR!AK34&lt;0%,EIOPA_RFR!AK34,EIOPA_RFR!AK34*(1+VLOOKUP($B$71,Int_Rate_Param,3,FALSE))),IF(EIOPA_RFR!AK34&lt;0%,EIOPA_RFR!AK34,EIOPA_RFR!AK34*(1+VLOOKUP($B73,Int_Rate_Param,3,FALSE))))</f>
        <v>2.3344799999999999E-2</v>
      </c>
      <c r="AL73" s="94">
        <f>IF($B73&gt;20,IF(EIOPA_RFR!AL34&lt;0%,EIOPA_RFR!AL34,EIOPA_RFR!AL34*(1+VLOOKUP($B$71,Int_Rate_Param,3,FALSE))),IF(EIOPA_RFR!AL34&lt;0%,EIOPA_RFR!AL34,EIOPA_RFR!AL34*(1+VLOOKUP($B73,Int_Rate_Param,3,FALSE))))</f>
        <v>5.9725199999999999E-2</v>
      </c>
      <c r="AM73" s="94">
        <f>IF($B73&gt;20,IF(EIOPA_RFR!AM34&lt;0%,EIOPA_RFR!AM34,EIOPA_RFR!AM34*(1+VLOOKUP($B$71,Int_Rate_Param,3,FALSE))),IF(EIOPA_RFR!AM34&lt;0%,EIOPA_RFR!AM34,EIOPA_RFR!AM34*(1+VLOOKUP($B73,Int_Rate_Param,3,FALSE))))</f>
        <v>1.60673E-2</v>
      </c>
      <c r="AN73" s="94">
        <f>IF($B73&gt;20,IF(EIOPA_RFR!AN34&lt;0%,EIOPA_RFR!AN34,EIOPA_RFR!AN34*(1+VLOOKUP($B$71,Int_Rate_Param,3,FALSE))),IF(EIOPA_RFR!AN34&lt;0%,EIOPA_RFR!AN34,EIOPA_RFR!AN34*(1+VLOOKUP($B73,Int_Rate_Param,3,FALSE))))</f>
        <v>3.0018799999999998E-2</v>
      </c>
      <c r="AO73" s="94">
        <f>IF($B73&gt;20,IF(EIOPA_RFR!AO34&lt;0%,EIOPA_RFR!AO34,EIOPA_RFR!AO34*(1+VLOOKUP($B$71,Int_Rate_Param,3,FALSE))),IF(EIOPA_RFR!AO34&lt;0%,EIOPA_RFR!AO34,EIOPA_RFR!AO34*(1+VLOOKUP($B73,Int_Rate_Param,3,FALSE))))</f>
        <v>3.1452999999999995E-2</v>
      </c>
      <c r="AP73" s="94">
        <f>IF($B73&gt;20,IF(EIOPA_RFR!AP34&lt;0%,EIOPA_RFR!AP34,EIOPA_RFR!AP34*(1+VLOOKUP($B$71,Int_Rate_Param,3,FALSE))),IF(EIOPA_RFR!AP34&lt;0%,EIOPA_RFR!AP34,EIOPA_RFR!AP34*(1+VLOOKUP($B73,Int_Rate_Param,3,FALSE))))</f>
        <v>4.2415399999999999E-2</v>
      </c>
      <c r="AQ73" s="94">
        <f>IF($B73&gt;20,IF(EIOPA_RFR!AQ34&lt;0%,EIOPA_RFR!AQ34,EIOPA_RFR!AQ34*(1+VLOOKUP($B$71,Int_Rate_Param,3,FALSE))),IF(EIOPA_RFR!AQ34&lt;0%,EIOPA_RFR!AQ34,EIOPA_RFR!AQ34*(1+VLOOKUP($B73,Int_Rate_Param,3,FALSE))))</f>
        <v>1.9255199999999997E-2</v>
      </c>
      <c r="AR73" s="94">
        <f>IF($B73&gt;20,IF(EIOPA_RFR!AR34&lt;0%,EIOPA_RFR!AR34,EIOPA_RFR!AR34*(1+VLOOKUP($B$71,Int_Rate_Param,3,FALSE))),IF(EIOPA_RFR!AR34&lt;0%,EIOPA_RFR!AR34,EIOPA_RFR!AR34*(1+VLOOKUP($B73,Int_Rate_Param,3,FALSE))))</f>
        <v>4.71653E-2</v>
      </c>
      <c r="AS73" s="94">
        <f>IF($B73&gt;20,IF(EIOPA_RFR!AS34&lt;0%,EIOPA_RFR!AS34,EIOPA_RFR!AS34*(1+VLOOKUP($B$71,Int_Rate_Param,3,FALSE))),IF(EIOPA_RFR!AS34&lt;0%,EIOPA_RFR!AS34,EIOPA_RFR!AS34*(1+VLOOKUP($B73,Int_Rate_Param,3,FALSE))))</f>
        <v>4.6363000000000003E-3</v>
      </c>
      <c r="AT73" s="94">
        <f>IF($B73&gt;20,IF(EIOPA_RFR!AT34&lt;0%,EIOPA_RFR!AT34,EIOPA_RFR!AT34*(1+VLOOKUP($B$71,Int_Rate_Param,3,FALSE))),IF(EIOPA_RFR!AT34&lt;0%,EIOPA_RFR!AT34,EIOPA_RFR!AT34*(1+VLOOKUP($B73,Int_Rate_Param,3,FALSE))))</f>
        <v>3.0920499999999997E-2</v>
      </c>
      <c r="AU73" s="94">
        <f>IF($B73&gt;20,IF(EIOPA_RFR!AU34&lt;0%,EIOPA_RFR!AU34,EIOPA_RFR!AU34*(1+VLOOKUP($B$71,Int_Rate_Param,3,FALSE))),IF(EIOPA_RFR!AU34&lt;0%,EIOPA_RFR!AU34,EIOPA_RFR!AU34*(1+VLOOKUP($B73,Int_Rate_Param,3,FALSE))))</f>
        <v>5.62391E-2</v>
      </c>
      <c r="AV73" s="94">
        <f>IF($B73&gt;20,IF(EIOPA_RFR!AV34&lt;0%,EIOPA_RFR!AV34,EIOPA_RFR!AV34*(1+VLOOKUP($B$71,Int_Rate_Param,3,FALSE))),IF(EIOPA_RFR!AV34&lt;0%,EIOPA_RFR!AV34,EIOPA_RFR!AV34*(1+VLOOKUP($B73,Int_Rate_Param,3,FALSE))))</f>
        <v>2.8556199999999997E-2</v>
      </c>
      <c r="AW73" s="94">
        <f>IF($B73&gt;20,IF(EIOPA_RFR!AW34&lt;0%,EIOPA_RFR!AW34,EIOPA_RFR!AW34*(1+VLOOKUP($B$71,Int_Rate_Param,3,FALSE))),IF(EIOPA_RFR!AW34&lt;0%,EIOPA_RFR!AW34,EIOPA_RFR!AW34*(1+VLOOKUP($B73,Int_Rate_Param,3,FALSE))))</f>
        <v>1.94398E-2</v>
      </c>
      <c r="AX73" s="94">
        <f>IF($B73&gt;20,IF(EIOPA_RFR!AX34&lt;0%,EIOPA_RFR!AX34,EIOPA_RFR!AX34*(1+VLOOKUP($B$71,Int_Rate_Param,3,FALSE))),IF(EIOPA_RFR!AX34&lt;0%,EIOPA_RFR!AX34,EIOPA_RFR!AX34*(1+VLOOKUP($B73,Int_Rate_Param,3,FALSE))))</f>
        <v>5.7460299999999999E-2</v>
      </c>
      <c r="AY73" s="94">
        <f>IF($B73&gt;20,IF(EIOPA_RFR!AY34&lt;0%,EIOPA_RFR!AY34,EIOPA_RFR!AY34*(1+VLOOKUP($B$71,Int_Rate_Param,3,FALSE))),IF(EIOPA_RFR!AY34&lt;0%,EIOPA_RFR!AY34,EIOPA_RFR!AY34*(1+VLOOKUP($B73,Int_Rate_Param,3,FALSE))))</f>
        <v>1.3489999999999999E-2</v>
      </c>
      <c r="AZ73" s="94">
        <f>IF($B73&gt;20,IF(EIOPA_RFR!AZ34&lt;0%,EIOPA_RFR!AZ34,EIOPA_RFR!AZ34*(1+VLOOKUP($B$71,Int_Rate_Param,3,FALSE))),IF(EIOPA_RFR!AZ34&lt;0%,EIOPA_RFR!AZ34,EIOPA_RFR!AZ34*(1+VLOOKUP($B73,Int_Rate_Param,3,FALSE))))</f>
        <v>1.47467E-2</v>
      </c>
      <c r="BA73" s="94">
        <f>IF($B73&gt;20,IF(EIOPA_RFR!BA34&lt;0%,EIOPA_RFR!BA34,EIOPA_RFR!BA34*(1+VLOOKUP($B$71,Int_Rate_Param,3,FALSE))),IF(EIOPA_RFR!BA34&lt;0%,EIOPA_RFR!BA34,EIOPA_RFR!BA34*(1+VLOOKUP($B73,Int_Rate_Param,3,FALSE))))</f>
        <v>2.1797E-2</v>
      </c>
      <c r="BB73" s="94">
        <f>IF($B73&gt;20,IF(EIOPA_RFR!BB34&lt;0%,EIOPA_RFR!BB34,EIOPA_RFR!BB34*(1+VLOOKUP($B$71,Int_Rate_Param,3,FALSE))),IF(EIOPA_RFR!BB34&lt;0%,EIOPA_RFR!BB34,EIOPA_RFR!BB34*(1+VLOOKUP($B73,Int_Rate_Param,3,FALSE))))</f>
        <v>6.2714300000000001E-2</v>
      </c>
      <c r="BC73" s="94">
        <f>IF($B73&gt;20,IF(EIOPA_RFR!BC34&lt;0%,EIOPA_RFR!BC34,EIOPA_RFR!BC34*(1+VLOOKUP($B$71,Int_Rate_Param,3,FALSE))),IF(EIOPA_RFR!BC34&lt;0%,EIOPA_RFR!BC34,EIOPA_RFR!BC34*(1+VLOOKUP($B73,Int_Rate_Param,3,FALSE))))</f>
        <v>1.7970099999999999E-2</v>
      </c>
    </row>
    <row r="74" spans="1:55" x14ac:dyDescent="0.25">
      <c r="A74">
        <f t="shared" si="1"/>
        <v>25</v>
      </c>
      <c r="B74" s="95">
        <v>23</v>
      </c>
      <c r="C74" s="94">
        <f>IF($B74&gt;20,IF(EIOPA_RFR!C35&lt;0%,EIOPA_RFR!C35,EIOPA_RFR!C35*(1+VLOOKUP($B$71,Int_Rate_Param,3,FALSE))),IF(EIOPA_RFR!C35&lt;0%,EIOPA_RFR!C35,EIOPA_RFR!C35*(1+VLOOKUP($B74,Int_Rate_Param,3,FALSE))))</f>
        <v>1.00962E-2</v>
      </c>
      <c r="D74" s="94">
        <f>IF($B74&gt;20,IF(EIOPA_RFR!D35&lt;0%,EIOPA_RFR!D35,EIOPA_RFR!D35*(1+VLOOKUP($B$71,Int_Rate_Param,3,FALSE))),IF(EIOPA_RFR!D35&lt;0%,EIOPA_RFR!D35,EIOPA_RFR!D35*(1+VLOOKUP($B74,Int_Rate_Param,3,FALSE))))</f>
        <v>1.00962E-2</v>
      </c>
      <c r="E74" s="94">
        <f>IF($B74&gt;20,IF(EIOPA_RFR!E35&lt;0%,EIOPA_RFR!E35,EIOPA_RFR!E35*(1+VLOOKUP($B$71,Int_Rate_Param,3,FALSE))),IF(EIOPA_RFR!E35&lt;0%,EIOPA_RFR!E35,EIOPA_RFR!E35*(1+VLOOKUP($B74,Int_Rate_Param,3,FALSE))))</f>
        <v>1.00962E-2</v>
      </c>
      <c r="F74" s="94">
        <f>IF($B74&gt;20,IF(EIOPA_RFR!F35&lt;0%,EIOPA_RFR!F35,EIOPA_RFR!F35*(1+VLOOKUP($B$71,Int_Rate_Param,3,FALSE))),IF(EIOPA_RFR!F35&lt;0%,EIOPA_RFR!F35,EIOPA_RFR!F35*(1+VLOOKUP($B74,Int_Rate_Param,3,FALSE))))</f>
        <v>9.7411999999999985E-3</v>
      </c>
      <c r="G74" s="94">
        <f>IF($B74&gt;20,IF(EIOPA_RFR!G35&lt;0%,EIOPA_RFR!G35,EIOPA_RFR!G35*(1+VLOOKUP($B$71,Int_Rate_Param,3,FALSE))),IF(EIOPA_RFR!G35&lt;0%,EIOPA_RFR!G35,EIOPA_RFR!G35*(1+VLOOKUP($B74,Int_Rate_Param,3,FALSE))))</f>
        <v>2.4438199999999997E-2</v>
      </c>
      <c r="H74" s="94">
        <f>IF($B74&gt;20,IF(EIOPA_RFR!H35&lt;0%,EIOPA_RFR!H35,EIOPA_RFR!H35*(1+VLOOKUP($B$71,Int_Rate_Param,3,FALSE))),IF(EIOPA_RFR!H35&lt;0%,EIOPA_RFR!H35,EIOPA_RFR!H35*(1+VLOOKUP($B74,Int_Rate_Param,3,FALSE))))</f>
        <v>1.00962E-2</v>
      </c>
      <c r="I74" s="94">
        <f>IF($B74&gt;20,IF(EIOPA_RFR!I35&lt;0%,EIOPA_RFR!I35,EIOPA_RFR!I35*(1+VLOOKUP($B$71,Int_Rate_Param,3,FALSE))),IF(EIOPA_RFR!I35&lt;0%,EIOPA_RFR!I35,EIOPA_RFR!I35*(1+VLOOKUP($B74,Int_Rate_Param,3,FALSE))))</f>
        <v>1.3348E-2</v>
      </c>
      <c r="J74" s="94">
        <f>IF($B74&gt;20,IF(EIOPA_RFR!J35&lt;0%,EIOPA_RFR!J35,EIOPA_RFR!J35*(1+VLOOKUP($B$71,Int_Rate_Param,3,FALSE))),IF(EIOPA_RFR!J35&lt;0%,EIOPA_RFR!J35,EIOPA_RFR!J35*(1+VLOOKUP($B74,Int_Rate_Param,3,FALSE))))</f>
        <v>1.00252E-2</v>
      </c>
      <c r="K74" s="94">
        <f>IF($B74&gt;20,IF(EIOPA_RFR!K35&lt;0%,EIOPA_RFR!K35,EIOPA_RFR!K35*(1+VLOOKUP($B$71,Int_Rate_Param,3,FALSE))),IF(EIOPA_RFR!K35&lt;0%,EIOPA_RFR!K35,EIOPA_RFR!K35*(1+VLOOKUP($B74,Int_Rate_Param,3,FALSE))))</f>
        <v>1.00962E-2</v>
      </c>
      <c r="L74" s="94">
        <f>IF($B74&gt;20,IF(EIOPA_RFR!L35&lt;0%,EIOPA_RFR!L35,EIOPA_RFR!L35*(1+VLOOKUP($B$71,Int_Rate_Param,3,FALSE))),IF(EIOPA_RFR!L35&lt;0%,EIOPA_RFR!L35,EIOPA_RFR!L35*(1+VLOOKUP($B74,Int_Rate_Param,3,FALSE))))</f>
        <v>1.00962E-2</v>
      </c>
      <c r="M74" s="94">
        <f>IF($B74&gt;20,IF(EIOPA_RFR!M35&lt;0%,EIOPA_RFR!M35,EIOPA_RFR!M35*(1+VLOOKUP($B$71,Int_Rate_Param,3,FALSE))),IF(EIOPA_RFR!M35&lt;0%,EIOPA_RFR!M35,EIOPA_RFR!M35*(1+VLOOKUP($B74,Int_Rate_Param,3,FALSE))))</f>
        <v>1.00962E-2</v>
      </c>
      <c r="N74" s="94">
        <f>IF($B74&gt;20,IF(EIOPA_RFR!N35&lt;0%,EIOPA_RFR!N35,EIOPA_RFR!N35*(1+VLOOKUP($B$71,Int_Rate_Param,3,FALSE))),IF(EIOPA_RFR!N35&lt;0%,EIOPA_RFR!N35,EIOPA_RFR!N35*(1+VLOOKUP($B74,Int_Rate_Param,3,FALSE))))</f>
        <v>1.00962E-2</v>
      </c>
      <c r="O74" s="94">
        <f>IF($B74&gt;20,IF(EIOPA_RFR!O35&lt;0%,EIOPA_RFR!O35,EIOPA_RFR!O35*(1+VLOOKUP($B$71,Int_Rate_Param,3,FALSE))),IF(EIOPA_RFR!O35&lt;0%,EIOPA_RFR!O35,EIOPA_RFR!O35*(1+VLOOKUP($B74,Int_Rate_Param,3,FALSE))))</f>
        <v>1.00962E-2</v>
      </c>
      <c r="P74" s="94">
        <f>IF($B74&gt;20,IF(EIOPA_RFR!P35&lt;0%,EIOPA_RFR!P35,EIOPA_RFR!P35*(1+VLOOKUP($B$71,Int_Rate_Param,3,FALSE))),IF(EIOPA_RFR!P35&lt;0%,EIOPA_RFR!P35,EIOPA_RFR!P35*(1+VLOOKUP($B74,Int_Rate_Param,3,FALSE))))</f>
        <v>3.02673E-2</v>
      </c>
      <c r="Q74" s="94">
        <f>IF($B74&gt;20,IF(EIOPA_RFR!Q35&lt;0%,EIOPA_RFR!Q35,EIOPA_RFR!Q35*(1+VLOOKUP($B$71,Int_Rate_Param,3,FALSE))),IF(EIOPA_RFR!Q35&lt;0%,EIOPA_RFR!Q35,EIOPA_RFR!Q35*(1+VLOOKUP($B74,Int_Rate_Param,3,FALSE))))</f>
        <v>3.27239E-2</v>
      </c>
      <c r="R74" s="94">
        <f>IF($B74&gt;20,IF(EIOPA_RFR!R35&lt;0%,EIOPA_RFR!R35,EIOPA_RFR!R35*(1+VLOOKUP($B$71,Int_Rate_Param,3,FALSE))),IF(EIOPA_RFR!R35&lt;0%,EIOPA_RFR!R35,EIOPA_RFR!R35*(1+VLOOKUP($B74,Int_Rate_Param,3,FALSE))))</f>
        <v>1.00962E-2</v>
      </c>
      <c r="S74" s="94">
        <f>IF($B74&gt;20,IF(EIOPA_RFR!S35&lt;0%,EIOPA_RFR!S35,EIOPA_RFR!S35*(1+VLOOKUP($B$71,Int_Rate_Param,3,FALSE))),IF(EIOPA_RFR!S35&lt;0%,EIOPA_RFR!S35,EIOPA_RFR!S35*(1+VLOOKUP($B74,Int_Rate_Param,3,FALSE))))</f>
        <v>1.00962E-2</v>
      </c>
      <c r="T74" s="94">
        <f>IF($B74&gt;20,IF(EIOPA_RFR!T35&lt;0%,EIOPA_RFR!T35,EIOPA_RFR!T35*(1+VLOOKUP($B$71,Int_Rate_Param,3,FALSE))),IF(EIOPA_RFR!T35&lt;0%,EIOPA_RFR!T35,EIOPA_RFR!T35*(1+VLOOKUP($B74,Int_Rate_Param,3,FALSE))))</f>
        <v>1.00962E-2</v>
      </c>
      <c r="U74" s="94">
        <f>IF($B74&gt;20,IF(EIOPA_RFR!U35&lt;0%,EIOPA_RFR!U35,EIOPA_RFR!U35*(1+VLOOKUP($B$71,Int_Rate_Param,3,FALSE))),IF(EIOPA_RFR!U35&lt;0%,EIOPA_RFR!U35,EIOPA_RFR!U35*(1+VLOOKUP($B74,Int_Rate_Param,3,FALSE))))</f>
        <v>3.1949999999999995E-3</v>
      </c>
      <c r="V74" s="94">
        <f>IF($B74&gt;20,IF(EIOPA_RFR!V35&lt;0%,EIOPA_RFR!V35,EIOPA_RFR!V35*(1+VLOOKUP($B$71,Int_Rate_Param,3,FALSE))),IF(EIOPA_RFR!V35&lt;0%,EIOPA_RFR!V35,EIOPA_RFR!V35*(1+VLOOKUP($B74,Int_Rate_Param,3,FALSE))))</f>
        <v>1.00962E-2</v>
      </c>
      <c r="W74" s="94">
        <f>IF($B74&gt;20,IF(EIOPA_RFR!W35&lt;0%,EIOPA_RFR!W35,EIOPA_RFR!W35*(1+VLOOKUP($B$71,Int_Rate_Param,3,FALSE))),IF(EIOPA_RFR!W35&lt;0%,EIOPA_RFR!W35,EIOPA_RFR!W35*(1+VLOOKUP($B74,Int_Rate_Param,3,FALSE))))</f>
        <v>1.00962E-2</v>
      </c>
      <c r="X74" s="94">
        <f>IF($B74&gt;20,IF(EIOPA_RFR!X35&lt;0%,EIOPA_RFR!X35,EIOPA_RFR!X35*(1+VLOOKUP($B$71,Int_Rate_Param,3,FALSE))),IF(EIOPA_RFR!X35&lt;0%,EIOPA_RFR!X35,EIOPA_RFR!X35*(1+VLOOKUP($B74,Int_Rate_Param,3,FALSE))))</f>
        <v>1.00962E-2</v>
      </c>
      <c r="Y74" s="94">
        <f>IF($B74&gt;20,IF(EIOPA_RFR!Y35&lt;0%,EIOPA_RFR!Y35,EIOPA_RFR!Y35*(1+VLOOKUP($B$71,Int_Rate_Param,3,FALSE))),IF(EIOPA_RFR!Y35&lt;0%,EIOPA_RFR!Y35,EIOPA_RFR!Y35*(1+VLOOKUP($B74,Int_Rate_Param,3,FALSE))))</f>
        <v>1.00962E-2</v>
      </c>
      <c r="Z74" s="94">
        <f>IF($B74&gt;20,IF(EIOPA_RFR!Z35&lt;0%,EIOPA_RFR!Z35,EIOPA_RFR!Z35*(1+VLOOKUP($B$71,Int_Rate_Param,3,FALSE))),IF(EIOPA_RFR!Z35&lt;0%,EIOPA_RFR!Z35,EIOPA_RFR!Z35*(1+VLOOKUP($B74,Int_Rate_Param,3,FALSE))))</f>
        <v>1.8878899999999997E-2</v>
      </c>
      <c r="AA74" s="94">
        <f>IF($B74&gt;20,IF(EIOPA_RFR!AA35&lt;0%,EIOPA_RFR!AA35,EIOPA_RFR!AA35*(1+VLOOKUP($B$71,Int_Rate_Param,3,FALSE))),IF(EIOPA_RFR!AA35&lt;0%,EIOPA_RFR!AA35,EIOPA_RFR!AA35*(1+VLOOKUP($B74,Int_Rate_Param,3,FALSE))))</f>
        <v>2.7938500000000002E-2</v>
      </c>
      <c r="AB74" s="94">
        <f>IF($B74&gt;20,IF(EIOPA_RFR!AB35&lt;0%,EIOPA_RFR!AB35,EIOPA_RFR!AB35*(1+VLOOKUP($B$71,Int_Rate_Param,3,FALSE))),IF(EIOPA_RFR!AB35&lt;0%,EIOPA_RFR!AB35,EIOPA_RFR!AB35*(1+VLOOKUP($B74,Int_Rate_Param,3,FALSE))))</f>
        <v>1.00962E-2</v>
      </c>
      <c r="AC74" s="94">
        <f>IF($B74&gt;20,IF(EIOPA_RFR!AC35&lt;0%,EIOPA_RFR!AC35,EIOPA_RFR!AC35*(1+VLOOKUP($B$71,Int_Rate_Param,3,FALSE))),IF(EIOPA_RFR!AC35&lt;0%,EIOPA_RFR!AC35,EIOPA_RFR!AC35*(1+VLOOKUP($B74,Int_Rate_Param,3,FALSE))))</f>
        <v>3.1126399999999995E-2</v>
      </c>
      <c r="AD74" s="94">
        <f>IF($B74&gt;20,IF(EIOPA_RFR!AD35&lt;0%,EIOPA_RFR!AD35,EIOPA_RFR!AD35*(1+VLOOKUP($B$71,Int_Rate_Param,3,FALSE))),IF(EIOPA_RFR!AD35&lt;0%,EIOPA_RFR!AD35,EIOPA_RFR!AD35*(1+VLOOKUP($B74,Int_Rate_Param,3,FALSE))))</f>
        <v>4.6320400000000005E-2</v>
      </c>
      <c r="AE74" s="94">
        <f>IF($B74&gt;20,IF(EIOPA_RFR!AE35&lt;0%,EIOPA_RFR!AE35,EIOPA_RFR!AE35*(1+VLOOKUP($B$71,Int_Rate_Param,3,FALSE))),IF(EIOPA_RFR!AE35&lt;0%,EIOPA_RFR!AE35,EIOPA_RFR!AE35*(1+VLOOKUP($B74,Int_Rate_Param,3,FALSE))))</f>
        <v>1.00962E-2</v>
      </c>
      <c r="AF74" s="94">
        <f>IF($B74&gt;20,IF(EIOPA_RFR!AF35&lt;0%,EIOPA_RFR!AF35,EIOPA_RFR!AF35*(1+VLOOKUP($B$71,Int_Rate_Param,3,FALSE))),IF(EIOPA_RFR!AF35&lt;0%,EIOPA_RFR!AF35,EIOPA_RFR!AF35*(1+VLOOKUP($B74,Int_Rate_Param,3,FALSE))))</f>
        <v>1.00962E-2</v>
      </c>
      <c r="AG74" s="94">
        <f>IF($B74&gt;20,IF(EIOPA_RFR!AG35&lt;0%,EIOPA_RFR!AG35,EIOPA_RFR!AG35*(1+VLOOKUP($B$71,Int_Rate_Param,3,FALSE))),IF(EIOPA_RFR!AG35&lt;0%,EIOPA_RFR!AG35,EIOPA_RFR!AG35*(1+VLOOKUP($B74,Int_Rate_Param,3,FALSE))))</f>
        <v>1.00962E-2</v>
      </c>
      <c r="AH74" s="94">
        <f>IF($B74&gt;20,IF(EIOPA_RFR!AH35&lt;0%,EIOPA_RFR!AH35,EIOPA_RFR!AH35*(1+VLOOKUP($B$71,Int_Rate_Param,3,FALSE))),IF(EIOPA_RFR!AH35&lt;0%,EIOPA_RFR!AH35,EIOPA_RFR!AH35*(1+VLOOKUP($B74,Int_Rate_Param,3,FALSE))))</f>
        <v>1.8893099999999999E-2</v>
      </c>
      <c r="AI74" s="94">
        <f>IF($B74&gt;20,IF(EIOPA_RFR!AI35&lt;0%,EIOPA_RFR!AI35,EIOPA_RFR!AI35*(1+VLOOKUP($B$71,Int_Rate_Param,3,FALSE))),IF(EIOPA_RFR!AI35&lt;0%,EIOPA_RFR!AI35,EIOPA_RFR!AI35*(1+VLOOKUP($B74,Int_Rate_Param,3,FALSE))))</f>
        <v>3.1949999999999995E-3</v>
      </c>
      <c r="AJ74" s="94">
        <f>IF($B74&gt;20,IF(EIOPA_RFR!AJ35&lt;0%,EIOPA_RFR!AJ35,EIOPA_RFR!AJ35*(1+VLOOKUP($B$71,Int_Rate_Param,3,FALSE))),IF(EIOPA_RFR!AJ35&lt;0%,EIOPA_RFR!AJ35,EIOPA_RFR!AJ35*(1+VLOOKUP($B74,Int_Rate_Param,3,FALSE))))</f>
        <v>9.1731999999999994E-3</v>
      </c>
      <c r="AK74" s="94">
        <f>IF($B74&gt;20,IF(EIOPA_RFR!AK35&lt;0%,EIOPA_RFR!AK35,EIOPA_RFR!AK35*(1+VLOOKUP($B$71,Int_Rate_Param,3,FALSE))),IF(EIOPA_RFR!AK35&lt;0%,EIOPA_RFR!AK35,EIOPA_RFR!AK35*(1+VLOOKUP($B74,Int_Rate_Param,3,FALSE))))</f>
        <v>2.34726E-2</v>
      </c>
      <c r="AL74" s="94">
        <f>IF($B74&gt;20,IF(EIOPA_RFR!AL35&lt;0%,EIOPA_RFR!AL35,EIOPA_RFR!AL35*(1+VLOOKUP($B$71,Int_Rate_Param,3,FALSE))),IF(EIOPA_RFR!AL35&lt;0%,EIOPA_RFR!AL35,EIOPA_RFR!AL35*(1+VLOOKUP($B74,Int_Rate_Param,3,FALSE))))</f>
        <v>5.9064899999999997E-2</v>
      </c>
      <c r="AM74" s="94">
        <f>IF($B74&gt;20,IF(EIOPA_RFR!AM35&lt;0%,EIOPA_RFR!AM35,EIOPA_RFR!AM35*(1+VLOOKUP($B$71,Int_Rate_Param,3,FALSE))),IF(EIOPA_RFR!AM35&lt;0%,EIOPA_RFR!AM35,EIOPA_RFR!AM35*(1+VLOOKUP($B74,Int_Rate_Param,3,FALSE))))</f>
        <v>1.5982099999999999E-2</v>
      </c>
      <c r="AN74" s="94">
        <f>IF($B74&gt;20,IF(EIOPA_RFR!AN35&lt;0%,EIOPA_RFR!AN35,EIOPA_RFR!AN35*(1+VLOOKUP($B$71,Int_Rate_Param,3,FALSE))),IF(EIOPA_RFR!AN35&lt;0%,EIOPA_RFR!AN35,EIOPA_RFR!AN35*(1+VLOOKUP($B74,Int_Rate_Param,3,FALSE))))</f>
        <v>3.0061400000000002E-2</v>
      </c>
      <c r="AO74" s="94">
        <f>IF($B74&gt;20,IF(EIOPA_RFR!AO35&lt;0%,EIOPA_RFR!AO35,EIOPA_RFR!AO35*(1+VLOOKUP($B$71,Int_Rate_Param,3,FALSE))),IF(EIOPA_RFR!AO35&lt;0%,EIOPA_RFR!AO35,EIOPA_RFR!AO35*(1+VLOOKUP($B74,Int_Rate_Param,3,FALSE))))</f>
        <v>3.1452999999999995E-2</v>
      </c>
      <c r="AP74" s="94">
        <f>IF($B74&gt;20,IF(EIOPA_RFR!AP35&lt;0%,EIOPA_RFR!AP35,EIOPA_RFR!AP35*(1+VLOOKUP($B$71,Int_Rate_Param,3,FALSE))),IF(EIOPA_RFR!AP35&lt;0%,EIOPA_RFR!AP35,EIOPA_RFR!AP35*(1+VLOOKUP($B74,Int_Rate_Param,3,FALSE))))</f>
        <v>4.2095899999999999E-2</v>
      </c>
      <c r="AQ74" s="94">
        <f>IF($B74&gt;20,IF(EIOPA_RFR!AQ35&lt;0%,EIOPA_RFR!AQ35,EIOPA_RFR!AQ35*(1+VLOOKUP($B$71,Int_Rate_Param,3,FALSE))),IF(EIOPA_RFR!AQ35&lt;0%,EIOPA_RFR!AQ35,EIOPA_RFR!AQ35*(1+VLOOKUP($B74,Int_Rate_Param,3,FALSE))))</f>
        <v>1.9553399999999999E-2</v>
      </c>
      <c r="AR74" s="94">
        <f>IF($B74&gt;20,IF(EIOPA_RFR!AR35&lt;0%,EIOPA_RFR!AR35,EIOPA_RFR!AR35*(1+VLOOKUP($B$71,Int_Rate_Param,3,FALSE))),IF(EIOPA_RFR!AR35&lt;0%,EIOPA_RFR!AR35,EIOPA_RFR!AR35*(1+VLOOKUP($B74,Int_Rate_Param,3,FALSE))))</f>
        <v>4.6916799999999995E-2</v>
      </c>
      <c r="AS74" s="94">
        <f>IF($B74&gt;20,IF(EIOPA_RFR!AS35&lt;0%,EIOPA_RFR!AS35,EIOPA_RFR!AS35*(1+VLOOKUP($B$71,Int_Rate_Param,3,FALSE))),IF(EIOPA_RFR!AS35&lt;0%,EIOPA_RFR!AS35,EIOPA_RFR!AS35*(1+VLOOKUP($B74,Int_Rate_Param,3,FALSE))))</f>
        <v>4.7854000000000004E-3</v>
      </c>
      <c r="AT74" s="94">
        <f>IF($B74&gt;20,IF(EIOPA_RFR!AT35&lt;0%,EIOPA_RFR!AT35,EIOPA_RFR!AT35*(1+VLOOKUP($B$71,Int_Rate_Param,3,FALSE))),IF(EIOPA_RFR!AT35&lt;0%,EIOPA_RFR!AT35,EIOPA_RFR!AT35*(1+VLOOKUP($B74,Int_Rate_Param,3,FALSE))))</f>
        <v>3.0941799999999998E-2</v>
      </c>
      <c r="AU74" s="94">
        <f>IF($B74&gt;20,IF(EIOPA_RFR!AU35&lt;0%,EIOPA_RFR!AU35,EIOPA_RFR!AU35*(1+VLOOKUP($B$71,Int_Rate_Param,3,FALSE))),IF(EIOPA_RFR!AU35&lt;0%,EIOPA_RFR!AU35,EIOPA_RFR!AU35*(1+VLOOKUP($B74,Int_Rate_Param,3,FALSE))))</f>
        <v>5.6047399999999997E-2</v>
      </c>
      <c r="AV74" s="94">
        <f>IF($B74&gt;20,IF(EIOPA_RFR!AV35&lt;0%,EIOPA_RFR!AV35,EIOPA_RFR!AV35*(1+VLOOKUP($B$71,Int_Rate_Param,3,FALSE))),IF(EIOPA_RFR!AV35&lt;0%,EIOPA_RFR!AV35,EIOPA_RFR!AV35*(1+VLOOKUP($B74,Int_Rate_Param,3,FALSE))))</f>
        <v>2.8733699999999997E-2</v>
      </c>
      <c r="AW74" s="94">
        <f>IF($B74&gt;20,IF(EIOPA_RFR!AW35&lt;0%,EIOPA_RFR!AW35,EIOPA_RFR!AW35*(1+VLOOKUP($B$71,Int_Rate_Param,3,FALSE))),IF(EIOPA_RFR!AW35&lt;0%,EIOPA_RFR!AW35,EIOPA_RFR!AW35*(1+VLOOKUP($B74,Int_Rate_Param,3,FALSE))))</f>
        <v>1.9652799999999998E-2</v>
      </c>
      <c r="AX74" s="94">
        <f>IF($B74&gt;20,IF(EIOPA_RFR!AX35&lt;0%,EIOPA_RFR!AX35,EIOPA_RFR!AX35*(1+VLOOKUP($B$71,Int_Rate_Param,3,FALSE))),IF(EIOPA_RFR!AX35&lt;0%,EIOPA_RFR!AX35,EIOPA_RFR!AX35*(1+VLOOKUP($B74,Int_Rate_Param,3,FALSE))))</f>
        <v>5.69775E-2</v>
      </c>
      <c r="AY74" s="94">
        <f>IF($B74&gt;20,IF(EIOPA_RFR!AY35&lt;0%,EIOPA_RFR!AY35,EIOPA_RFR!AY35*(1+VLOOKUP($B$71,Int_Rate_Param,3,FALSE))),IF(EIOPA_RFR!AY35&lt;0%,EIOPA_RFR!AY35,EIOPA_RFR!AY35*(1+VLOOKUP($B74,Int_Rate_Param,3,FALSE))))</f>
        <v>1.3781099999999999E-2</v>
      </c>
      <c r="AZ74" s="94">
        <f>IF($B74&gt;20,IF(EIOPA_RFR!AZ35&lt;0%,EIOPA_RFR!AZ35,EIOPA_RFR!AZ35*(1+VLOOKUP($B$71,Int_Rate_Param,3,FALSE))),IF(EIOPA_RFR!AZ35&lt;0%,EIOPA_RFR!AZ35,EIOPA_RFR!AZ35*(1+VLOOKUP($B74,Int_Rate_Param,3,FALSE))))</f>
        <v>1.5222400000000001E-2</v>
      </c>
      <c r="BA74" s="94">
        <f>IF($B74&gt;20,IF(EIOPA_RFR!BA35&lt;0%,EIOPA_RFR!BA35,EIOPA_RFR!BA35*(1+VLOOKUP($B$71,Int_Rate_Param,3,FALSE))),IF(EIOPA_RFR!BA35&lt;0%,EIOPA_RFR!BA35,EIOPA_RFR!BA35*(1+VLOOKUP($B74,Int_Rate_Param,3,FALSE))))</f>
        <v>2.20384E-2</v>
      </c>
      <c r="BB74" s="94">
        <f>IF($B74&gt;20,IF(EIOPA_RFR!BB35&lt;0%,EIOPA_RFR!BB35,EIOPA_RFR!BB35*(1+VLOOKUP($B$71,Int_Rate_Param,3,FALSE))),IF(EIOPA_RFR!BB35&lt;0%,EIOPA_RFR!BB35,EIOPA_RFR!BB35*(1+VLOOKUP($B74,Int_Rate_Param,3,FALSE))))</f>
        <v>6.1897799999999989E-2</v>
      </c>
      <c r="BC74" s="94">
        <f>IF($B74&gt;20,IF(EIOPA_RFR!BC35&lt;0%,EIOPA_RFR!BC35,EIOPA_RFR!BC35*(1+VLOOKUP($B$71,Int_Rate_Param,3,FALSE))),IF(EIOPA_RFR!BC35&lt;0%,EIOPA_RFR!BC35,EIOPA_RFR!BC35*(1+VLOOKUP($B74,Int_Rate_Param,3,FALSE))))</f>
        <v>1.7998500000000001E-2</v>
      </c>
    </row>
    <row r="75" spans="1:55" x14ac:dyDescent="0.25">
      <c r="A75">
        <f t="shared" si="1"/>
        <v>26</v>
      </c>
      <c r="B75" s="95">
        <v>24</v>
      </c>
      <c r="C75" s="94">
        <f>IF($B75&gt;20,IF(EIOPA_RFR!C36&lt;0%,EIOPA_RFR!C36,EIOPA_RFR!C36*(1+VLOOKUP($B$71,Int_Rate_Param,3,FALSE))),IF(EIOPA_RFR!C36&lt;0%,EIOPA_RFR!C36,EIOPA_RFR!C36*(1+VLOOKUP($B75,Int_Rate_Param,3,FALSE))))</f>
        <v>1.05506E-2</v>
      </c>
      <c r="D75" s="94">
        <f>IF($B75&gt;20,IF(EIOPA_RFR!D36&lt;0%,EIOPA_RFR!D36,EIOPA_RFR!D36*(1+VLOOKUP($B$71,Int_Rate_Param,3,FALSE))),IF(EIOPA_RFR!D36&lt;0%,EIOPA_RFR!D36,EIOPA_RFR!D36*(1+VLOOKUP($B75,Int_Rate_Param,3,FALSE))))</f>
        <v>1.05506E-2</v>
      </c>
      <c r="E75" s="94">
        <f>IF($B75&gt;20,IF(EIOPA_RFR!E36&lt;0%,EIOPA_RFR!E36,EIOPA_RFR!E36*(1+VLOOKUP($B$71,Int_Rate_Param,3,FALSE))),IF(EIOPA_RFR!E36&lt;0%,EIOPA_RFR!E36,EIOPA_RFR!E36*(1+VLOOKUP($B75,Int_Rate_Param,3,FALSE))))</f>
        <v>1.05506E-2</v>
      </c>
      <c r="F75" s="94">
        <f>IF($B75&gt;20,IF(EIOPA_RFR!F36&lt;0%,EIOPA_RFR!F36,EIOPA_RFR!F36*(1+VLOOKUP($B$71,Int_Rate_Param,3,FALSE))),IF(EIOPA_RFR!F36&lt;0%,EIOPA_RFR!F36,EIOPA_RFR!F36*(1+VLOOKUP($B75,Int_Rate_Param,3,FALSE))))</f>
        <v>1.02027E-2</v>
      </c>
      <c r="G75" s="94">
        <f>IF($B75&gt;20,IF(EIOPA_RFR!G36&lt;0%,EIOPA_RFR!G36,EIOPA_RFR!G36*(1+VLOOKUP($B$71,Int_Rate_Param,3,FALSE))),IF(EIOPA_RFR!G36&lt;0%,EIOPA_RFR!G36,EIOPA_RFR!G36*(1+VLOOKUP($B75,Int_Rate_Param,3,FALSE))))</f>
        <v>2.4608600000000001E-2</v>
      </c>
      <c r="H75" s="94">
        <f>IF($B75&gt;20,IF(EIOPA_RFR!H36&lt;0%,EIOPA_RFR!H36,EIOPA_RFR!H36*(1+VLOOKUP($B$71,Int_Rate_Param,3,FALSE))),IF(EIOPA_RFR!H36&lt;0%,EIOPA_RFR!H36,EIOPA_RFR!H36*(1+VLOOKUP($B75,Int_Rate_Param,3,FALSE))))</f>
        <v>1.05506E-2</v>
      </c>
      <c r="I75" s="94">
        <f>IF($B75&gt;20,IF(EIOPA_RFR!I36&lt;0%,EIOPA_RFR!I36,EIOPA_RFR!I36*(1+VLOOKUP($B$71,Int_Rate_Param,3,FALSE))),IF(EIOPA_RFR!I36&lt;0%,EIOPA_RFR!I36,EIOPA_RFR!I36*(1+VLOOKUP($B75,Int_Rate_Param,3,FALSE))))</f>
        <v>1.3830800000000001E-2</v>
      </c>
      <c r="J75" s="94">
        <f>IF($B75&gt;20,IF(EIOPA_RFR!J36&lt;0%,EIOPA_RFR!J36,EIOPA_RFR!J36*(1+VLOOKUP($B$71,Int_Rate_Param,3,FALSE))),IF(EIOPA_RFR!J36&lt;0%,EIOPA_RFR!J36,EIOPA_RFR!J36*(1+VLOOKUP($B75,Int_Rate_Param,3,FALSE))))</f>
        <v>1.04796E-2</v>
      </c>
      <c r="K75" s="94">
        <f>IF($B75&gt;20,IF(EIOPA_RFR!K36&lt;0%,EIOPA_RFR!K36,EIOPA_RFR!K36*(1+VLOOKUP($B$71,Int_Rate_Param,3,FALSE))),IF(EIOPA_RFR!K36&lt;0%,EIOPA_RFR!K36,EIOPA_RFR!K36*(1+VLOOKUP($B75,Int_Rate_Param,3,FALSE))))</f>
        <v>1.05506E-2</v>
      </c>
      <c r="L75" s="94">
        <f>IF($B75&gt;20,IF(EIOPA_RFR!L36&lt;0%,EIOPA_RFR!L36,EIOPA_RFR!L36*(1+VLOOKUP($B$71,Int_Rate_Param,3,FALSE))),IF(EIOPA_RFR!L36&lt;0%,EIOPA_RFR!L36,EIOPA_RFR!L36*(1+VLOOKUP($B75,Int_Rate_Param,3,FALSE))))</f>
        <v>1.05506E-2</v>
      </c>
      <c r="M75" s="94">
        <f>IF($B75&gt;20,IF(EIOPA_RFR!M36&lt;0%,EIOPA_RFR!M36,EIOPA_RFR!M36*(1+VLOOKUP($B$71,Int_Rate_Param,3,FALSE))),IF(EIOPA_RFR!M36&lt;0%,EIOPA_RFR!M36,EIOPA_RFR!M36*(1+VLOOKUP($B75,Int_Rate_Param,3,FALSE))))</f>
        <v>1.05506E-2</v>
      </c>
      <c r="N75" s="94">
        <f>IF($B75&gt;20,IF(EIOPA_RFR!N36&lt;0%,EIOPA_RFR!N36,EIOPA_RFR!N36*(1+VLOOKUP($B$71,Int_Rate_Param,3,FALSE))),IF(EIOPA_RFR!N36&lt;0%,EIOPA_RFR!N36,EIOPA_RFR!N36*(1+VLOOKUP($B75,Int_Rate_Param,3,FALSE))))</f>
        <v>1.05506E-2</v>
      </c>
      <c r="O75" s="94">
        <f>IF($B75&gt;20,IF(EIOPA_RFR!O36&lt;0%,EIOPA_RFR!O36,EIOPA_RFR!O36*(1+VLOOKUP($B$71,Int_Rate_Param,3,FALSE))),IF(EIOPA_RFR!O36&lt;0%,EIOPA_RFR!O36,EIOPA_RFR!O36*(1+VLOOKUP($B75,Int_Rate_Param,3,FALSE))))</f>
        <v>1.05506E-2</v>
      </c>
      <c r="P75" s="94">
        <f>IF($B75&gt;20,IF(EIOPA_RFR!P36&lt;0%,EIOPA_RFR!P36,EIOPA_RFR!P36*(1+VLOOKUP($B$71,Int_Rate_Param,3,FALSE))),IF(EIOPA_RFR!P36&lt;0%,EIOPA_RFR!P36,EIOPA_RFR!P36*(1+VLOOKUP($B75,Int_Rate_Param,3,FALSE))))</f>
        <v>3.0402199999999997E-2</v>
      </c>
      <c r="Q75" s="94">
        <f>IF($B75&gt;20,IF(EIOPA_RFR!Q36&lt;0%,EIOPA_RFR!Q36,EIOPA_RFR!Q36*(1+VLOOKUP($B$71,Int_Rate_Param,3,FALSE))),IF(EIOPA_RFR!Q36&lt;0%,EIOPA_RFR!Q36,EIOPA_RFR!Q36*(1+VLOOKUP($B75,Int_Rate_Param,3,FALSE))))</f>
        <v>3.2652899999999999E-2</v>
      </c>
      <c r="R75" s="94">
        <f>IF($B75&gt;20,IF(EIOPA_RFR!R36&lt;0%,EIOPA_RFR!R36,EIOPA_RFR!R36*(1+VLOOKUP($B$71,Int_Rate_Param,3,FALSE))),IF(EIOPA_RFR!R36&lt;0%,EIOPA_RFR!R36,EIOPA_RFR!R36*(1+VLOOKUP($B75,Int_Rate_Param,3,FALSE))))</f>
        <v>1.05506E-2</v>
      </c>
      <c r="S75" s="94">
        <f>IF($B75&gt;20,IF(EIOPA_RFR!S36&lt;0%,EIOPA_RFR!S36,EIOPA_RFR!S36*(1+VLOOKUP($B$71,Int_Rate_Param,3,FALSE))),IF(EIOPA_RFR!S36&lt;0%,EIOPA_RFR!S36,EIOPA_RFR!S36*(1+VLOOKUP($B75,Int_Rate_Param,3,FALSE))))</f>
        <v>1.05506E-2</v>
      </c>
      <c r="T75" s="94">
        <f>IF($B75&gt;20,IF(EIOPA_RFR!T36&lt;0%,EIOPA_RFR!T36,EIOPA_RFR!T36*(1+VLOOKUP($B$71,Int_Rate_Param,3,FALSE))),IF(EIOPA_RFR!T36&lt;0%,EIOPA_RFR!T36,EIOPA_RFR!T36*(1+VLOOKUP($B75,Int_Rate_Param,3,FALSE))))</f>
        <v>1.05506E-2</v>
      </c>
      <c r="U75" s="94">
        <f>IF($B75&gt;20,IF(EIOPA_RFR!U36&lt;0%,EIOPA_RFR!U36,EIOPA_RFR!U36*(1+VLOOKUP($B$71,Int_Rate_Param,3,FALSE))),IF(EIOPA_RFR!U36&lt;0%,EIOPA_RFR!U36,EIOPA_RFR!U36*(1+VLOOKUP($B75,Int_Rate_Param,3,FALSE))))</f>
        <v>3.3014999999999997E-3</v>
      </c>
      <c r="V75" s="94">
        <f>IF($B75&gt;20,IF(EIOPA_RFR!V36&lt;0%,EIOPA_RFR!V36,EIOPA_RFR!V36*(1+VLOOKUP($B$71,Int_Rate_Param,3,FALSE))),IF(EIOPA_RFR!V36&lt;0%,EIOPA_RFR!V36,EIOPA_RFR!V36*(1+VLOOKUP($B75,Int_Rate_Param,3,FALSE))))</f>
        <v>1.05506E-2</v>
      </c>
      <c r="W75" s="94">
        <f>IF($B75&gt;20,IF(EIOPA_RFR!W36&lt;0%,EIOPA_RFR!W36,EIOPA_RFR!W36*(1+VLOOKUP($B$71,Int_Rate_Param,3,FALSE))),IF(EIOPA_RFR!W36&lt;0%,EIOPA_RFR!W36,EIOPA_RFR!W36*(1+VLOOKUP($B75,Int_Rate_Param,3,FALSE))))</f>
        <v>1.05506E-2</v>
      </c>
      <c r="X75" s="94">
        <f>IF($B75&gt;20,IF(EIOPA_RFR!X36&lt;0%,EIOPA_RFR!X36,EIOPA_RFR!X36*(1+VLOOKUP($B$71,Int_Rate_Param,3,FALSE))),IF(EIOPA_RFR!X36&lt;0%,EIOPA_RFR!X36,EIOPA_RFR!X36*(1+VLOOKUP($B75,Int_Rate_Param,3,FALSE))))</f>
        <v>1.05506E-2</v>
      </c>
      <c r="Y75" s="94">
        <f>IF($B75&gt;20,IF(EIOPA_RFR!Y36&lt;0%,EIOPA_RFR!Y36,EIOPA_RFR!Y36*(1+VLOOKUP($B$71,Int_Rate_Param,3,FALSE))),IF(EIOPA_RFR!Y36&lt;0%,EIOPA_RFR!Y36,EIOPA_RFR!Y36*(1+VLOOKUP($B75,Int_Rate_Param,3,FALSE))))</f>
        <v>1.05506E-2</v>
      </c>
      <c r="Z75" s="94">
        <f>IF($B75&gt;20,IF(EIOPA_RFR!Z36&lt;0%,EIOPA_RFR!Z36,EIOPA_RFR!Z36*(1+VLOOKUP($B$71,Int_Rate_Param,3,FALSE))),IF(EIOPA_RFR!Z36&lt;0%,EIOPA_RFR!Z36,EIOPA_RFR!Z36*(1+VLOOKUP($B75,Int_Rate_Param,3,FALSE))))</f>
        <v>1.92126E-2</v>
      </c>
      <c r="AA75" s="94">
        <f>IF($B75&gt;20,IF(EIOPA_RFR!AA36&lt;0%,EIOPA_RFR!AA36,EIOPA_RFR!AA36*(1+VLOOKUP($B$71,Int_Rate_Param,3,FALSE))),IF(EIOPA_RFR!AA36&lt;0%,EIOPA_RFR!AA36,EIOPA_RFR!AA36*(1+VLOOKUP($B75,Int_Rate_Param,3,FALSE))))</f>
        <v>2.80521E-2</v>
      </c>
      <c r="AB75" s="94">
        <f>IF($B75&gt;20,IF(EIOPA_RFR!AB36&lt;0%,EIOPA_RFR!AB36,EIOPA_RFR!AB36*(1+VLOOKUP($B$71,Int_Rate_Param,3,FALSE))),IF(EIOPA_RFR!AB36&lt;0%,EIOPA_RFR!AB36,EIOPA_RFR!AB36*(1+VLOOKUP($B75,Int_Rate_Param,3,FALSE))))</f>
        <v>1.05506E-2</v>
      </c>
      <c r="AC75" s="94">
        <f>IF($B75&gt;20,IF(EIOPA_RFR!AC36&lt;0%,EIOPA_RFR!AC36,EIOPA_RFR!AC36*(1+VLOOKUP($B$71,Int_Rate_Param,3,FALSE))),IF(EIOPA_RFR!AC36&lt;0%,EIOPA_RFR!AC36,EIOPA_RFR!AC36*(1+VLOOKUP($B75,Int_Rate_Param,3,FALSE))))</f>
        <v>3.11548E-2</v>
      </c>
      <c r="AD75" s="94">
        <f>IF($B75&gt;20,IF(EIOPA_RFR!AD36&lt;0%,EIOPA_RFR!AD36,EIOPA_RFR!AD36*(1+VLOOKUP($B$71,Int_Rate_Param,3,FALSE))),IF(EIOPA_RFR!AD36&lt;0%,EIOPA_RFR!AD36,EIOPA_RFR!AD36*(1+VLOOKUP($B75,Int_Rate_Param,3,FALSE))))</f>
        <v>4.58234E-2</v>
      </c>
      <c r="AE75" s="94">
        <f>IF($B75&gt;20,IF(EIOPA_RFR!AE36&lt;0%,EIOPA_RFR!AE36,EIOPA_RFR!AE36*(1+VLOOKUP($B$71,Int_Rate_Param,3,FALSE))),IF(EIOPA_RFR!AE36&lt;0%,EIOPA_RFR!AE36,EIOPA_RFR!AE36*(1+VLOOKUP($B75,Int_Rate_Param,3,FALSE))))</f>
        <v>1.05506E-2</v>
      </c>
      <c r="AF75" s="94">
        <f>IF($B75&gt;20,IF(EIOPA_RFR!AF36&lt;0%,EIOPA_RFR!AF36,EIOPA_RFR!AF36*(1+VLOOKUP($B$71,Int_Rate_Param,3,FALSE))),IF(EIOPA_RFR!AF36&lt;0%,EIOPA_RFR!AF36,EIOPA_RFR!AF36*(1+VLOOKUP($B75,Int_Rate_Param,3,FALSE))))</f>
        <v>1.05506E-2</v>
      </c>
      <c r="AG75" s="94">
        <f>IF($B75&gt;20,IF(EIOPA_RFR!AG36&lt;0%,EIOPA_RFR!AG36,EIOPA_RFR!AG36*(1+VLOOKUP($B$71,Int_Rate_Param,3,FALSE))),IF(EIOPA_RFR!AG36&lt;0%,EIOPA_RFR!AG36,EIOPA_RFR!AG36*(1+VLOOKUP($B75,Int_Rate_Param,3,FALSE))))</f>
        <v>1.05506E-2</v>
      </c>
      <c r="AH75" s="94">
        <f>IF($B75&gt;20,IF(EIOPA_RFR!AH36&lt;0%,EIOPA_RFR!AH36,EIOPA_RFR!AH36*(1+VLOOKUP($B$71,Int_Rate_Param,3,FALSE))),IF(EIOPA_RFR!AH36&lt;0%,EIOPA_RFR!AH36,EIOPA_RFR!AH36*(1+VLOOKUP($B75,Int_Rate_Param,3,FALSE))))</f>
        <v>1.9340400000000001E-2</v>
      </c>
      <c r="AI75" s="94">
        <f>IF($B75&gt;20,IF(EIOPA_RFR!AI36&lt;0%,EIOPA_RFR!AI36,EIOPA_RFR!AI36*(1+VLOOKUP($B$71,Int_Rate_Param,3,FALSE))),IF(EIOPA_RFR!AI36&lt;0%,EIOPA_RFR!AI36,EIOPA_RFR!AI36*(1+VLOOKUP($B75,Int_Rate_Param,3,FALSE))))</f>
        <v>3.3014999999999997E-3</v>
      </c>
      <c r="AJ75" s="94">
        <f>IF($B75&gt;20,IF(EIOPA_RFR!AJ36&lt;0%,EIOPA_RFR!AJ36,EIOPA_RFR!AJ36*(1+VLOOKUP($B$71,Int_Rate_Param,3,FALSE))),IF(EIOPA_RFR!AJ36&lt;0%,EIOPA_RFR!AJ36,EIOPA_RFR!AJ36*(1+VLOOKUP($B75,Int_Rate_Param,3,FALSE))))</f>
        <v>9.1518999999999993E-3</v>
      </c>
      <c r="AK75" s="94">
        <f>IF($B75&gt;20,IF(EIOPA_RFR!AK36&lt;0%,EIOPA_RFR!AK36,EIOPA_RFR!AK36*(1+VLOOKUP($B$71,Int_Rate_Param,3,FALSE))),IF(EIOPA_RFR!AK36&lt;0%,EIOPA_RFR!AK36,EIOPA_RFR!AK36*(1+VLOOKUP($B75,Int_Rate_Param,3,FALSE))))</f>
        <v>2.3564899999999996E-2</v>
      </c>
      <c r="AL75" s="94">
        <f>IF($B75&gt;20,IF(EIOPA_RFR!AL36&lt;0%,EIOPA_RFR!AL36,EIOPA_RFR!AL36*(1+VLOOKUP($B$71,Int_Rate_Param,3,FALSE))),IF(EIOPA_RFR!AL36&lt;0%,EIOPA_RFR!AL36,EIOPA_RFR!AL36*(1+VLOOKUP($B75,Int_Rate_Param,3,FALSE))))</f>
        <v>5.8432999999999999E-2</v>
      </c>
      <c r="AM75" s="94">
        <f>IF($B75&gt;20,IF(EIOPA_RFR!AM36&lt;0%,EIOPA_RFR!AM36,EIOPA_RFR!AM36*(1+VLOOKUP($B$71,Int_Rate_Param,3,FALSE))),IF(EIOPA_RFR!AM36&lt;0%,EIOPA_RFR!AM36,EIOPA_RFR!AM36*(1+VLOOKUP($B75,Int_Rate_Param,3,FALSE))))</f>
        <v>1.5889799999999999E-2</v>
      </c>
      <c r="AN75" s="94">
        <f>IF($B75&gt;20,IF(EIOPA_RFR!AN36&lt;0%,EIOPA_RFR!AN36,EIOPA_RFR!AN36*(1+VLOOKUP($B$71,Int_Rate_Param,3,FALSE))),IF(EIOPA_RFR!AN36&lt;0%,EIOPA_RFR!AN36,EIOPA_RFR!AN36*(1+VLOOKUP($B75,Int_Rate_Param,3,FALSE))))</f>
        <v>3.00898E-2</v>
      </c>
      <c r="AO75" s="94">
        <f>IF($B75&gt;20,IF(EIOPA_RFR!AO36&lt;0%,EIOPA_RFR!AO36,EIOPA_RFR!AO36*(1+VLOOKUP($B$71,Int_Rate_Param,3,FALSE))),IF(EIOPA_RFR!AO36&lt;0%,EIOPA_RFR!AO36,EIOPA_RFR!AO36*(1+VLOOKUP($B75,Int_Rate_Param,3,FALSE))))</f>
        <v>3.1445899999999999E-2</v>
      </c>
      <c r="AP75" s="94">
        <f>IF($B75&gt;20,IF(EIOPA_RFR!AP36&lt;0%,EIOPA_RFR!AP36,EIOPA_RFR!AP36*(1+VLOOKUP($B$71,Int_Rate_Param,3,FALSE))),IF(EIOPA_RFR!AP36&lt;0%,EIOPA_RFR!AP36,EIOPA_RFR!AP36*(1+VLOOKUP($B75,Int_Rate_Param,3,FALSE))))</f>
        <v>4.1776399999999998E-2</v>
      </c>
      <c r="AQ75" s="94">
        <f>IF($B75&gt;20,IF(EIOPA_RFR!AQ36&lt;0%,EIOPA_RFR!AQ36,EIOPA_RFR!AQ36*(1+VLOOKUP($B$71,Int_Rate_Param,3,FALSE))),IF(EIOPA_RFR!AQ36&lt;0%,EIOPA_RFR!AQ36,EIOPA_RFR!AQ36*(1+VLOOKUP($B75,Int_Rate_Param,3,FALSE))))</f>
        <v>1.9837399999999998E-2</v>
      </c>
      <c r="AR75" s="94">
        <f>IF($B75&gt;20,IF(EIOPA_RFR!AR36&lt;0%,EIOPA_RFR!AR36,EIOPA_RFR!AR36*(1+VLOOKUP($B$71,Int_Rate_Param,3,FALSE))),IF(EIOPA_RFR!AR36&lt;0%,EIOPA_RFR!AR36,EIOPA_RFR!AR36*(1+VLOOKUP($B75,Int_Rate_Param,3,FALSE))))</f>
        <v>4.6668299999999996E-2</v>
      </c>
      <c r="AS75" s="94">
        <f>IF($B75&gt;20,IF(EIOPA_RFR!AS36&lt;0%,EIOPA_RFR!AS36,EIOPA_RFR!AS36*(1+VLOOKUP($B$71,Int_Rate_Param,3,FALSE))),IF(EIOPA_RFR!AS36&lt;0%,EIOPA_RFR!AS36,EIOPA_RFR!AS36*(1+VLOOKUP($B75,Int_Rate_Param,3,FALSE))))</f>
        <v>4.9061E-3</v>
      </c>
      <c r="AT75" s="94">
        <f>IF($B75&gt;20,IF(EIOPA_RFR!AT36&lt;0%,EIOPA_RFR!AT36,EIOPA_RFR!AT36*(1+VLOOKUP($B$71,Int_Rate_Param,3,FALSE))),IF(EIOPA_RFR!AT36&lt;0%,EIOPA_RFR!AT36,EIOPA_RFR!AT36*(1+VLOOKUP($B75,Int_Rate_Param,3,FALSE))))</f>
        <v>3.0955999999999997E-2</v>
      </c>
      <c r="AU75" s="94">
        <f>IF($B75&gt;20,IF(EIOPA_RFR!AU36&lt;0%,EIOPA_RFR!AU36,EIOPA_RFR!AU36*(1+VLOOKUP($B$71,Int_Rate_Param,3,FALSE))),IF(EIOPA_RFR!AU36&lt;0%,EIOPA_RFR!AU36,EIOPA_RFR!AU36*(1+VLOOKUP($B75,Int_Rate_Param,3,FALSE))))</f>
        <v>5.5798899999999992E-2</v>
      </c>
      <c r="AV75" s="94">
        <f>IF($B75&gt;20,IF(EIOPA_RFR!AV36&lt;0%,EIOPA_RFR!AV36,EIOPA_RFR!AV36*(1+VLOOKUP($B$71,Int_Rate_Param,3,FALSE))),IF(EIOPA_RFR!AV36&lt;0%,EIOPA_RFR!AV36,EIOPA_RFR!AV36*(1+VLOOKUP($B75,Int_Rate_Param,3,FALSE))))</f>
        <v>2.8889899999999996E-2</v>
      </c>
      <c r="AW75" s="94">
        <f>IF($B75&gt;20,IF(EIOPA_RFR!AW36&lt;0%,EIOPA_RFR!AW36,EIOPA_RFR!AW36*(1+VLOOKUP($B$71,Int_Rate_Param,3,FALSE))),IF(EIOPA_RFR!AW36&lt;0%,EIOPA_RFR!AW36,EIOPA_RFR!AW36*(1+VLOOKUP($B75,Int_Rate_Param,3,FALSE))))</f>
        <v>1.9872899999999999E-2</v>
      </c>
      <c r="AX75" s="94">
        <f>IF($B75&gt;20,IF(EIOPA_RFR!AX36&lt;0%,EIOPA_RFR!AX36,EIOPA_RFR!AX36*(1+VLOOKUP($B$71,Int_Rate_Param,3,FALSE))),IF(EIOPA_RFR!AX36&lt;0%,EIOPA_RFR!AX36,EIOPA_RFR!AX36*(1+VLOOKUP($B75,Int_Rate_Param,3,FALSE))))</f>
        <v>5.6487599999999999E-2</v>
      </c>
      <c r="AY75" s="94">
        <f>IF($B75&gt;20,IF(EIOPA_RFR!AY36&lt;0%,EIOPA_RFR!AY36,EIOPA_RFR!AY36*(1+VLOOKUP($B$71,Int_Rate_Param,3,FALSE))),IF(EIOPA_RFR!AY36&lt;0%,EIOPA_RFR!AY36,EIOPA_RFR!AY36*(1+VLOOKUP($B75,Int_Rate_Param,3,FALSE))))</f>
        <v>1.4100599999999998E-2</v>
      </c>
      <c r="AZ75" s="94">
        <f>IF($B75&gt;20,IF(EIOPA_RFR!AZ36&lt;0%,EIOPA_RFR!AZ36,EIOPA_RFR!AZ36*(1+VLOOKUP($B$71,Int_Rate_Param,3,FALSE))),IF(EIOPA_RFR!AZ36&lt;0%,EIOPA_RFR!AZ36,EIOPA_RFR!AZ36*(1+VLOOKUP($B75,Int_Rate_Param,3,FALSE))))</f>
        <v>1.5676799999999998E-2</v>
      </c>
      <c r="BA75" s="94">
        <f>IF($B75&gt;20,IF(EIOPA_RFR!BA36&lt;0%,EIOPA_RFR!BA36,EIOPA_RFR!BA36*(1+VLOOKUP($B$71,Int_Rate_Param,3,FALSE))),IF(EIOPA_RFR!BA36&lt;0%,EIOPA_RFR!BA36,EIOPA_RFR!BA36*(1+VLOOKUP($B75,Int_Rate_Param,3,FALSE))))</f>
        <v>2.2265599999999997E-2</v>
      </c>
      <c r="BB75" s="94">
        <f>IF($B75&gt;20,IF(EIOPA_RFR!BB36&lt;0%,EIOPA_RFR!BB36,EIOPA_RFR!BB36*(1+VLOOKUP($B$71,Int_Rate_Param,3,FALSE))),IF(EIOPA_RFR!BB36&lt;0%,EIOPA_RFR!BB36,EIOPA_RFR!BB36*(1+VLOOKUP($B75,Int_Rate_Param,3,FALSE))))</f>
        <v>6.1116799999999999E-2</v>
      </c>
      <c r="BC75" s="94">
        <f>IF($B75&gt;20,IF(EIOPA_RFR!BC36&lt;0%,EIOPA_RFR!BC36,EIOPA_RFR!BC36*(1+VLOOKUP($B$71,Int_Rate_Param,3,FALSE))),IF(EIOPA_RFR!BC36&lt;0%,EIOPA_RFR!BC36,EIOPA_RFR!BC36*(1+VLOOKUP($B75,Int_Rate_Param,3,FALSE))))</f>
        <v>1.8019799999999999E-2</v>
      </c>
    </row>
    <row r="76" spans="1:55" x14ac:dyDescent="0.25">
      <c r="A76">
        <f t="shared" si="1"/>
        <v>27</v>
      </c>
      <c r="B76" s="95">
        <v>25</v>
      </c>
      <c r="C76" s="94">
        <f>IF($B76&gt;20,IF(EIOPA_RFR!C37&lt;0%,EIOPA_RFR!C37,EIOPA_RFR!C37*(1+VLOOKUP($B$71,Int_Rate_Param,3,FALSE))),IF(EIOPA_RFR!C37&lt;0%,EIOPA_RFR!C37,EIOPA_RFR!C37*(1+VLOOKUP($B76,Int_Rate_Param,3,FALSE))))</f>
        <v>1.1012099999999999E-2</v>
      </c>
      <c r="D76" s="94">
        <f>IF($B76&gt;20,IF(EIOPA_RFR!D37&lt;0%,EIOPA_RFR!D37,EIOPA_RFR!D37*(1+VLOOKUP($B$71,Int_Rate_Param,3,FALSE))),IF(EIOPA_RFR!D37&lt;0%,EIOPA_RFR!D37,EIOPA_RFR!D37*(1+VLOOKUP($B76,Int_Rate_Param,3,FALSE))))</f>
        <v>1.1012099999999999E-2</v>
      </c>
      <c r="E76" s="94">
        <f>IF($B76&gt;20,IF(EIOPA_RFR!E37&lt;0%,EIOPA_RFR!E37,EIOPA_RFR!E37*(1+VLOOKUP($B$71,Int_Rate_Param,3,FALSE))),IF(EIOPA_RFR!E37&lt;0%,EIOPA_RFR!E37,EIOPA_RFR!E37*(1+VLOOKUP($B76,Int_Rate_Param,3,FALSE))))</f>
        <v>1.1012099999999999E-2</v>
      </c>
      <c r="F76" s="94">
        <f>IF($B76&gt;20,IF(EIOPA_RFR!F37&lt;0%,EIOPA_RFR!F37,EIOPA_RFR!F37*(1+VLOOKUP($B$71,Int_Rate_Param,3,FALSE))),IF(EIOPA_RFR!F37&lt;0%,EIOPA_RFR!F37,EIOPA_RFR!F37*(1+VLOOKUP($B76,Int_Rate_Param,3,FALSE))))</f>
        <v>1.0678399999999999E-2</v>
      </c>
      <c r="G76" s="94">
        <f>IF($B76&gt;20,IF(EIOPA_RFR!G37&lt;0%,EIOPA_RFR!G37,EIOPA_RFR!G37*(1+VLOOKUP($B$71,Int_Rate_Param,3,FALSE))),IF(EIOPA_RFR!G37&lt;0%,EIOPA_RFR!G37,EIOPA_RFR!G37*(1+VLOOKUP($B76,Int_Rate_Param,3,FALSE))))</f>
        <v>2.47648E-2</v>
      </c>
      <c r="H76" s="94">
        <f>IF($B76&gt;20,IF(EIOPA_RFR!H37&lt;0%,EIOPA_RFR!H37,EIOPA_RFR!H37*(1+VLOOKUP($B$71,Int_Rate_Param,3,FALSE))),IF(EIOPA_RFR!H37&lt;0%,EIOPA_RFR!H37,EIOPA_RFR!H37*(1+VLOOKUP($B76,Int_Rate_Param,3,FALSE))))</f>
        <v>1.1012099999999999E-2</v>
      </c>
      <c r="I76" s="94">
        <f>IF($B76&gt;20,IF(EIOPA_RFR!I37&lt;0%,EIOPA_RFR!I37,EIOPA_RFR!I37*(1+VLOOKUP($B$71,Int_Rate_Param,3,FALSE))),IF(EIOPA_RFR!I37&lt;0%,EIOPA_RFR!I37,EIOPA_RFR!I37*(1+VLOOKUP($B76,Int_Rate_Param,3,FALSE))))</f>
        <v>1.4292299999999999E-2</v>
      </c>
      <c r="J76" s="94">
        <f>IF($B76&gt;20,IF(EIOPA_RFR!J37&lt;0%,EIOPA_RFR!J37,EIOPA_RFR!J37*(1+VLOOKUP($B$71,Int_Rate_Param,3,FALSE))),IF(EIOPA_RFR!J37&lt;0%,EIOPA_RFR!J37,EIOPA_RFR!J37*(1+VLOOKUP($B76,Int_Rate_Param,3,FALSE))))</f>
        <v>1.09482E-2</v>
      </c>
      <c r="K76" s="94">
        <f>IF($B76&gt;20,IF(EIOPA_RFR!K37&lt;0%,EIOPA_RFR!K37,EIOPA_RFR!K37*(1+VLOOKUP($B$71,Int_Rate_Param,3,FALSE))),IF(EIOPA_RFR!K37&lt;0%,EIOPA_RFR!K37,EIOPA_RFR!K37*(1+VLOOKUP($B76,Int_Rate_Param,3,FALSE))))</f>
        <v>1.1012099999999999E-2</v>
      </c>
      <c r="L76" s="94">
        <f>IF($B76&gt;20,IF(EIOPA_RFR!L37&lt;0%,EIOPA_RFR!L37,EIOPA_RFR!L37*(1+VLOOKUP($B$71,Int_Rate_Param,3,FALSE))),IF(EIOPA_RFR!L37&lt;0%,EIOPA_RFR!L37,EIOPA_RFR!L37*(1+VLOOKUP($B76,Int_Rate_Param,3,FALSE))))</f>
        <v>1.1012099999999999E-2</v>
      </c>
      <c r="M76" s="94">
        <f>IF($B76&gt;20,IF(EIOPA_RFR!M37&lt;0%,EIOPA_RFR!M37,EIOPA_RFR!M37*(1+VLOOKUP($B$71,Int_Rate_Param,3,FALSE))),IF(EIOPA_RFR!M37&lt;0%,EIOPA_RFR!M37,EIOPA_RFR!M37*(1+VLOOKUP($B76,Int_Rate_Param,3,FALSE))))</f>
        <v>1.1012099999999999E-2</v>
      </c>
      <c r="N76" s="94">
        <f>IF($B76&gt;20,IF(EIOPA_RFR!N37&lt;0%,EIOPA_RFR!N37,EIOPA_RFR!N37*(1+VLOOKUP($B$71,Int_Rate_Param,3,FALSE))),IF(EIOPA_RFR!N37&lt;0%,EIOPA_RFR!N37,EIOPA_RFR!N37*(1+VLOOKUP($B76,Int_Rate_Param,3,FALSE))))</f>
        <v>1.1012099999999999E-2</v>
      </c>
      <c r="O76" s="94">
        <f>IF($B76&gt;20,IF(EIOPA_RFR!O37&lt;0%,EIOPA_RFR!O37,EIOPA_RFR!O37*(1+VLOOKUP($B$71,Int_Rate_Param,3,FALSE))),IF(EIOPA_RFR!O37&lt;0%,EIOPA_RFR!O37,EIOPA_RFR!O37*(1+VLOOKUP($B76,Int_Rate_Param,3,FALSE))))</f>
        <v>1.1012099999999999E-2</v>
      </c>
      <c r="P76" s="94">
        <f>IF($B76&gt;20,IF(EIOPA_RFR!P37&lt;0%,EIOPA_RFR!P37,EIOPA_RFR!P37*(1+VLOOKUP($B$71,Int_Rate_Param,3,FALSE))),IF(EIOPA_RFR!P37&lt;0%,EIOPA_RFR!P37,EIOPA_RFR!P37*(1+VLOOKUP($B76,Int_Rate_Param,3,FALSE))))</f>
        <v>3.05087E-2</v>
      </c>
      <c r="Q76" s="94">
        <f>IF($B76&gt;20,IF(EIOPA_RFR!Q37&lt;0%,EIOPA_RFR!Q37,EIOPA_RFR!Q37*(1+VLOOKUP($B$71,Int_Rate_Param,3,FALSE))),IF(EIOPA_RFR!Q37&lt;0%,EIOPA_RFR!Q37,EIOPA_RFR!Q37*(1+VLOOKUP($B76,Int_Rate_Param,3,FALSE))))</f>
        <v>3.2581899999999997E-2</v>
      </c>
      <c r="R76" s="94">
        <f>IF($B76&gt;20,IF(EIOPA_RFR!R37&lt;0%,EIOPA_RFR!R37,EIOPA_RFR!R37*(1+VLOOKUP($B$71,Int_Rate_Param,3,FALSE))),IF(EIOPA_RFR!R37&lt;0%,EIOPA_RFR!R37,EIOPA_RFR!R37*(1+VLOOKUP($B76,Int_Rate_Param,3,FALSE))))</f>
        <v>1.1012099999999999E-2</v>
      </c>
      <c r="S76" s="94">
        <f>IF($B76&gt;20,IF(EIOPA_RFR!S37&lt;0%,EIOPA_RFR!S37,EIOPA_RFR!S37*(1+VLOOKUP($B$71,Int_Rate_Param,3,FALSE))),IF(EIOPA_RFR!S37&lt;0%,EIOPA_RFR!S37,EIOPA_RFR!S37*(1+VLOOKUP($B76,Int_Rate_Param,3,FALSE))))</f>
        <v>1.1012099999999999E-2</v>
      </c>
      <c r="T76" s="94">
        <f>IF($B76&gt;20,IF(EIOPA_RFR!T37&lt;0%,EIOPA_RFR!T37,EIOPA_RFR!T37*(1+VLOOKUP($B$71,Int_Rate_Param,3,FALSE))),IF(EIOPA_RFR!T37&lt;0%,EIOPA_RFR!T37,EIOPA_RFR!T37*(1+VLOOKUP($B76,Int_Rate_Param,3,FALSE))))</f>
        <v>1.1012099999999999E-2</v>
      </c>
      <c r="U76" s="94">
        <f>IF($B76&gt;20,IF(EIOPA_RFR!U37&lt;0%,EIOPA_RFR!U37,EIOPA_RFR!U37*(1+VLOOKUP($B$71,Int_Rate_Param,3,FALSE))),IF(EIOPA_RFR!U37&lt;0%,EIOPA_RFR!U37,EIOPA_RFR!U37*(1+VLOOKUP($B76,Int_Rate_Param,3,FALSE))))</f>
        <v>3.4719E-3</v>
      </c>
      <c r="V76" s="94">
        <f>IF($B76&gt;20,IF(EIOPA_RFR!V37&lt;0%,EIOPA_RFR!V37,EIOPA_RFR!V37*(1+VLOOKUP($B$71,Int_Rate_Param,3,FALSE))),IF(EIOPA_RFR!V37&lt;0%,EIOPA_RFR!V37,EIOPA_RFR!V37*(1+VLOOKUP($B76,Int_Rate_Param,3,FALSE))))</f>
        <v>1.1012099999999999E-2</v>
      </c>
      <c r="W76" s="94">
        <f>IF($B76&gt;20,IF(EIOPA_RFR!W37&lt;0%,EIOPA_RFR!W37,EIOPA_RFR!W37*(1+VLOOKUP($B$71,Int_Rate_Param,3,FALSE))),IF(EIOPA_RFR!W37&lt;0%,EIOPA_RFR!W37,EIOPA_RFR!W37*(1+VLOOKUP($B76,Int_Rate_Param,3,FALSE))))</f>
        <v>1.1012099999999999E-2</v>
      </c>
      <c r="X76" s="94">
        <f>IF($B76&gt;20,IF(EIOPA_RFR!X37&lt;0%,EIOPA_RFR!X37,EIOPA_RFR!X37*(1+VLOOKUP($B$71,Int_Rate_Param,3,FALSE))),IF(EIOPA_RFR!X37&lt;0%,EIOPA_RFR!X37,EIOPA_RFR!X37*(1+VLOOKUP($B76,Int_Rate_Param,3,FALSE))))</f>
        <v>1.1012099999999999E-2</v>
      </c>
      <c r="Y76" s="94">
        <f>IF($B76&gt;20,IF(EIOPA_RFR!Y37&lt;0%,EIOPA_RFR!Y37,EIOPA_RFR!Y37*(1+VLOOKUP($B$71,Int_Rate_Param,3,FALSE))),IF(EIOPA_RFR!Y37&lt;0%,EIOPA_RFR!Y37,EIOPA_RFR!Y37*(1+VLOOKUP($B76,Int_Rate_Param,3,FALSE))))</f>
        <v>1.1012099999999999E-2</v>
      </c>
      <c r="Z76" s="94">
        <f>IF($B76&gt;20,IF(EIOPA_RFR!Z37&lt;0%,EIOPA_RFR!Z37,EIOPA_RFR!Z37*(1+VLOOKUP($B$71,Int_Rate_Param,3,FALSE))),IF(EIOPA_RFR!Z37&lt;0%,EIOPA_RFR!Z37,EIOPA_RFR!Z37*(1+VLOOKUP($B76,Int_Rate_Param,3,FALSE))))</f>
        <v>1.95321E-2</v>
      </c>
      <c r="AA76" s="94">
        <f>IF($B76&gt;20,IF(EIOPA_RFR!AA37&lt;0%,EIOPA_RFR!AA37,EIOPA_RFR!AA37*(1+VLOOKUP($B$71,Int_Rate_Param,3,FALSE))),IF(EIOPA_RFR!AA37&lt;0%,EIOPA_RFR!AA37,EIOPA_RFR!AA37*(1+VLOOKUP($B76,Int_Rate_Param,3,FALSE))))</f>
        <v>2.8151499999999996E-2</v>
      </c>
      <c r="AB76" s="94">
        <f>IF($B76&gt;20,IF(EIOPA_RFR!AB37&lt;0%,EIOPA_RFR!AB37,EIOPA_RFR!AB37*(1+VLOOKUP($B$71,Int_Rate_Param,3,FALSE))),IF(EIOPA_RFR!AB37&lt;0%,EIOPA_RFR!AB37,EIOPA_RFR!AB37*(1+VLOOKUP($B76,Int_Rate_Param,3,FALSE))))</f>
        <v>1.1012099999999999E-2</v>
      </c>
      <c r="AC76" s="94">
        <f>IF($B76&gt;20,IF(EIOPA_RFR!AC37&lt;0%,EIOPA_RFR!AC37,EIOPA_RFR!AC37*(1+VLOOKUP($B$71,Int_Rate_Param,3,FALSE))),IF(EIOPA_RFR!AC37&lt;0%,EIOPA_RFR!AC37,EIOPA_RFR!AC37*(1+VLOOKUP($B76,Int_Rate_Param,3,FALSE))))</f>
        <v>3.1183199999999998E-2</v>
      </c>
      <c r="AD76" s="94">
        <f>IF($B76&gt;20,IF(EIOPA_RFR!AD37&lt;0%,EIOPA_RFR!AD37,EIOPA_RFR!AD37*(1+VLOOKUP($B$71,Int_Rate_Param,3,FALSE))),IF(EIOPA_RFR!AD37&lt;0%,EIOPA_RFR!AD37,EIOPA_RFR!AD37*(1+VLOOKUP($B76,Int_Rate_Param,3,FALSE))))</f>
        <v>4.5340599999999995E-2</v>
      </c>
      <c r="AE76" s="94">
        <f>IF($B76&gt;20,IF(EIOPA_RFR!AE37&lt;0%,EIOPA_RFR!AE37,EIOPA_RFR!AE37*(1+VLOOKUP($B$71,Int_Rate_Param,3,FALSE))),IF(EIOPA_RFR!AE37&lt;0%,EIOPA_RFR!AE37,EIOPA_RFR!AE37*(1+VLOOKUP($B76,Int_Rate_Param,3,FALSE))))</f>
        <v>1.1012099999999999E-2</v>
      </c>
      <c r="AF76" s="94">
        <f>IF($B76&gt;20,IF(EIOPA_RFR!AF37&lt;0%,EIOPA_RFR!AF37,EIOPA_RFR!AF37*(1+VLOOKUP($B$71,Int_Rate_Param,3,FALSE))),IF(EIOPA_RFR!AF37&lt;0%,EIOPA_RFR!AF37,EIOPA_RFR!AF37*(1+VLOOKUP($B76,Int_Rate_Param,3,FALSE))))</f>
        <v>1.1012099999999999E-2</v>
      </c>
      <c r="AG76" s="94">
        <f>IF($B76&gt;20,IF(EIOPA_RFR!AG37&lt;0%,EIOPA_RFR!AG37,EIOPA_RFR!AG37*(1+VLOOKUP($B$71,Int_Rate_Param,3,FALSE))),IF(EIOPA_RFR!AG37&lt;0%,EIOPA_RFR!AG37,EIOPA_RFR!AG37*(1+VLOOKUP($B76,Int_Rate_Param,3,FALSE))))</f>
        <v>1.1012099999999999E-2</v>
      </c>
      <c r="AH76" s="94">
        <f>IF($B76&gt;20,IF(EIOPA_RFR!AH37&lt;0%,EIOPA_RFR!AH37,EIOPA_RFR!AH37*(1+VLOOKUP($B$71,Int_Rate_Param,3,FALSE))),IF(EIOPA_RFR!AH37&lt;0%,EIOPA_RFR!AH37,EIOPA_RFR!AH37*(1+VLOOKUP($B76,Int_Rate_Param,3,FALSE))))</f>
        <v>1.97593E-2</v>
      </c>
      <c r="AI76" s="94">
        <f>IF($B76&gt;20,IF(EIOPA_RFR!AI37&lt;0%,EIOPA_RFR!AI37,EIOPA_RFR!AI37*(1+VLOOKUP($B$71,Int_Rate_Param,3,FALSE))),IF(EIOPA_RFR!AI37&lt;0%,EIOPA_RFR!AI37,EIOPA_RFR!AI37*(1+VLOOKUP($B76,Int_Rate_Param,3,FALSE))))</f>
        <v>3.4719E-3</v>
      </c>
      <c r="AJ76" s="94">
        <f>IF($B76&gt;20,IF(EIOPA_RFR!AJ37&lt;0%,EIOPA_RFR!AJ37,EIOPA_RFR!AJ37*(1+VLOOKUP($B$71,Int_Rate_Param,3,FALSE))),IF(EIOPA_RFR!AJ37&lt;0%,EIOPA_RFR!AJ37,EIOPA_RFR!AJ37*(1+VLOOKUP($B76,Int_Rate_Param,3,FALSE))))</f>
        <v>9.1305999999999991E-3</v>
      </c>
      <c r="AK76" s="94">
        <f>IF($B76&gt;20,IF(EIOPA_RFR!AK37&lt;0%,EIOPA_RFR!AK37,EIOPA_RFR!AK37*(1+VLOOKUP($B$71,Int_Rate_Param,3,FALSE))),IF(EIOPA_RFR!AK37&lt;0%,EIOPA_RFR!AK37,EIOPA_RFR!AK37*(1+VLOOKUP($B76,Int_Rate_Param,3,FALSE))))</f>
        <v>2.3621699999999999E-2</v>
      </c>
      <c r="AL76" s="94">
        <f>IF($B76&gt;20,IF(EIOPA_RFR!AL37&lt;0%,EIOPA_RFR!AL37,EIOPA_RFR!AL37*(1+VLOOKUP($B$71,Int_Rate_Param,3,FALSE))),IF(EIOPA_RFR!AL37&lt;0%,EIOPA_RFR!AL37,EIOPA_RFR!AL37*(1+VLOOKUP($B76,Int_Rate_Param,3,FALSE))))</f>
        <v>5.78153E-2</v>
      </c>
      <c r="AM76" s="94">
        <f>IF($B76&gt;20,IF(EIOPA_RFR!AM37&lt;0%,EIOPA_RFR!AM37,EIOPA_RFR!AM37*(1+VLOOKUP($B$71,Int_Rate_Param,3,FALSE))),IF(EIOPA_RFR!AM37&lt;0%,EIOPA_RFR!AM37,EIOPA_RFR!AM37*(1+VLOOKUP($B76,Int_Rate_Param,3,FALSE))))</f>
        <v>1.5811700000000001E-2</v>
      </c>
      <c r="AN76" s="94">
        <f>IF($B76&gt;20,IF(EIOPA_RFR!AN37&lt;0%,EIOPA_RFR!AN37,EIOPA_RFR!AN37*(1+VLOOKUP($B$71,Int_Rate_Param,3,FALSE))),IF(EIOPA_RFR!AN37&lt;0%,EIOPA_RFR!AN37,EIOPA_RFR!AN37*(1+VLOOKUP($B76,Int_Rate_Param,3,FALSE))))</f>
        <v>3.0118199999999998E-2</v>
      </c>
      <c r="AO76" s="94">
        <f>IF($B76&gt;20,IF(EIOPA_RFR!AO37&lt;0%,EIOPA_RFR!AO37,EIOPA_RFR!AO37*(1+VLOOKUP($B$71,Int_Rate_Param,3,FALSE))),IF(EIOPA_RFR!AO37&lt;0%,EIOPA_RFR!AO37,EIOPA_RFR!AO37*(1+VLOOKUP($B76,Int_Rate_Param,3,FALSE))))</f>
        <v>3.1438799999999996E-2</v>
      </c>
      <c r="AP76" s="94">
        <f>IF($B76&gt;20,IF(EIOPA_RFR!AP37&lt;0%,EIOPA_RFR!AP37,EIOPA_RFR!AP37*(1+VLOOKUP($B$71,Int_Rate_Param,3,FALSE))),IF(EIOPA_RFR!AP37&lt;0%,EIOPA_RFR!AP37,EIOPA_RFR!AP37*(1+VLOOKUP($B76,Int_Rate_Param,3,FALSE))))</f>
        <v>4.1464000000000001E-2</v>
      </c>
      <c r="AQ76" s="94">
        <f>IF($B76&gt;20,IF(EIOPA_RFR!AQ37&lt;0%,EIOPA_RFR!AQ37,EIOPA_RFR!AQ37*(1+VLOOKUP($B$71,Int_Rate_Param,3,FALSE))),IF(EIOPA_RFR!AQ37&lt;0%,EIOPA_RFR!AQ37,EIOPA_RFR!AQ37*(1+VLOOKUP($B76,Int_Rate_Param,3,FALSE))))</f>
        <v>2.0114299999999998E-2</v>
      </c>
      <c r="AR76" s="94">
        <f>IF($B76&gt;20,IF(EIOPA_RFR!AR37&lt;0%,EIOPA_RFR!AR37,EIOPA_RFR!AR37*(1+VLOOKUP($B$71,Int_Rate_Param,3,FALSE))),IF(EIOPA_RFR!AR37&lt;0%,EIOPA_RFR!AR37,EIOPA_RFR!AR37*(1+VLOOKUP($B76,Int_Rate_Param,3,FALSE))))</f>
        <v>4.64269E-2</v>
      </c>
      <c r="AS76" s="94">
        <f>IF($B76&gt;20,IF(EIOPA_RFR!AS37&lt;0%,EIOPA_RFR!AS37,EIOPA_RFR!AS37*(1+VLOOKUP($B$71,Int_Rate_Param,3,FALSE))),IF(EIOPA_RFR!AS37&lt;0%,EIOPA_RFR!AS37,EIOPA_RFR!AS37*(1+VLOOKUP($B76,Int_Rate_Param,3,FALSE))))</f>
        <v>4.9984000000000001E-3</v>
      </c>
      <c r="AT76" s="94">
        <f>IF($B76&gt;20,IF(EIOPA_RFR!AT37&lt;0%,EIOPA_RFR!AT37,EIOPA_RFR!AT37*(1+VLOOKUP($B$71,Int_Rate_Param,3,FALSE))),IF(EIOPA_RFR!AT37&lt;0%,EIOPA_RFR!AT37,EIOPA_RFR!AT37*(1+VLOOKUP($B76,Int_Rate_Param,3,FALSE))))</f>
        <v>3.09631E-2</v>
      </c>
      <c r="AU76" s="94">
        <f>IF($B76&gt;20,IF(EIOPA_RFR!AU37&lt;0%,EIOPA_RFR!AU37,EIOPA_RFR!AU37*(1+VLOOKUP($B$71,Int_Rate_Param,3,FALSE))),IF(EIOPA_RFR!AU37&lt;0%,EIOPA_RFR!AU37,EIOPA_RFR!AU37*(1+VLOOKUP($B76,Int_Rate_Param,3,FALSE))))</f>
        <v>5.5507799999999996E-2</v>
      </c>
      <c r="AV76" s="94">
        <f>IF($B76&gt;20,IF(EIOPA_RFR!AV37&lt;0%,EIOPA_RFR!AV37,EIOPA_RFR!AV37*(1+VLOOKUP($B$71,Int_Rate_Param,3,FALSE))),IF(EIOPA_RFR!AV37&lt;0%,EIOPA_RFR!AV37,EIOPA_RFR!AV37*(1+VLOOKUP($B76,Int_Rate_Param,3,FALSE))))</f>
        <v>2.90248E-2</v>
      </c>
      <c r="AW76" s="94">
        <f>IF($B76&gt;20,IF(EIOPA_RFR!AW37&lt;0%,EIOPA_RFR!AW37,EIOPA_RFR!AW37*(1+VLOOKUP($B$71,Int_Rate_Param,3,FALSE))),IF(EIOPA_RFR!AW37&lt;0%,EIOPA_RFR!AW37,EIOPA_RFR!AW37*(1+VLOOKUP($B76,Int_Rate_Param,3,FALSE))))</f>
        <v>2.0100099999999999E-2</v>
      </c>
      <c r="AX76" s="94">
        <f>IF($B76&gt;20,IF(EIOPA_RFR!AX37&lt;0%,EIOPA_RFR!AX37,EIOPA_RFR!AX37*(1+VLOOKUP($B$71,Int_Rate_Param,3,FALSE))),IF(EIOPA_RFR!AX37&lt;0%,EIOPA_RFR!AX37,EIOPA_RFR!AX37*(1+VLOOKUP($B76,Int_Rate_Param,3,FALSE))))</f>
        <v>5.5997699999999997E-2</v>
      </c>
      <c r="AY76" s="94">
        <f>IF($B76&gt;20,IF(EIOPA_RFR!AY37&lt;0%,EIOPA_RFR!AY37,EIOPA_RFR!AY37*(1+VLOOKUP($B$71,Int_Rate_Param,3,FALSE))),IF(EIOPA_RFR!AY37&lt;0%,EIOPA_RFR!AY37,EIOPA_RFR!AY37*(1+VLOOKUP($B76,Int_Rate_Param,3,FALSE))))</f>
        <v>1.44414E-2</v>
      </c>
      <c r="AZ76" s="94">
        <f>IF($B76&gt;20,IF(EIOPA_RFR!AZ37&lt;0%,EIOPA_RFR!AZ37,EIOPA_RFR!AZ37*(1+VLOOKUP($B$71,Int_Rate_Param,3,FALSE))),IF(EIOPA_RFR!AZ37&lt;0%,EIOPA_RFR!AZ37,EIOPA_RFR!AZ37*(1+VLOOKUP($B76,Int_Rate_Param,3,FALSE))))</f>
        <v>1.6109899999999996E-2</v>
      </c>
      <c r="BA76" s="94">
        <f>IF($B76&gt;20,IF(EIOPA_RFR!BA37&lt;0%,EIOPA_RFR!BA37,EIOPA_RFR!BA37*(1+VLOOKUP($B$71,Int_Rate_Param,3,FALSE))),IF(EIOPA_RFR!BA37&lt;0%,EIOPA_RFR!BA37,EIOPA_RFR!BA37*(1+VLOOKUP($B76,Int_Rate_Param,3,FALSE))))</f>
        <v>2.2485699999999997E-2</v>
      </c>
      <c r="BB76" s="94">
        <f>IF($B76&gt;20,IF(EIOPA_RFR!BB37&lt;0%,EIOPA_RFR!BB37,EIOPA_RFR!BB37*(1+VLOOKUP($B$71,Int_Rate_Param,3,FALSE))),IF(EIOPA_RFR!BB37&lt;0%,EIOPA_RFR!BB37,EIOPA_RFR!BB37*(1+VLOOKUP($B76,Int_Rate_Param,3,FALSE))))</f>
        <v>6.0371299999999996E-2</v>
      </c>
      <c r="BC76" s="94">
        <f>IF($B76&gt;20,IF(EIOPA_RFR!BC37&lt;0%,EIOPA_RFR!BC37,EIOPA_RFR!BC37*(1+VLOOKUP($B$71,Int_Rate_Param,3,FALSE))),IF(EIOPA_RFR!BC37&lt;0%,EIOPA_RFR!BC37,EIOPA_RFR!BC37*(1+VLOOKUP($B76,Int_Rate_Param,3,FALSE))))</f>
        <v>1.8026899999999998E-2</v>
      </c>
    </row>
    <row r="77" spans="1:55" x14ac:dyDescent="0.25">
      <c r="A77">
        <f t="shared" si="1"/>
        <v>28</v>
      </c>
      <c r="B77" s="95">
        <v>26</v>
      </c>
      <c r="C77" s="94">
        <f>IF($B77&gt;20,IF(EIOPA_RFR!C38&lt;0%,EIOPA_RFR!C38,EIOPA_RFR!C38*(1+VLOOKUP($B$71,Int_Rate_Param,3,FALSE))),IF(EIOPA_RFR!C38&lt;0%,EIOPA_RFR!C38,EIOPA_RFR!C38*(1+VLOOKUP($B77,Int_Rate_Param,3,FALSE))))</f>
        <v>1.14736E-2</v>
      </c>
      <c r="D77" s="94">
        <f>IF($B77&gt;20,IF(EIOPA_RFR!D38&lt;0%,EIOPA_RFR!D38,EIOPA_RFR!D38*(1+VLOOKUP($B$71,Int_Rate_Param,3,FALSE))),IF(EIOPA_RFR!D38&lt;0%,EIOPA_RFR!D38,EIOPA_RFR!D38*(1+VLOOKUP($B77,Int_Rate_Param,3,FALSE))))</f>
        <v>1.14736E-2</v>
      </c>
      <c r="E77" s="94">
        <f>IF($B77&gt;20,IF(EIOPA_RFR!E38&lt;0%,EIOPA_RFR!E38,EIOPA_RFR!E38*(1+VLOOKUP($B$71,Int_Rate_Param,3,FALSE))),IF(EIOPA_RFR!E38&lt;0%,EIOPA_RFR!E38,EIOPA_RFR!E38*(1+VLOOKUP($B77,Int_Rate_Param,3,FALSE))))</f>
        <v>1.14736E-2</v>
      </c>
      <c r="F77" s="94">
        <f>IF($B77&gt;20,IF(EIOPA_RFR!F38&lt;0%,EIOPA_RFR!F38,EIOPA_RFR!F38*(1+VLOOKUP($B$71,Int_Rate_Param,3,FALSE))),IF(EIOPA_RFR!F38&lt;0%,EIOPA_RFR!F38,EIOPA_RFR!F38*(1+VLOOKUP($B77,Int_Rate_Param,3,FALSE))))</f>
        <v>1.1154099999999998E-2</v>
      </c>
      <c r="G77" s="94">
        <f>IF($B77&gt;20,IF(EIOPA_RFR!G38&lt;0%,EIOPA_RFR!G38,EIOPA_RFR!G38*(1+VLOOKUP($B$71,Int_Rate_Param,3,FALSE))),IF(EIOPA_RFR!G38&lt;0%,EIOPA_RFR!G38,EIOPA_RFR!G38*(1+VLOOKUP($B77,Int_Rate_Param,3,FALSE))))</f>
        <v>2.4913900000000003E-2</v>
      </c>
      <c r="H77" s="94">
        <f>IF($B77&gt;20,IF(EIOPA_RFR!H38&lt;0%,EIOPA_RFR!H38,EIOPA_RFR!H38*(1+VLOOKUP($B$71,Int_Rate_Param,3,FALSE))),IF(EIOPA_RFR!H38&lt;0%,EIOPA_RFR!H38,EIOPA_RFR!H38*(1+VLOOKUP($B77,Int_Rate_Param,3,FALSE))))</f>
        <v>1.14736E-2</v>
      </c>
      <c r="I77" s="94">
        <f>IF($B77&gt;20,IF(EIOPA_RFR!I38&lt;0%,EIOPA_RFR!I38,EIOPA_RFR!I38*(1+VLOOKUP($B$71,Int_Rate_Param,3,FALSE))),IF(EIOPA_RFR!I38&lt;0%,EIOPA_RFR!I38,EIOPA_RFR!I38*(1+VLOOKUP($B77,Int_Rate_Param,3,FALSE))))</f>
        <v>1.47396E-2</v>
      </c>
      <c r="J77" s="94">
        <f>IF($B77&gt;20,IF(EIOPA_RFR!J38&lt;0%,EIOPA_RFR!J38,EIOPA_RFR!J38*(1+VLOOKUP($B$71,Int_Rate_Param,3,FALSE))),IF(EIOPA_RFR!J38&lt;0%,EIOPA_RFR!J38,EIOPA_RFR!J38*(1+VLOOKUP($B77,Int_Rate_Param,3,FALSE))))</f>
        <v>1.14097E-2</v>
      </c>
      <c r="K77" s="94">
        <f>IF($B77&gt;20,IF(EIOPA_RFR!K38&lt;0%,EIOPA_RFR!K38,EIOPA_RFR!K38*(1+VLOOKUP($B$71,Int_Rate_Param,3,FALSE))),IF(EIOPA_RFR!K38&lt;0%,EIOPA_RFR!K38,EIOPA_RFR!K38*(1+VLOOKUP($B77,Int_Rate_Param,3,FALSE))))</f>
        <v>1.14736E-2</v>
      </c>
      <c r="L77" s="94">
        <f>IF($B77&gt;20,IF(EIOPA_RFR!L38&lt;0%,EIOPA_RFR!L38,EIOPA_RFR!L38*(1+VLOOKUP($B$71,Int_Rate_Param,3,FALSE))),IF(EIOPA_RFR!L38&lt;0%,EIOPA_RFR!L38,EIOPA_RFR!L38*(1+VLOOKUP($B77,Int_Rate_Param,3,FALSE))))</f>
        <v>1.14736E-2</v>
      </c>
      <c r="M77" s="94">
        <f>IF($B77&gt;20,IF(EIOPA_RFR!M38&lt;0%,EIOPA_RFR!M38,EIOPA_RFR!M38*(1+VLOOKUP($B$71,Int_Rate_Param,3,FALSE))),IF(EIOPA_RFR!M38&lt;0%,EIOPA_RFR!M38,EIOPA_RFR!M38*(1+VLOOKUP($B77,Int_Rate_Param,3,FALSE))))</f>
        <v>1.14736E-2</v>
      </c>
      <c r="N77" s="94">
        <f>IF($B77&gt;20,IF(EIOPA_RFR!N38&lt;0%,EIOPA_RFR!N38,EIOPA_RFR!N38*(1+VLOOKUP($B$71,Int_Rate_Param,3,FALSE))),IF(EIOPA_RFR!N38&lt;0%,EIOPA_RFR!N38,EIOPA_RFR!N38*(1+VLOOKUP($B77,Int_Rate_Param,3,FALSE))))</f>
        <v>1.14736E-2</v>
      </c>
      <c r="O77" s="94">
        <f>IF($B77&gt;20,IF(EIOPA_RFR!O38&lt;0%,EIOPA_RFR!O38,EIOPA_RFR!O38*(1+VLOOKUP($B$71,Int_Rate_Param,3,FALSE))),IF(EIOPA_RFR!O38&lt;0%,EIOPA_RFR!O38,EIOPA_RFR!O38*(1+VLOOKUP($B77,Int_Rate_Param,3,FALSE))))</f>
        <v>1.14736E-2</v>
      </c>
      <c r="P77" s="94">
        <f>IF($B77&gt;20,IF(EIOPA_RFR!P38&lt;0%,EIOPA_RFR!P38,EIOPA_RFR!P38*(1+VLOOKUP($B$71,Int_Rate_Param,3,FALSE))),IF(EIOPA_RFR!P38&lt;0%,EIOPA_RFR!P38,EIOPA_RFR!P38*(1+VLOOKUP($B77,Int_Rate_Param,3,FALSE))))</f>
        <v>3.05939E-2</v>
      </c>
      <c r="Q77" s="94">
        <f>IF($B77&gt;20,IF(EIOPA_RFR!Q38&lt;0%,EIOPA_RFR!Q38,EIOPA_RFR!Q38*(1+VLOOKUP($B$71,Int_Rate_Param,3,FALSE))),IF(EIOPA_RFR!Q38&lt;0%,EIOPA_RFR!Q38,EIOPA_RFR!Q38*(1+VLOOKUP($B77,Int_Rate_Param,3,FALSE))))</f>
        <v>3.2517999999999998E-2</v>
      </c>
      <c r="R77" s="94">
        <f>IF($B77&gt;20,IF(EIOPA_RFR!R38&lt;0%,EIOPA_RFR!R38,EIOPA_RFR!R38*(1+VLOOKUP($B$71,Int_Rate_Param,3,FALSE))),IF(EIOPA_RFR!R38&lt;0%,EIOPA_RFR!R38,EIOPA_RFR!R38*(1+VLOOKUP($B77,Int_Rate_Param,3,FALSE))))</f>
        <v>1.14736E-2</v>
      </c>
      <c r="S77" s="94">
        <f>IF($B77&gt;20,IF(EIOPA_RFR!S38&lt;0%,EIOPA_RFR!S38,EIOPA_RFR!S38*(1+VLOOKUP($B$71,Int_Rate_Param,3,FALSE))),IF(EIOPA_RFR!S38&lt;0%,EIOPA_RFR!S38,EIOPA_RFR!S38*(1+VLOOKUP($B77,Int_Rate_Param,3,FALSE))))</f>
        <v>1.14736E-2</v>
      </c>
      <c r="T77" s="94">
        <f>IF($B77&gt;20,IF(EIOPA_RFR!T38&lt;0%,EIOPA_RFR!T38,EIOPA_RFR!T38*(1+VLOOKUP($B$71,Int_Rate_Param,3,FALSE))),IF(EIOPA_RFR!T38&lt;0%,EIOPA_RFR!T38,EIOPA_RFR!T38*(1+VLOOKUP($B77,Int_Rate_Param,3,FALSE))))</f>
        <v>1.14736E-2</v>
      </c>
      <c r="U77" s="94">
        <f>IF($B77&gt;20,IF(EIOPA_RFR!U38&lt;0%,EIOPA_RFR!U38,EIOPA_RFR!U38*(1+VLOOKUP($B$71,Int_Rate_Param,3,FALSE))),IF(EIOPA_RFR!U38&lt;0%,EIOPA_RFR!U38,EIOPA_RFR!U38*(1+VLOOKUP($B77,Int_Rate_Param,3,FALSE))))</f>
        <v>3.6990999999999999E-3</v>
      </c>
      <c r="V77" s="94">
        <f>IF($B77&gt;20,IF(EIOPA_RFR!V38&lt;0%,EIOPA_RFR!V38,EIOPA_RFR!V38*(1+VLOOKUP($B$71,Int_Rate_Param,3,FALSE))),IF(EIOPA_RFR!V38&lt;0%,EIOPA_RFR!V38,EIOPA_RFR!V38*(1+VLOOKUP($B77,Int_Rate_Param,3,FALSE))))</f>
        <v>1.14736E-2</v>
      </c>
      <c r="W77" s="94">
        <f>IF($B77&gt;20,IF(EIOPA_RFR!W38&lt;0%,EIOPA_RFR!W38,EIOPA_RFR!W38*(1+VLOOKUP($B$71,Int_Rate_Param,3,FALSE))),IF(EIOPA_RFR!W38&lt;0%,EIOPA_RFR!W38,EIOPA_RFR!W38*(1+VLOOKUP($B77,Int_Rate_Param,3,FALSE))))</f>
        <v>1.14736E-2</v>
      </c>
      <c r="X77" s="94">
        <f>IF($B77&gt;20,IF(EIOPA_RFR!X38&lt;0%,EIOPA_RFR!X38,EIOPA_RFR!X38*(1+VLOOKUP($B$71,Int_Rate_Param,3,FALSE))),IF(EIOPA_RFR!X38&lt;0%,EIOPA_RFR!X38,EIOPA_RFR!X38*(1+VLOOKUP($B77,Int_Rate_Param,3,FALSE))))</f>
        <v>1.14736E-2</v>
      </c>
      <c r="Y77" s="94">
        <f>IF($B77&gt;20,IF(EIOPA_RFR!Y38&lt;0%,EIOPA_RFR!Y38,EIOPA_RFR!Y38*(1+VLOOKUP($B$71,Int_Rate_Param,3,FALSE))),IF(EIOPA_RFR!Y38&lt;0%,EIOPA_RFR!Y38,EIOPA_RFR!Y38*(1+VLOOKUP($B77,Int_Rate_Param,3,FALSE))))</f>
        <v>1.14736E-2</v>
      </c>
      <c r="Z77" s="94">
        <f>IF($B77&gt;20,IF(EIOPA_RFR!Z38&lt;0%,EIOPA_RFR!Z38,EIOPA_RFR!Z38*(1+VLOOKUP($B$71,Int_Rate_Param,3,FALSE))),IF(EIOPA_RFR!Z38&lt;0%,EIOPA_RFR!Z38,EIOPA_RFR!Z38*(1+VLOOKUP($B77,Int_Rate_Param,3,FALSE))))</f>
        <v>1.9837399999999998E-2</v>
      </c>
      <c r="AA77" s="94">
        <f>IF($B77&gt;20,IF(EIOPA_RFR!AA38&lt;0%,EIOPA_RFR!AA38,EIOPA_RFR!AA38*(1+VLOOKUP($B$71,Int_Rate_Param,3,FALSE))),IF(EIOPA_RFR!AA38&lt;0%,EIOPA_RFR!AA38,EIOPA_RFR!AA38*(1+VLOOKUP($B77,Int_Rate_Param,3,FALSE))))</f>
        <v>2.8243799999999999E-2</v>
      </c>
      <c r="AB77" s="94">
        <f>IF($B77&gt;20,IF(EIOPA_RFR!AB38&lt;0%,EIOPA_RFR!AB38,EIOPA_RFR!AB38*(1+VLOOKUP($B$71,Int_Rate_Param,3,FALSE))),IF(EIOPA_RFR!AB38&lt;0%,EIOPA_RFR!AB38,EIOPA_RFR!AB38*(1+VLOOKUP($B77,Int_Rate_Param,3,FALSE))))</f>
        <v>1.14736E-2</v>
      </c>
      <c r="AC77" s="94">
        <f>IF($B77&gt;20,IF(EIOPA_RFR!AC38&lt;0%,EIOPA_RFR!AC38,EIOPA_RFR!AC38*(1+VLOOKUP($B$71,Int_Rate_Param,3,FALSE))),IF(EIOPA_RFR!AC38&lt;0%,EIOPA_RFR!AC38,EIOPA_RFR!AC38*(1+VLOOKUP($B77,Int_Rate_Param,3,FALSE))))</f>
        <v>3.1197399999999997E-2</v>
      </c>
      <c r="AD77" s="94">
        <f>IF($B77&gt;20,IF(EIOPA_RFR!AD38&lt;0%,EIOPA_RFR!AD38,EIOPA_RFR!AD38*(1+VLOOKUP($B$71,Int_Rate_Param,3,FALSE))),IF(EIOPA_RFR!AD38&lt;0%,EIOPA_RFR!AD38,EIOPA_RFR!AD38*(1+VLOOKUP($B77,Int_Rate_Param,3,FALSE))))</f>
        <v>4.4886199999999994E-2</v>
      </c>
      <c r="AE77" s="94">
        <f>IF($B77&gt;20,IF(EIOPA_RFR!AE38&lt;0%,EIOPA_RFR!AE38,EIOPA_RFR!AE38*(1+VLOOKUP($B$71,Int_Rate_Param,3,FALSE))),IF(EIOPA_RFR!AE38&lt;0%,EIOPA_RFR!AE38,EIOPA_RFR!AE38*(1+VLOOKUP($B77,Int_Rate_Param,3,FALSE))))</f>
        <v>1.14736E-2</v>
      </c>
      <c r="AF77" s="94">
        <f>IF($B77&gt;20,IF(EIOPA_RFR!AF38&lt;0%,EIOPA_RFR!AF38,EIOPA_RFR!AF38*(1+VLOOKUP($B$71,Int_Rate_Param,3,FALSE))),IF(EIOPA_RFR!AF38&lt;0%,EIOPA_RFR!AF38,EIOPA_RFR!AF38*(1+VLOOKUP($B77,Int_Rate_Param,3,FALSE))))</f>
        <v>1.14736E-2</v>
      </c>
      <c r="AG77" s="94">
        <f>IF($B77&gt;20,IF(EIOPA_RFR!AG38&lt;0%,EIOPA_RFR!AG38,EIOPA_RFR!AG38*(1+VLOOKUP($B$71,Int_Rate_Param,3,FALSE))),IF(EIOPA_RFR!AG38&lt;0%,EIOPA_RFR!AG38,EIOPA_RFR!AG38*(1+VLOOKUP($B77,Int_Rate_Param,3,FALSE))))</f>
        <v>1.14736E-2</v>
      </c>
      <c r="AH77" s="94">
        <f>IF($B77&gt;20,IF(EIOPA_RFR!AH38&lt;0%,EIOPA_RFR!AH38,EIOPA_RFR!AH38*(1+VLOOKUP($B$71,Int_Rate_Param,3,FALSE))),IF(EIOPA_RFR!AH38&lt;0%,EIOPA_RFR!AH38,EIOPA_RFR!AH38*(1+VLOOKUP($B77,Int_Rate_Param,3,FALSE))))</f>
        <v>2.0142699999999999E-2</v>
      </c>
      <c r="AI77" s="94">
        <f>IF($B77&gt;20,IF(EIOPA_RFR!AI38&lt;0%,EIOPA_RFR!AI38,EIOPA_RFR!AI38*(1+VLOOKUP($B$71,Int_Rate_Param,3,FALSE))),IF(EIOPA_RFR!AI38&lt;0%,EIOPA_RFR!AI38,EIOPA_RFR!AI38*(1+VLOOKUP($B77,Int_Rate_Param,3,FALSE))))</f>
        <v>3.6990999999999999E-3</v>
      </c>
      <c r="AJ77" s="94">
        <f>IF($B77&gt;20,IF(EIOPA_RFR!AJ38&lt;0%,EIOPA_RFR!AJ38,EIOPA_RFR!AJ38*(1+VLOOKUP($B$71,Int_Rate_Param,3,FALSE))),IF(EIOPA_RFR!AJ38&lt;0%,EIOPA_RFR!AJ38,EIOPA_RFR!AJ38*(1+VLOOKUP($B77,Int_Rate_Param,3,FALSE))))</f>
        <v>9.0951000000000001E-3</v>
      </c>
      <c r="AK77" s="94">
        <f>IF($B77&gt;20,IF(EIOPA_RFR!AK38&lt;0%,EIOPA_RFR!AK38,EIOPA_RFR!AK38*(1+VLOOKUP($B$71,Int_Rate_Param,3,FALSE))),IF(EIOPA_RFR!AK38&lt;0%,EIOPA_RFR!AK38,EIOPA_RFR!AK38*(1+VLOOKUP($B77,Int_Rate_Param,3,FALSE))))</f>
        <v>2.3635899999999998E-2</v>
      </c>
      <c r="AL77" s="94">
        <f>IF($B77&gt;20,IF(EIOPA_RFR!AL38&lt;0%,EIOPA_RFR!AL38,EIOPA_RFR!AL38*(1+VLOOKUP($B$71,Int_Rate_Param,3,FALSE))),IF(EIOPA_RFR!AL38&lt;0%,EIOPA_RFR!AL38,EIOPA_RFR!AL38*(1+VLOOKUP($B77,Int_Rate_Param,3,FALSE))))</f>
        <v>5.7218899999999996E-2</v>
      </c>
      <c r="AM77" s="94">
        <f>IF($B77&gt;20,IF(EIOPA_RFR!AM38&lt;0%,EIOPA_RFR!AM38,EIOPA_RFR!AM38*(1+VLOOKUP($B$71,Int_Rate_Param,3,FALSE))),IF(EIOPA_RFR!AM38&lt;0%,EIOPA_RFR!AM38,EIOPA_RFR!AM38*(1+VLOOKUP($B77,Int_Rate_Param,3,FALSE))))</f>
        <v>1.5754899999999999E-2</v>
      </c>
      <c r="AN77" s="94">
        <f>IF($B77&gt;20,IF(EIOPA_RFR!AN38&lt;0%,EIOPA_RFR!AN38,EIOPA_RFR!AN38*(1+VLOOKUP($B$71,Int_Rate_Param,3,FALSE))),IF(EIOPA_RFR!AN38&lt;0%,EIOPA_RFR!AN38,EIOPA_RFR!AN38*(1+VLOOKUP($B77,Int_Rate_Param,3,FALSE))))</f>
        <v>3.0146599999999996E-2</v>
      </c>
      <c r="AO77" s="94">
        <f>IF($B77&gt;20,IF(EIOPA_RFR!AO38&lt;0%,EIOPA_RFR!AO38,EIOPA_RFR!AO38*(1+VLOOKUP($B$71,Int_Rate_Param,3,FALSE))),IF(EIOPA_RFR!AO38&lt;0%,EIOPA_RFR!AO38,EIOPA_RFR!AO38*(1+VLOOKUP($B77,Int_Rate_Param,3,FALSE))))</f>
        <v>3.1424599999999997E-2</v>
      </c>
      <c r="AP77" s="94">
        <f>IF($B77&gt;20,IF(EIOPA_RFR!AP38&lt;0%,EIOPA_RFR!AP38,EIOPA_RFR!AP38*(1+VLOOKUP($B$71,Int_Rate_Param,3,FALSE))),IF(EIOPA_RFR!AP38&lt;0%,EIOPA_RFR!AP38,EIOPA_RFR!AP38*(1+VLOOKUP($B77,Int_Rate_Param,3,FALSE))))</f>
        <v>4.1158699999999999E-2</v>
      </c>
      <c r="AQ77" s="94">
        <f>IF($B77&gt;20,IF(EIOPA_RFR!AQ38&lt;0%,EIOPA_RFR!AQ38,EIOPA_RFR!AQ38*(1+VLOOKUP($B$71,Int_Rate_Param,3,FALSE))),IF(EIOPA_RFR!AQ38&lt;0%,EIOPA_RFR!AQ38,EIOPA_RFR!AQ38*(1+VLOOKUP($B77,Int_Rate_Param,3,FALSE))))</f>
        <v>2.0384099999999999E-2</v>
      </c>
      <c r="AR77" s="94">
        <f>IF($B77&gt;20,IF(EIOPA_RFR!AR38&lt;0%,EIOPA_RFR!AR38,EIOPA_RFR!AR38*(1+VLOOKUP($B$71,Int_Rate_Param,3,FALSE))),IF(EIOPA_RFR!AR38&lt;0%,EIOPA_RFR!AR38,EIOPA_RFR!AR38*(1+VLOOKUP($B77,Int_Rate_Param,3,FALSE))))</f>
        <v>4.6185499999999997E-2</v>
      </c>
      <c r="AS77" s="94">
        <f>IF($B77&gt;20,IF(EIOPA_RFR!AS38&lt;0%,EIOPA_RFR!AS38,EIOPA_RFR!AS38*(1+VLOOKUP($B$71,Int_Rate_Param,3,FALSE))),IF(EIOPA_RFR!AS38&lt;0%,EIOPA_RFR!AS38,EIOPA_RFR!AS38*(1+VLOOKUP($B77,Int_Rate_Param,3,FALSE))))</f>
        <v>5.0551999999999993E-3</v>
      </c>
      <c r="AT77" s="94">
        <f>IF($B77&gt;20,IF(EIOPA_RFR!AT38&lt;0%,EIOPA_RFR!AT38,EIOPA_RFR!AT38*(1+VLOOKUP($B$71,Int_Rate_Param,3,FALSE))),IF(EIOPA_RFR!AT38&lt;0%,EIOPA_RFR!AT38,EIOPA_RFR!AT38*(1+VLOOKUP($B77,Int_Rate_Param,3,FALSE))))</f>
        <v>3.0970199999999996E-2</v>
      </c>
      <c r="AU77" s="94">
        <f>IF($B77&gt;20,IF(EIOPA_RFR!AU38&lt;0%,EIOPA_RFR!AU38,EIOPA_RFR!AU38*(1+VLOOKUP($B$71,Int_Rate_Param,3,FALSE))),IF(EIOPA_RFR!AU38&lt;0%,EIOPA_RFR!AU38,EIOPA_RFR!AU38*(1+VLOOKUP($B77,Int_Rate_Param,3,FALSE))))</f>
        <v>5.5181199999999993E-2</v>
      </c>
      <c r="AV77" s="94">
        <f>IF($B77&gt;20,IF(EIOPA_RFR!AV38&lt;0%,EIOPA_RFR!AV38,EIOPA_RFR!AV38*(1+VLOOKUP($B$71,Int_Rate_Param,3,FALSE))),IF(EIOPA_RFR!AV38&lt;0%,EIOPA_RFR!AV38,EIOPA_RFR!AV38*(1+VLOOKUP($B77,Int_Rate_Param,3,FALSE))))</f>
        <v>2.9138399999999998E-2</v>
      </c>
      <c r="AW77" s="94">
        <f>IF($B77&gt;20,IF(EIOPA_RFR!AW38&lt;0%,EIOPA_RFR!AW38,EIOPA_RFR!AW38*(1+VLOOKUP($B$71,Int_Rate_Param,3,FALSE))),IF(EIOPA_RFR!AW38&lt;0%,EIOPA_RFR!AW38,EIOPA_RFR!AW38*(1+VLOOKUP($B77,Int_Rate_Param,3,FALSE))))</f>
        <v>2.03202E-2</v>
      </c>
      <c r="AX77" s="94">
        <f>IF($B77&gt;20,IF(EIOPA_RFR!AX38&lt;0%,EIOPA_RFR!AX38,EIOPA_RFR!AX38*(1+VLOOKUP($B$71,Int_Rate_Param,3,FALSE))),IF(EIOPA_RFR!AX38&lt;0%,EIOPA_RFR!AX38,EIOPA_RFR!AX38*(1+VLOOKUP($B77,Int_Rate_Param,3,FALSE))))</f>
        <v>5.5514899999999992E-2</v>
      </c>
      <c r="AY77" s="94">
        <f>IF($B77&gt;20,IF(EIOPA_RFR!AY38&lt;0%,EIOPA_RFR!AY38,EIOPA_RFR!AY38*(1+VLOOKUP($B$71,Int_Rate_Param,3,FALSE))),IF(EIOPA_RFR!AY38&lt;0%,EIOPA_RFR!AY38,EIOPA_RFR!AY38*(1+VLOOKUP($B77,Int_Rate_Param,3,FALSE))))</f>
        <v>1.4782200000000001E-2</v>
      </c>
      <c r="AZ77" s="94">
        <f>IF($B77&gt;20,IF(EIOPA_RFR!AZ38&lt;0%,EIOPA_RFR!AZ38,EIOPA_RFR!AZ38*(1+VLOOKUP($B$71,Int_Rate_Param,3,FALSE))),IF(EIOPA_RFR!AZ38&lt;0%,EIOPA_RFR!AZ38,EIOPA_RFR!AZ38*(1+VLOOKUP($B77,Int_Rate_Param,3,FALSE))))</f>
        <v>1.6521699999999997E-2</v>
      </c>
      <c r="BA77" s="94">
        <f>IF($B77&gt;20,IF(EIOPA_RFR!BA38&lt;0%,EIOPA_RFR!BA38,EIOPA_RFR!BA38*(1+VLOOKUP($B$71,Int_Rate_Param,3,FALSE))),IF(EIOPA_RFR!BA38&lt;0%,EIOPA_RFR!BA38,EIOPA_RFR!BA38*(1+VLOOKUP($B77,Int_Rate_Param,3,FALSE))))</f>
        <v>2.2691599999999999E-2</v>
      </c>
      <c r="BB77" s="94">
        <f>IF($B77&gt;20,IF(EIOPA_RFR!BB38&lt;0%,EIOPA_RFR!BB38,EIOPA_RFR!BB38*(1+VLOOKUP($B$71,Int_Rate_Param,3,FALSE))),IF(EIOPA_RFR!BB38&lt;0%,EIOPA_RFR!BB38,EIOPA_RFR!BB38*(1+VLOOKUP($B77,Int_Rate_Param,3,FALSE))))</f>
        <v>5.9661299999999994E-2</v>
      </c>
      <c r="BC77" s="94">
        <f>IF($B77&gt;20,IF(EIOPA_RFR!BC38&lt;0%,EIOPA_RFR!BC38,EIOPA_RFR!BC38*(1+VLOOKUP($B$71,Int_Rate_Param,3,FALSE))),IF(EIOPA_RFR!BC38&lt;0%,EIOPA_RFR!BC38,EIOPA_RFR!BC38*(1+VLOOKUP($B77,Int_Rate_Param,3,FALSE))))</f>
        <v>1.8033999999999998E-2</v>
      </c>
    </row>
    <row r="78" spans="1:55" x14ac:dyDescent="0.25">
      <c r="A78">
        <f t="shared" si="1"/>
        <v>29</v>
      </c>
      <c r="B78" s="95">
        <v>27</v>
      </c>
      <c r="C78" s="94">
        <f>IF($B78&gt;20,IF(EIOPA_RFR!C39&lt;0%,EIOPA_RFR!C39,EIOPA_RFR!C39*(1+VLOOKUP($B$71,Int_Rate_Param,3,FALSE))),IF(EIOPA_RFR!C39&lt;0%,EIOPA_RFR!C39,EIOPA_RFR!C39*(1+VLOOKUP($B78,Int_Rate_Param,3,FALSE))))</f>
        <v>1.1935099999999999E-2</v>
      </c>
      <c r="D78" s="94">
        <f>IF($B78&gt;20,IF(EIOPA_RFR!D39&lt;0%,EIOPA_RFR!D39,EIOPA_RFR!D39*(1+VLOOKUP($B$71,Int_Rate_Param,3,FALSE))),IF(EIOPA_RFR!D39&lt;0%,EIOPA_RFR!D39,EIOPA_RFR!D39*(1+VLOOKUP($B78,Int_Rate_Param,3,FALSE))))</f>
        <v>1.1935099999999999E-2</v>
      </c>
      <c r="E78" s="94">
        <f>IF($B78&gt;20,IF(EIOPA_RFR!E39&lt;0%,EIOPA_RFR!E39,EIOPA_RFR!E39*(1+VLOOKUP($B$71,Int_Rate_Param,3,FALSE))),IF(EIOPA_RFR!E39&lt;0%,EIOPA_RFR!E39,EIOPA_RFR!E39*(1+VLOOKUP($B78,Int_Rate_Param,3,FALSE))))</f>
        <v>1.1935099999999999E-2</v>
      </c>
      <c r="F78" s="94">
        <f>IF($B78&gt;20,IF(EIOPA_RFR!F39&lt;0%,EIOPA_RFR!F39,EIOPA_RFR!F39*(1+VLOOKUP($B$71,Int_Rate_Param,3,FALSE))),IF(EIOPA_RFR!F39&lt;0%,EIOPA_RFR!F39,EIOPA_RFR!F39*(1+VLOOKUP($B78,Int_Rate_Param,3,FALSE))))</f>
        <v>1.1622699999999998E-2</v>
      </c>
      <c r="G78" s="94">
        <f>IF($B78&gt;20,IF(EIOPA_RFR!G39&lt;0%,EIOPA_RFR!G39,EIOPA_RFR!G39*(1+VLOOKUP($B$71,Int_Rate_Param,3,FALSE))),IF(EIOPA_RFR!G39&lt;0%,EIOPA_RFR!G39,EIOPA_RFR!G39*(1+VLOOKUP($B78,Int_Rate_Param,3,FALSE))))</f>
        <v>2.5055899999999999E-2</v>
      </c>
      <c r="H78" s="94">
        <f>IF($B78&gt;20,IF(EIOPA_RFR!H39&lt;0%,EIOPA_RFR!H39,EIOPA_RFR!H39*(1+VLOOKUP($B$71,Int_Rate_Param,3,FALSE))),IF(EIOPA_RFR!H39&lt;0%,EIOPA_RFR!H39,EIOPA_RFR!H39*(1+VLOOKUP($B78,Int_Rate_Param,3,FALSE))))</f>
        <v>1.1935099999999999E-2</v>
      </c>
      <c r="I78" s="94">
        <f>IF($B78&gt;20,IF(EIOPA_RFR!I39&lt;0%,EIOPA_RFR!I39,EIOPA_RFR!I39*(1+VLOOKUP($B$71,Int_Rate_Param,3,FALSE))),IF(EIOPA_RFR!I39&lt;0%,EIOPA_RFR!I39,EIOPA_RFR!I39*(1+VLOOKUP($B78,Int_Rate_Param,3,FALSE))))</f>
        <v>1.51656E-2</v>
      </c>
      <c r="J78" s="94">
        <f>IF($B78&gt;20,IF(EIOPA_RFR!J39&lt;0%,EIOPA_RFR!J39,EIOPA_RFR!J39*(1+VLOOKUP($B$71,Int_Rate_Param,3,FALSE))),IF(EIOPA_RFR!J39&lt;0%,EIOPA_RFR!J39,EIOPA_RFR!J39*(1+VLOOKUP($B78,Int_Rate_Param,3,FALSE))))</f>
        <v>1.1878299999999998E-2</v>
      </c>
      <c r="K78" s="94">
        <f>IF($B78&gt;20,IF(EIOPA_RFR!K39&lt;0%,EIOPA_RFR!K39,EIOPA_RFR!K39*(1+VLOOKUP($B$71,Int_Rate_Param,3,FALSE))),IF(EIOPA_RFR!K39&lt;0%,EIOPA_RFR!K39,EIOPA_RFR!K39*(1+VLOOKUP($B78,Int_Rate_Param,3,FALSE))))</f>
        <v>1.1935099999999999E-2</v>
      </c>
      <c r="L78" s="94">
        <f>IF($B78&gt;20,IF(EIOPA_RFR!L39&lt;0%,EIOPA_RFR!L39,EIOPA_RFR!L39*(1+VLOOKUP($B$71,Int_Rate_Param,3,FALSE))),IF(EIOPA_RFR!L39&lt;0%,EIOPA_RFR!L39,EIOPA_RFR!L39*(1+VLOOKUP($B78,Int_Rate_Param,3,FALSE))))</f>
        <v>1.1935099999999999E-2</v>
      </c>
      <c r="M78" s="94">
        <f>IF($B78&gt;20,IF(EIOPA_RFR!M39&lt;0%,EIOPA_RFR!M39,EIOPA_RFR!M39*(1+VLOOKUP($B$71,Int_Rate_Param,3,FALSE))),IF(EIOPA_RFR!M39&lt;0%,EIOPA_RFR!M39,EIOPA_RFR!M39*(1+VLOOKUP($B78,Int_Rate_Param,3,FALSE))))</f>
        <v>1.1935099999999999E-2</v>
      </c>
      <c r="N78" s="94">
        <f>IF($B78&gt;20,IF(EIOPA_RFR!N39&lt;0%,EIOPA_RFR!N39,EIOPA_RFR!N39*(1+VLOOKUP($B$71,Int_Rate_Param,3,FALSE))),IF(EIOPA_RFR!N39&lt;0%,EIOPA_RFR!N39,EIOPA_RFR!N39*(1+VLOOKUP($B78,Int_Rate_Param,3,FALSE))))</f>
        <v>1.1935099999999999E-2</v>
      </c>
      <c r="O78" s="94">
        <f>IF($B78&gt;20,IF(EIOPA_RFR!O39&lt;0%,EIOPA_RFR!O39,EIOPA_RFR!O39*(1+VLOOKUP($B$71,Int_Rate_Param,3,FALSE))),IF(EIOPA_RFR!O39&lt;0%,EIOPA_RFR!O39,EIOPA_RFR!O39*(1+VLOOKUP($B78,Int_Rate_Param,3,FALSE))))</f>
        <v>1.1935099999999999E-2</v>
      </c>
      <c r="P78" s="94">
        <f>IF($B78&gt;20,IF(EIOPA_RFR!P39&lt;0%,EIOPA_RFR!P39,EIOPA_RFR!P39*(1+VLOOKUP($B$71,Int_Rate_Param,3,FALSE))),IF(EIOPA_RFR!P39&lt;0%,EIOPA_RFR!P39,EIOPA_RFR!P39*(1+VLOOKUP($B78,Int_Rate_Param,3,FALSE))))</f>
        <v>3.0664899999999998E-2</v>
      </c>
      <c r="Q78" s="94">
        <f>IF($B78&gt;20,IF(EIOPA_RFR!Q39&lt;0%,EIOPA_RFR!Q39,EIOPA_RFR!Q39*(1+VLOOKUP($B$71,Int_Rate_Param,3,FALSE))),IF(EIOPA_RFR!Q39&lt;0%,EIOPA_RFR!Q39,EIOPA_RFR!Q39*(1+VLOOKUP($B78,Int_Rate_Param,3,FALSE))))</f>
        <v>3.24541E-2</v>
      </c>
      <c r="R78" s="94">
        <f>IF($B78&gt;20,IF(EIOPA_RFR!R39&lt;0%,EIOPA_RFR!R39,EIOPA_RFR!R39*(1+VLOOKUP($B$71,Int_Rate_Param,3,FALSE))),IF(EIOPA_RFR!R39&lt;0%,EIOPA_RFR!R39,EIOPA_RFR!R39*(1+VLOOKUP($B78,Int_Rate_Param,3,FALSE))))</f>
        <v>1.1935099999999999E-2</v>
      </c>
      <c r="S78" s="94">
        <f>IF($B78&gt;20,IF(EIOPA_RFR!S39&lt;0%,EIOPA_RFR!S39,EIOPA_RFR!S39*(1+VLOOKUP($B$71,Int_Rate_Param,3,FALSE))),IF(EIOPA_RFR!S39&lt;0%,EIOPA_RFR!S39,EIOPA_RFR!S39*(1+VLOOKUP($B78,Int_Rate_Param,3,FALSE))))</f>
        <v>1.1935099999999999E-2</v>
      </c>
      <c r="T78" s="94">
        <f>IF($B78&gt;20,IF(EIOPA_RFR!T39&lt;0%,EIOPA_RFR!T39,EIOPA_RFR!T39*(1+VLOOKUP($B$71,Int_Rate_Param,3,FALSE))),IF(EIOPA_RFR!T39&lt;0%,EIOPA_RFR!T39,EIOPA_RFR!T39*(1+VLOOKUP($B78,Int_Rate_Param,3,FALSE))))</f>
        <v>1.1935099999999999E-2</v>
      </c>
      <c r="U78" s="94">
        <f>IF($B78&gt;20,IF(EIOPA_RFR!U39&lt;0%,EIOPA_RFR!U39,EIOPA_RFR!U39*(1+VLOOKUP($B$71,Int_Rate_Param,3,FALSE))),IF(EIOPA_RFR!U39&lt;0%,EIOPA_RFR!U39,EIOPA_RFR!U39*(1+VLOOKUP($B78,Int_Rate_Param,3,FALSE))))</f>
        <v>3.9759999999999995E-3</v>
      </c>
      <c r="V78" s="94">
        <f>IF($B78&gt;20,IF(EIOPA_RFR!V39&lt;0%,EIOPA_RFR!V39,EIOPA_RFR!V39*(1+VLOOKUP($B$71,Int_Rate_Param,3,FALSE))),IF(EIOPA_RFR!V39&lt;0%,EIOPA_RFR!V39,EIOPA_RFR!V39*(1+VLOOKUP($B78,Int_Rate_Param,3,FALSE))))</f>
        <v>1.1935099999999999E-2</v>
      </c>
      <c r="W78" s="94">
        <f>IF($B78&gt;20,IF(EIOPA_RFR!W39&lt;0%,EIOPA_RFR!W39,EIOPA_RFR!W39*(1+VLOOKUP($B$71,Int_Rate_Param,3,FALSE))),IF(EIOPA_RFR!W39&lt;0%,EIOPA_RFR!W39,EIOPA_RFR!W39*(1+VLOOKUP($B78,Int_Rate_Param,3,FALSE))))</f>
        <v>1.1935099999999999E-2</v>
      </c>
      <c r="X78" s="94">
        <f>IF($B78&gt;20,IF(EIOPA_RFR!X39&lt;0%,EIOPA_RFR!X39,EIOPA_RFR!X39*(1+VLOOKUP($B$71,Int_Rate_Param,3,FALSE))),IF(EIOPA_RFR!X39&lt;0%,EIOPA_RFR!X39,EIOPA_RFR!X39*(1+VLOOKUP($B78,Int_Rate_Param,3,FALSE))))</f>
        <v>1.1935099999999999E-2</v>
      </c>
      <c r="Y78" s="94">
        <f>IF($B78&gt;20,IF(EIOPA_RFR!Y39&lt;0%,EIOPA_RFR!Y39,EIOPA_RFR!Y39*(1+VLOOKUP($B$71,Int_Rate_Param,3,FALSE))),IF(EIOPA_RFR!Y39&lt;0%,EIOPA_RFR!Y39,EIOPA_RFR!Y39*(1+VLOOKUP($B78,Int_Rate_Param,3,FALSE))))</f>
        <v>1.1935099999999999E-2</v>
      </c>
      <c r="Z78" s="94">
        <f>IF($B78&gt;20,IF(EIOPA_RFR!Z39&lt;0%,EIOPA_RFR!Z39,EIOPA_RFR!Z39*(1+VLOOKUP($B$71,Int_Rate_Param,3,FALSE))),IF(EIOPA_RFR!Z39&lt;0%,EIOPA_RFR!Z39,EIOPA_RFR!Z39*(1+VLOOKUP($B78,Int_Rate_Param,3,FALSE))))</f>
        <v>2.0128500000000001E-2</v>
      </c>
      <c r="AA78" s="94">
        <f>IF($B78&gt;20,IF(EIOPA_RFR!AA39&lt;0%,EIOPA_RFR!AA39,EIOPA_RFR!AA39*(1+VLOOKUP($B$71,Int_Rate_Param,3,FALSE))),IF(EIOPA_RFR!AA39&lt;0%,EIOPA_RFR!AA39,EIOPA_RFR!AA39*(1+VLOOKUP($B78,Int_Rate_Param,3,FALSE))))</f>
        <v>2.8328999999999997E-2</v>
      </c>
      <c r="AB78" s="94">
        <f>IF($B78&gt;20,IF(EIOPA_RFR!AB39&lt;0%,EIOPA_RFR!AB39,EIOPA_RFR!AB39*(1+VLOOKUP($B$71,Int_Rate_Param,3,FALSE))),IF(EIOPA_RFR!AB39&lt;0%,EIOPA_RFR!AB39,EIOPA_RFR!AB39*(1+VLOOKUP($B78,Int_Rate_Param,3,FALSE))))</f>
        <v>1.1935099999999999E-2</v>
      </c>
      <c r="AC78" s="94">
        <f>IF($B78&gt;20,IF(EIOPA_RFR!AC39&lt;0%,EIOPA_RFR!AC39,EIOPA_RFR!AC39*(1+VLOOKUP($B$71,Int_Rate_Param,3,FALSE))),IF(EIOPA_RFR!AC39&lt;0%,EIOPA_RFR!AC39,EIOPA_RFR!AC39*(1+VLOOKUP($B78,Int_Rate_Param,3,FALSE))))</f>
        <v>3.12045E-2</v>
      </c>
      <c r="AD78" s="94">
        <f>IF($B78&gt;20,IF(EIOPA_RFR!AD39&lt;0%,EIOPA_RFR!AD39,EIOPA_RFR!AD39*(1+VLOOKUP($B$71,Int_Rate_Param,3,FALSE))),IF(EIOPA_RFR!AD39&lt;0%,EIOPA_RFR!AD39,EIOPA_RFR!AD39*(1+VLOOKUP($B78,Int_Rate_Param,3,FALSE))))</f>
        <v>4.4445999999999999E-2</v>
      </c>
      <c r="AE78" s="94">
        <f>IF($B78&gt;20,IF(EIOPA_RFR!AE39&lt;0%,EIOPA_RFR!AE39,EIOPA_RFR!AE39*(1+VLOOKUP($B$71,Int_Rate_Param,3,FALSE))),IF(EIOPA_RFR!AE39&lt;0%,EIOPA_RFR!AE39,EIOPA_RFR!AE39*(1+VLOOKUP($B78,Int_Rate_Param,3,FALSE))))</f>
        <v>1.1935099999999999E-2</v>
      </c>
      <c r="AF78" s="94">
        <f>IF($B78&gt;20,IF(EIOPA_RFR!AF39&lt;0%,EIOPA_RFR!AF39,EIOPA_RFR!AF39*(1+VLOOKUP($B$71,Int_Rate_Param,3,FALSE))),IF(EIOPA_RFR!AF39&lt;0%,EIOPA_RFR!AF39,EIOPA_RFR!AF39*(1+VLOOKUP($B78,Int_Rate_Param,3,FALSE))))</f>
        <v>1.1935099999999999E-2</v>
      </c>
      <c r="AG78" s="94">
        <f>IF($B78&gt;20,IF(EIOPA_RFR!AG39&lt;0%,EIOPA_RFR!AG39,EIOPA_RFR!AG39*(1+VLOOKUP($B$71,Int_Rate_Param,3,FALSE))),IF(EIOPA_RFR!AG39&lt;0%,EIOPA_RFR!AG39,EIOPA_RFR!AG39*(1+VLOOKUP($B78,Int_Rate_Param,3,FALSE))))</f>
        <v>1.1935099999999999E-2</v>
      </c>
      <c r="AH78" s="94">
        <f>IF($B78&gt;20,IF(EIOPA_RFR!AH39&lt;0%,EIOPA_RFR!AH39,EIOPA_RFR!AH39*(1+VLOOKUP($B$71,Int_Rate_Param,3,FALSE))),IF(EIOPA_RFR!AH39&lt;0%,EIOPA_RFR!AH39,EIOPA_RFR!AH39*(1+VLOOKUP($B78,Int_Rate_Param,3,FALSE))))</f>
        <v>2.0497699999999997E-2</v>
      </c>
      <c r="AI78" s="94">
        <f>IF($B78&gt;20,IF(EIOPA_RFR!AI39&lt;0%,EIOPA_RFR!AI39,EIOPA_RFR!AI39*(1+VLOOKUP($B$71,Int_Rate_Param,3,FALSE))),IF(EIOPA_RFR!AI39&lt;0%,EIOPA_RFR!AI39,EIOPA_RFR!AI39*(1+VLOOKUP($B78,Int_Rate_Param,3,FALSE))))</f>
        <v>3.9759999999999995E-3</v>
      </c>
      <c r="AJ78" s="94">
        <f>IF($B78&gt;20,IF(EIOPA_RFR!AJ39&lt;0%,EIOPA_RFR!AJ39,EIOPA_RFR!AJ39*(1+VLOOKUP($B$71,Int_Rate_Param,3,FALSE))),IF(EIOPA_RFR!AJ39&lt;0%,EIOPA_RFR!AJ39,EIOPA_RFR!AJ39*(1+VLOOKUP($B78,Int_Rate_Param,3,FALSE))))</f>
        <v>9.0524999999999998E-3</v>
      </c>
      <c r="AK78" s="94">
        <f>IF($B78&gt;20,IF(EIOPA_RFR!AK39&lt;0%,EIOPA_RFR!AK39,EIOPA_RFR!AK39*(1+VLOOKUP($B$71,Int_Rate_Param,3,FALSE))),IF(EIOPA_RFR!AK39&lt;0%,EIOPA_RFR!AK39,EIOPA_RFR!AK39*(1+VLOOKUP($B78,Int_Rate_Param,3,FALSE))))</f>
        <v>2.3628799999999998E-2</v>
      </c>
      <c r="AL78" s="94">
        <f>IF($B78&gt;20,IF(EIOPA_RFR!AL39&lt;0%,EIOPA_RFR!AL39,EIOPA_RFR!AL39*(1+VLOOKUP($B$71,Int_Rate_Param,3,FALSE))),IF(EIOPA_RFR!AL39&lt;0%,EIOPA_RFR!AL39,EIOPA_RFR!AL39*(1+VLOOKUP($B78,Int_Rate_Param,3,FALSE))))</f>
        <v>5.6643800000000001E-2</v>
      </c>
      <c r="AM78" s="94">
        <f>IF($B78&gt;20,IF(EIOPA_RFR!AM39&lt;0%,EIOPA_RFR!AM39,EIOPA_RFR!AM39*(1+VLOOKUP($B$71,Int_Rate_Param,3,FALSE))),IF(EIOPA_RFR!AM39&lt;0%,EIOPA_RFR!AM39,EIOPA_RFR!AM39*(1+VLOOKUP($B78,Int_Rate_Param,3,FALSE))))</f>
        <v>1.5719399999999998E-2</v>
      </c>
      <c r="AN78" s="94">
        <f>IF($B78&gt;20,IF(EIOPA_RFR!AN39&lt;0%,EIOPA_RFR!AN39,EIOPA_RFR!AN39*(1+VLOOKUP($B$71,Int_Rate_Param,3,FALSE))),IF(EIOPA_RFR!AN39&lt;0%,EIOPA_RFR!AN39,EIOPA_RFR!AN39*(1+VLOOKUP($B78,Int_Rate_Param,3,FALSE))))</f>
        <v>3.0160799999999998E-2</v>
      </c>
      <c r="AO78" s="94">
        <f>IF($B78&gt;20,IF(EIOPA_RFR!AO39&lt;0%,EIOPA_RFR!AO39,EIOPA_RFR!AO39*(1+VLOOKUP($B$71,Int_Rate_Param,3,FALSE))),IF(EIOPA_RFR!AO39&lt;0%,EIOPA_RFR!AO39,EIOPA_RFR!AO39*(1+VLOOKUP($B78,Int_Rate_Param,3,FALSE))))</f>
        <v>3.1410399999999998E-2</v>
      </c>
      <c r="AP78" s="94">
        <f>IF($B78&gt;20,IF(EIOPA_RFR!AP39&lt;0%,EIOPA_RFR!AP39,EIOPA_RFR!AP39*(1+VLOOKUP($B$71,Int_Rate_Param,3,FALSE))),IF(EIOPA_RFR!AP39&lt;0%,EIOPA_RFR!AP39,EIOPA_RFR!AP39*(1+VLOOKUP($B78,Int_Rate_Param,3,FALSE))))</f>
        <v>4.0860499999999994E-2</v>
      </c>
      <c r="AQ78" s="94">
        <f>IF($B78&gt;20,IF(EIOPA_RFR!AQ39&lt;0%,EIOPA_RFR!AQ39,EIOPA_RFR!AQ39*(1+VLOOKUP($B$71,Int_Rate_Param,3,FALSE))),IF(EIOPA_RFR!AQ39&lt;0%,EIOPA_RFR!AQ39,EIOPA_RFR!AQ39*(1+VLOOKUP($B78,Int_Rate_Param,3,FALSE))))</f>
        <v>2.0639699999999997E-2</v>
      </c>
      <c r="AR78" s="94">
        <f>IF($B78&gt;20,IF(EIOPA_RFR!AR39&lt;0%,EIOPA_RFR!AR39,EIOPA_RFR!AR39*(1+VLOOKUP($B$71,Int_Rate_Param,3,FALSE))),IF(EIOPA_RFR!AR39&lt;0%,EIOPA_RFR!AR39,EIOPA_RFR!AR39*(1+VLOOKUP($B78,Int_Rate_Param,3,FALSE))))</f>
        <v>4.5951199999999998E-2</v>
      </c>
      <c r="AS78" s="94">
        <f>IF($B78&gt;20,IF(EIOPA_RFR!AS39&lt;0%,EIOPA_RFR!AS39,EIOPA_RFR!AS39*(1+VLOOKUP($B$71,Int_Rate_Param,3,FALSE))),IF(EIOPA_RFR!AS39&lt;0%,EIOPA_RFR!AS39,EIOPA_RFR!AS39*(1+VLOOKUP($B78,Int_Rate_Param,3,FALSE))))</f>
        <v>5.0977999999999996E-3</v>
      </c>
      <c r="AT78" s="94">
        <f>IF($B78&gt;20,IF(EIOPA_RFR!AT39&lt;0%,EIOPA_RFR!AT39,EIOPA_RFR!AT39*(1+VLOOKUP($B$71,Int_Rate_Param,3,FALSE))),IF(EIOPA_RFR!AT39&lt;0%,EIOPA_RFR!AT39,EIOPA_RFR!AT39*(1+VLOOKUP($B78,Int_Rate_Param,3,FALSE))))</f>
        <v>3.0970199999999996E-2</v>
      </c>
      <c r="AU78" s="94">
        <f>IF($B78&gt;20,IF(EIOPA_RFR!AU39&lt;0%,EIOPA_RFR!AU39,EIOPA_RFR!AU39*(1+VLOOKUP($B$71,Int_Rate_Param,3,FALSE))),IF(EIOPA_RFR!AU39&lt;0%,EIOPA_RFR!AU39,EIOPA_RFR!AU39*(1+VLOOKUP($B78,Int_Rate_Param,3,FALSE))))</f>
        <v>5.4833299999999995E-2</v>
      </c>
      <c r="AV78" s="94">
        <f>IF($B78&gt;20,IF(EIOPA_RFR!AV39&lt;0%,EIOPA_RFR!AV39,EIOPA_RFR!AV39*(1+VLOOKUP($B$71,Int_Rate_Param,3,FALSE))),IF(EIOPA_RFR!AV39&lt;0%,EIOPA_RFR!AV39,EIOPA_RFR!AV39*(1+VLOOKUP($B78,Int_Rate_Param,3,FALSE))))</f>
        <v>2.9230699999999998E-2</v>
      </c>
      <c r="AW78" s="94">
        <f>IF($B78&gt;20,IF(EIOPA_RFR!AW39&lt;0%,EIOPA_RFR!AW39,EIOPA_RFR!AW39*(1+VLOOKUP($B$71,Int_Rate_Param,3,FALSE))),IF(EIOPA_RFR!AW39&lt;0%,EIOPA_RFR!AW39,EIOPA_RFR!AW39*(1+VLOOKUP($B78,Int_Rate_Param,3,FALSE))))</f>
        <v>2.05474E-2</v>
      </c>
      <c r="AX78" s="94">
        <f>IF($B78&gt;20,IF(EIOPA_RFR!AX39&lt;0%,EIOPA_RFR!AX39,EIOPA_RFR!AX39*(1+VLOOKUP($B$71,Int_Rate_Param,3,FALSE))),IF(EIOPA_RFR!AX39&lt;0%,EIOPA_RFR!AX39,EIOPA_RFR!AX39*(1+VLOOKUP($B78,Int_Rate_Param,3,FALSE))))</f>
        <v>5.5032099999999994E-2</v>
      </c>
      <c r="AY78" s="94">
        <f>IF($B78&gt;20,IF(EIOPA_RFR!AY39&lt;0%,EIOPA_RFR!AY39,EIOPA_RFR!AY39*(1+VLOOKUP($B$71,Int_Rate_Param,3,FALSE))),IF(EIOPA_RFR!AY39&lt;0%,EIOPA_RFR!AY39,EIOPA_RFR!AY39*(1+VLOOKUP($B78,Int_Rate_Param,3,FALSE))))</f>
        <v>1.5137199999999998E-2</v>
      </c>
      <c r="AZ78" s="94">
        <f>IF($B78&gt;20,IF(EIOPA_RFR!AZ39&lt;0%,EIOPA_RFR!AZ39,EIOPA_RFR!AZ39*(1+VLOOKUP($B$71,Int_Rate_Param,3,FALSE))),IF(EIOPA_RFR!AZ39&lt;0%,EIOPA_RFR!AZ39,EIOPA_RFR!AZ39*(1+VLOOKUP($B78,Int_Rate_Param,3,FALSE))))</f>
        <v>1.6919299999999998E-2</v>
      </c>
      <c r="BA78" s="94">
        <f>IF($B78&gt;20,IF(EIOPA_RFR!BA39&lt;0%,EIOPA_RFR!BA39,EIOPA_RFR!BA39*(1+VLOOKUP($B$71,Int_Rate_Param,3,FALSE))),IF(EIOPA_RFR!BA39&lt;0%,EIOPA_RFR!BA39,EIOPA_RFR!BA39*(1+VLOOKUP($B78,Int_Rate_Param,3,FALSE))))</f>
        <v>2.2890399999999998E-2</v>
      </c>
      <c r="BB78" s="94">
        <f>IF($B78&gt;20,IF(EIOPA_RFR!BB39&lt;0%,EIOPA_RFR!BB39,EIOPA_RFR!BB39*(1+VLOOKUP($B$71,Int_Rate_Param,3,FALSE))),IF(EIOPA_RFR!BB39&lt;0%,EIOPA_RFR!BB39,EIOPA_RFR!BB39*(1+VLOOKUP($B78,Int_Rate_Param,3,FALSE))))</f>
        <v>5.8979700000000003E-2</v>
      </c>
      <c r="BC78" s="94">
        <f>IF($B78&gt;20,IF(EIOPA_RFR!BC39&lt;0%,EIOPA_RFR!BC39,EIOPA_RFR!BC39*(1+VLOOKUP($B$71,Int_Rate_Param,3,FALSE))),IF(EIOPA_RFR!BC39&lt;0%,EIOPA_RFR!BC39,EIOPA_RFR!BC39*(1+VLOOKUP($B78,Int_Rate_Param,3,FALSE))))</f>
        <v>1.8041099999999997E-2</v>
      </c>
    </row>
    <row r="79" spans="1:55" x14ac:dyDescent="0.25">
      <c r="A79">
        <f t="shared" si="1"/>
        <v>30</v>
      </c>
      <c r="B79" s="95">
        <v>28</v>
      </c>
      <c r="C79" s="94">
        <f>IF($B79&gt;20,IF(EIOPA_RFR!C40&lt;0%,EIOPA_RFR!C40,EIOPA_RFR!C40*(1+VLOOKUP($B$71,Int_Rate_Param,3,FALSE))),IF(EIOPA_RFR!C40&lt;0%,EIOPA_RFR!C40,EIOPA_RFR!C40*(1+VLOOKUP($B79,Int_Rate_Param,3,FALSE))))</f>
        <v>1.2389499999999999E-2</v>
      </c>
      <c r="D79" s="94">
        <f>IF($B79&gt;20,IF(EIOPA_RFR!D40&lt;0%,EIOPA_RFR!D40,EIOPA_RFR!D40*(1+VLOOKUP($B$71,Int_Rate_Param,3,FALSE))),IF(EIOPA_RFR!D40&lt;0%,EIOPA_RFR!D40,EIOPA_RFR!D40*(1+VLOOKUP($B79,Int_Rate_Param,3,FALSE))))</f>
        <v>1.2389499999999999E-2</v>
      </c>
      <c r="E79" s="94">
        <f>IF($B79&gt;20,IF(EIOPA_RFR!E40&lt;0%,EIOPA_RFR!E40,EIOPA_RFR!E40*(1+VLOOKUP($B$71,Int_Rate_Param,3,FALSE))),IF(EIOPA_RFR!E40&lt;0%,EIOPA_RFR!E40,EIOPA_RFR!E40*(1+VLOOKUP($B79,Int_Rate_Param,3,FALSE))))</f>
        <v>1.2389499999999999E-2</v>
      </c>
      <c r="F79" s="94">
        <f>IF($B79&gt;20,IF(EIOPA_RFR!F40&lt;0%,EIOPA_RFR!F40,EIOPA_RFR!F40*(1+VLOOKUP($B$71,Int_Rate_Param,3,FALSE))),IF(EIOPA_RFR!F40&lt;0%,EIOPA_RFR!F40,EIOPA_RFR!F40*(1+VLOOKUP($B79,Int_Rate_Param,3,FALSE))))</f>
        <v>1.20842E-2</v>
      </c>
      <c r="G79" s="94">
        <f>IF($B79&gt;20,IF(EIOPA_RFR!G40&lt;0%,EIOPA_RFR!G40,EIOPA_RFR!G40*(1+VLOOKUP($B$71,Int_Rate_Param,3,FALSE))),IF(EIOPA_RFR!G40&lt;0%,EIOPA_RFR!G40,EIOPA_RFR!G40*(1+VLOOKUP($B79,Int_Rate_Param,3,FALSE))))</f>
        <v>2.5197899999999999E-2</v>
      </c>
      <c r="H79" s="94">
        <f>IF($B79&gt;20,IF(EIOPA_RFR!H40&lt;0%,EIOPA_RFR!H40,EIOPA_RFR!H40*(1+VLOOKUP($B$71,Int_Rate_Param,3,FALSE))),IF(EIOPA_RFR!H40&lt;0%,EIOPA_RFR!H40,EIOPA_RFR!H40*(1+VLOOKUP($B79,Int_Rate_Param,3,FALSE))))</f>
        <v>1.2389499999999999E-2</v>
      </c>
      <c r="I79" s="94">
        <f>IF($B79&gt;20,IF(EIOPA_RFR!I40&lt;0%,EIOPA_RFR!I40,EIOPA_RFR!I40*(1+VLOOKUP($B$71,Int_Rate_Param,3,FALSE))),IF(EIOPA_RFR!I40&lt;0%,EIOPA_RFR!I40,EIOPA_RFR!I40*(1+VLOOKUP($B79,Int_Rate_Param,3,FALSE))))</f>
        <v>1.55774E-2</v>
      </c>
      <c r="J79" s="94">
        <f>IF($B79&gt;20,IF(EIOPA_RFR!J40&lt;0%,EIOPA_RFR!J40,EIOPA_RFR!J40*(1+VLOOKUP($B$71,Int_Rate_Param,3,FALSE))),IF(EIOPA_RFR!J40&lt;0%,EIOPA_RFR!J40,EIOPA_RFR!J40*(1+VLOOKUP($B79,Int_Rate_Param,3,FALSE))))</f>
        <v>1.23327E-2</v>
      </c>
      <c r="K79" s="94">
        <f>IF($B79&gt;20,IF(EIOPA_RFR!K40&lt;0%,EIOPA_RFR!K40,EIOPA_RFR!K40*(1+VLOOKUP($B$71,Int_Rate_Param,3,FALSE))),IF(EIOPA_RFR!K40&lt;0%,EIOPA_RFR!K40,EIOPA_RFR!K40*(1+VLOOKUP($B79,Int_Rate_Param,3,FALSE))))</f>
        <v>1.2389499999999999E-2</v>
      </c>
      <c r="L79" s="94">
        <f>IF($B79&gt;20,IF(EIOPA_RFR!L40&lt;0%,EIOPA_RFR!L40,EIOPA_RFR!L40*(1+VLOOKUP($B$71,Int_Rate_Param,3,FALSE))),IF(EIOPA_RFR!L40&lt;0%,EIOPA_RFR!L40,EIOPA_RFR!L40*(1+VLOOKUP($B79,Int_Rate_Param,3,FALSE))))</f>
        <v>1.2389499999999999E-2</v>
      </c>
      <c r="M79" s="94">
        <f>IF($B79&gt;20,IF(EIOPA_RFR!M40&lt;0%,EIOPA_RFR!M40,EIOPA_RFR!M40*(1+VLOOKUP($B$71,Int_Rate_Param,3,FALSE))),IF(EIOPA_RFR!M40&lt;0%,EIOPA_RFR!M40,EIOPA_RFR!M40*(1+VLOOKUP($B79,Int_Rate_Param,3,FALSE))))</f>
        <v>1.2389499999999999E-2</v>
      </c>
      <c r="N79" s="94">
        <f>IF($B79&gt;20,IF(EIOPA_RFR!N40&lt;0%,EIOPA_RFR!N40,EIOPA_RFR!N40*(1+VLOOKUP($B$71,Int_Rate_Param,3,FALSE))),IF(EIOPA_RFR!N40&lt;0%,EIOPA_RFR!N40,EIOPA_RFR!N40*(1+VLOOKUP($B79,Int_Rate_Param,3,FALSE))))</f>
        <v>1.2389499999999999E-2</v>
      </c>
      <c r="O79" s="94">
        <f>IF($B79&gt;20,IF(EIOPA_RFR!O40&lt;0%,EIOPA_RFR!O40,EIOPA_RFR!O40*(1+VLOOKUP($B$71,Int_Rate_Param,3,FALSE))),IF(EIOPA_RFR!O40&lt;0%,EIOPA_RFR!O40,EIOPA_RFR!O40*(1+VLOOKUP($B79,Int_Rate_Param,3,FALSE))))</f>
        <v>1.2389499999999999E-2</v>
      </c>
      <c r="P79" s="94">
        <f>IF($B79&gt;20,IF(EIOPA_RFR!P40&lt;0%,EIOPA_RFR!P40,EIOPA_RFR!P40*(1+VLOOKUP($B$71,Int_Rate_Param,3,FALSE))),IF(EIOPA_RFR!P40&lt;0%,EIOPA_RFR!P40,EIOPA_RFR!P40*(1+VLOOKUP($B79,Int_Rate_Param,3,FALSE))))</f>
        <v>3.0714599999999998E-2</v>
      </c>
      <c r="Q79" s="94">
        <f>IF($B79&gt;20,IF(EIOPA_RFR!Q40&lt;0%,EIOPA_RFR!Q40,EIOPA_RFR!Q40*(1+VLOOKUP($B$71,Int_Rate_Param,3,FALSE))),IF(EIOPA_RFR!Q40&lt;0%,EIOPA_RFR!Q40,EIOPA_RFR!Q40*(1+VLOOKUP($B79,Int_Rate_Param,3,FALSE))))</f>
        <v>3.2390200000000001E-2</v>
      </c>
      <c r="R79" s="94">
        <f>IF($B79&gt;20,IF(EIOPA_RFR!R40&lt;0%,EIOPA_RFR!R40,EIOPA_RFR!R40*(1+VLOOKUP($B$71,Int_Rate_Param,3,FALSE))),IF(EIOPA_RFR!R40&lt;0%,EIOPA_RFR!R40,EIOPA_RFR!R40*(1+VLOOKUP($B79,Int_Rate_Param,3,FALSE))))</f>
        <v>1.2389499999999999E-2</v>
      </c>
      <c r="S79" s="94">
        <f>IF($B79&gt;20,IF(EIOPA_RFR!S40&lt;0%,EIOPA_RFR!S40,EIOPA_RFR!S40*(1+VLOOKUP($B$71,Int_Rate_Param,3,FALSE))),IF(EIOPA_RFR!S40&lt;0%,EIOPA_RFR!S40,EIOPA_RFR!S40*(1+VLOOKUP($B79,Int_Rate_Param,3,FALSE))))</f>
        <v>1.2389499999999999E-2</v>
      </c>
      <c r="T79" s="94">
        <f>IF($B79&gt;20,IF(EIOPA_RFR!T40&lt;0%,EIOPA_RFR!T40,EIOPA_RFR!T40*(1+VLOOKUP($B$71,Int_Rate_Param,3,FALSE))),IF(EIOPA_RFR!T40&lt;0%,EIOPA_RFR!T40,EIOPA_RFR!T40*(1+VLOOKUP($B79,Int_Rate_Param,3,FALSE))))</f>
        <v>1.2389499999999999E-2</v>
      </c>
      <c r="U79" s="94">
        <f>IF($B79&gt;20,IF(EIOPA_RFR!U40&lt;0%,EIOPA_RFR!U40,EIOPA_RFR!U40*(1+VLOOKUP($B$71,Int_Rate_Param,3,FALSE))),IF(EIOPA_RFR!U40&lt;0%,EIOPA_RFR!U40,EIOPA_RFR!U40*(1+VLOOKUP($B79,Int_Rate_Param,3,FALSE))))</f>
        <v>4.2884000000000004E-3</v>
      </c>
      <c r="V79" s="94">
        <f>IF($B79&gt;20,IF(EIOPA_RFR!V40&lt;0%,EIOPA_RFR!V40,EIOPA_RFR!V40*(1+VLOOKUP($B$71,Int_Rate_Param,3,FALSE))),IF(EIOPA_RFR!V40&lt;0%,EIOPA_RFR!V40,EIOPA_RFR!V40*(1+VLOOKUP($B79,Int_Rate_Param,3,FALSE))))</f>
        <v>1.2389499999999999E-2</v>
      </c>
      <c r="W79" s="94">
        <f>IF($B79&gt;20,IF(EIOPA_RFR!W40&lt;0%,EIOPA_RFR!W40,EIOPA_RFR!W40*(1+VLOOKUP($B$71,Int_Rate_Param,3,FALSE))),IF(EIOPA_RFR!W40&lt;0%,EIOPA_RFR!W40,EIOPA_RFR!W40*(1+VLOOKUP($B79,Int_Rate_Param,3,FALSE))))</f>
        <v>1.2389499999999999E-2</v>
      </c>
      <c r="X79" s="94">
        <f>IF($B79&gt;20,IF(EIOPA_RFR!X40&lt;0%,EIOPA_RFR!X40,EIOPA_RFR!X40*(1+VLOOKUP($B$71,Int_Rate_Param,3,FALSE))),IF(EIOPA_RFR!X40&lt;0%,EIOPA_RFR!X40,EIOPA_RFR!X40*(1+VLOOKUP($B79,Int_Rate_Param,3,FALSE))))</f>
        <v>1.2389499999999999E-2</v>
      </c>
      <c r="Y79" s="94">
        <f>IF($B79&gt;20,IF(EIOPA_RFR!Y40&lt;0%,EIOPA_RFR!Y40,EIOPA_RFR!Y40*(1+VLOOKUP($B$71,Int_Rate_Param,3,FALSE))),IF(EIOPA_RFR!Y40&lt;0%,EIOPA_RFR!Y40,EIOPA_RFR!Y40*(1+VLOOKUP($B79,Int_Rate_Param,3,FALSE))))</f>
        <v>1.2389499999999999E-2</v>
      </c>
      <c r="Z79" s="94">
        <f>IF($B79&gt;20,IF(EIOPA_RFR!Z40&lt;0%,EIOPA_RFR!Z40,EIOPA_RFR!Z40*(1+VLOOKUP($B$71,Int_Rate_Param,3,FALSE))),IF(EIOPA_RFR!Z40&lt;0%,EIOPA_RFR!Z40,EIOPA_RFR!Z40*(1+VLOOKUP($B79,Int_Rate_Param,3,FALSE))))</f>
        <v>2.0405400000000001E-2</v>
      </c>
      <c r="AA79" s="94">
        <f>IF($B79&gt;20,IF(EIOPA_RFR!AA40&lt;0%,EIOPA_RFR!AA40,EIOPA_RFR!AA40*(1+VLOOKUP($B$71,Int_Rate_Param,3,FALSE))),IF(EIOPA_RFR!AA40&lt;0%,EIOPA_RFR!AA40,EIOPA_RFR!AA40*(1+VLOOKUP($B79,Int_Rate_Param,3,FALSE))))</f>
        <v>2.8407099999999998E-2</v>
      </c>
      <c r="AB79" s="94">
        <f>IF($B79&gt;20,IF(EIOPA_RFR!AB40&lt;0%,EIOPA_RFR!AB40,EIOPA_RFR!AB40*(1+VLOOKUP($B$71,Int_Rate_Param,3,FALSE))),IF(EIOPA_RFR!AB40&lt;0%,EIOPA_RFR!AB40,EIOPA_RFR!AB40*(1+VLOOKUP($B79,Int_Rate_Param,3,FALSE))))</f>
        <v>1.2389499999999999E-2</v>
      </c>
      <c r="AC79" s="94">
        <f>IF($B79&gt;20,IF(EIOPA_RFR!AC40&lt;0%,EIOPA_RFR!AC40,EIOPA_RFR!AC40*(1+VLOOKUP($B$71,Int_Rate_Param,3,FALSE))),IF(EIOPA_RFR!AC40&lt;0%,EIOPA_RFR!AC40,EIOPA_RFR!AC40*(1+VLOOKUP($B79,Int_Rate_Param,3,FALSE))))</f>
        <v>3.12045E-2</v>
      </c>
      <c r="AD79" s="94">
        <f>IF($B79&gt;20,IF(EIOPA_RFR!AD40&lt;0%,EIOPA_RFR!AD40,EIOPA_RFR!AD40*(1+VLOOKUP($B$71,Int_Rate_Param,3,FALSE))),IF(EIOPA_RFR!AD40&lt;0%,EIOPA_RFR!AD40,EIOPA_RFR!AD40*(1+VLOOKUP($B79,Int_Rate_Param,3,FALSE))))</f>
        <v>4.40271E-2</v>
      </c>
      <c r="AE79" s="94">
        <f>IF($B79&gt;20,IF(EIOPA_RFR!AE40&lt;0%,EIOPA_RFR!AE40,EIOPA_RFR!AE40*(1+VLOOKUP($B$71,Int_Rate_Param,3,FALSE))),IF(EIOPA_RFR!AE40&lt;0%,EIOPA_RFR!AE40,EIOPA_RFR!AE40*(1+VLOOKUP($B79,Int_Rate_Param,3,FALSE))))</f>
        <v>1.2389499999999999E-2</v>
      </c>
      <c r="AF79" s="94">
        <f>IF($B79&gt;20,IF(EIOPA_RFR!AF40&lt;0%,EIOPA_RFR!AF40,EIOPA_RFR!AF40*(1+VLOOKUP($B$71,Int_Rate_Param,3,FALSE))),IF(EIOPA_RFR!AF40&lt;0%,EIOPA_RFR!AF40,EIOPA_RFR!AF40*(1+VLOOKUP($B79,Int_Rate_Param,3,FALSE))))</f>
        <v>1.2389499999999999E-2</v>
      </c>
      <c r="AG79" s="94">
        <f>IF($B79&gt;20,IF(EIOPA_RFR!AG40&lt;0%,EIOPA_RFR!AG40,EIOPA_RFR!AG40*(1+VLOOKUP($B$71,Int_Rate_Param,3,FALSE))),IF(EIOPA_RFR!AG40&lt;0%,EIOPA_RFR!AG40,EIOPA_RFR!AG40*(1+VLOOKUP($B79,Int_Rate_Param,3,FALSE))))</f>
        <v>1.2389499999999999E-2</v>
      </c>
      <c r="AH79" s="94">
        <f>IF($B79&gt;20,IF(EIOPA_RFR!AH40&lt;0%,EIOPA_RFR!AH40,EIOPA_RFR!AH40*(1+VLOOKUP($B$71,Int_Rate_Param,3,FALSE))),IF(EIOPA_RFR!AH40&lt;0%,EIOPA_RFR!AH40,EIOPA_RFR!AH40*(1+VLOOKUP($B79,Int_Rate_Param,3,FALSE))))</f>
        <v>2.08314E-2</v>
      </c>
      <c r="AI79" s="94">
        <f>IF($B79&gt;20,IF(EIOPA_RFR!AI40&lt;0%,EIOPA_RFR!AI40,EIOPA_RFR!AI40*(1+VLOOKUP($B$71,Int_Rate_Param,3,FALSE))),IF(EIOPA_RFR!AI40&lt;0%,EIOPA_RFR!AI40,EIOPA_RFR!AI40*(1+VLOOKUP($B79,Int_Rate_Param,3,FALSE))))</f>
        <v>4.2884000000000004E-3</v>
      </c>
      <c r="AJ79" s="94">
        <f>IF($B79&gt;20,IF(EIOPA_RFR!AJ40&lt;0%,EIOPA_RFR!AJ40,EIOPA_RFR!AJ40*(1+VLOOKUP($B$71,Int_Rate_Param,3,FALSE))),IF(EIOPA_RFR!AJ40&lt;0%,EIOPA_RFR!AJ40,EIOPA_RFR!AJ40*(1+VLOOKUP($B79,Int_Rate_Param,3,FALSE))))</f>
        <v>9.0098999999999995E-3</v>
      </c>
      <c r="AK79" s="94">
        <f>IF($B79&gt;20,IF(EIOPA_RFR!AK40&lt;0%,EIOPA_RFR!AK40,EIOPA_RFR!AK40*(1+VLOOKUP($B$71,Int_Rate_Param,3,FALSE))),IF(EIOPA_RFR!AK40&lt;0%,EIOPA_RFR!AK40,EIOPA_RFR!AK40*(1+VLOOKUP($B79,Int_Rate_Param,3,FALSE))))</f>
        <v>2.36075E-2</v>
      </c>
      <c r="AL79" s="94">
        <f>IF($B79&gt;20,IF(EIOPA_RFR!AL40&lt;0%,EIOPA_RFR!AL40,EIOPA_RFR!AL40*(1+VLOOKUP($B$71,Int_Rate_Param,3,FALSE))),IF(EIOPA_RFR!AL40&lt;0%,EIOPA_RFR!AL40,EIOPA_RFR!AL40*(1+VLOOKUP($B79,Int_Rate_Param,3,FALSE))))</f>
        <v>5.6090000000000001E-2</v>
      </c>
      <c r="AM79" s="94">
        <f>IF($B79&gt;20,IF(EIOPA_RFR!AM40&lt;0%,EIOPA_RFR!AM40,EIOPA_RFR!AM40*(1+VLOOKUP($B$71,Int_Rate_Param,3,FALSE))),IF(EIOPA_RFR!AM40&lt;0%,EIOPA_RFR!AM40,EIOPA_RFR!AM40*(1+VLOOKUP($B79,Int_Rate_Param,3,FALSE))))</f>
        <v>1.5719399999999998E-2</v>
      </c>
      <c r="AN79" s="94">
        <f>IF($B79&gt;20,IF(EIOPA_RFR!AN40&lt;0%,EIOPA_RFR!AN40,EIOPA_RFR!AN40*(1+VLOOKUP($B$71,Int_Rate_Param,3,FALSE))),IF(EIOPA_RFR!AN40&lt;0%,EIOPA_RFR!AN40,EIOPA_RFR!AN40*(1+VLOOKUP($B79,Int_Rate_Param,3,FALSE))))</f>
        <v>3.0175E-2</v>
      </c>
      <c r="AO79" s="94">
        <f>IF($B79&gt;20,IF(EIOPA_RFR!AO40&lt;0%,EIOPA_RFR!AO40,EIOPA_RFR!AO40*(1+VLOOKUP($B$71,Int_Rate_Param,3,FALSE))),IF(EIOPA_RFR!AO40&lt;0%,EIOPA_RFR!AO40,EIOPA_RFR!AO40*(1+VLOOKUP($B79,Int_Rate_Param,3,FALSE))))</f>
        <v>3.1389099999999996E-2</v>
      </c>
      <c r="AP79" s="94">
        <f>IF($B79&gt;20,IF(EIOPA_RFR!AP40&lt;0%,EIOPA_RFR!AP40,EIOPA_RFR!AP40*(1+VLOOKUP($B$71,Int_Rate_Param,3,FALSE))),IF(EIOPA_RFR!AP40&lt;0%,EIOPA_RFR!AP40,EIOPA_RFR!AP40*(1+VLOOKUP($B79,Int_Rate_Param,3,FALSE))))</f>
        <v>4.0576499999999995E-2</v>
      </c>
      <c r="AQ79" s="94">
        <f>IF($B79&gt;20,IF(EIOPA_RFR!AQ40&lt;0%,EIOPA_RFR!AQ40,EIOPA_RFR!AQ40*(1+VLOOKUP($B$71,Int_Rate_Param,3,FALSE))),IF(EIOPA_RFR!AQ40&lt;0%,EIOPA_RFR!AQ40,EIOPA_RFR!AQ40*(1+VLOOKUP($B79,Int_Rate_Param,3,FALSE))))</f>
        <v>2.0888199999999999E-2</v>
      </c>
      <c r="AR79" s="94">
        <f>IF($B79&gt;20,IF(EIOPA_RFR!AR40&lt;0%,EIOPA_RFR!AR40,EIOPA_RFR!AR40*(1+VLOOKUP($B$71,Int_Rate_Param,3,FALSE))),IF(EIOPA_RFR!AR40&lt;0%,EIOPA_RFR!AR40,EIOPA_RFR!AR40*(1+VLOOKUP($B79,Int_Rate_Param,3,FALSE))))</f>
        <v>4.5723999999999994E-2</v>
      </c>
      <c r="AS79" s="94">
        <f>IF($B79&gt;20,IF(EIOPA_RFR!AS40&lt;0%,EIOPA_RFR!AS40,EIOPA_RFR!AS40*(1+VLOOKUP($B$71,Int_Rate_Param,3,FALSE))),IF(EIOPA_RFR!AS40&lt;0%,EIOPA_RFR!AS40,EIOPA_RFR!AS40*(1+VLOOKUP($B79,Int_Rate_Param,3,FALSE))))</f>
        <v>5.1617E-3</v>
      </c>
      <c r="AT79" s="94">
        <f>IF($B79&gt;20,IF(EIOPA_RFR!AT40&lt;0%,EIOPA_RFR!AT40,EIOPA_RFR!AT40*(1+VLOOKUP($B$71,Int_Rate_Param,3,FALSE))),IF(EIOPA_RFR!AT40&lt;0%,EIOPA_RFR!AT40,EIOPA_RFR!AT40*(1+VLOOKUP($B79,Int_Rate_Param,3,FALSE))))</f>
        <v>3.09631E-2</v>
      </c>
      <c r="AU79" s="94">
        <f>IF($B79&gt;20,IF(EIOPA_RFR!AU40&lt;0%,EIOPA_RFR!AU40,EIOPA_RFR!AU40*(1+VLOOKUP($B$71,Int_Rate_Param,3,FALSE))),IF(EIOPA_RFR!AU40&lt;0%,EIOPA_RFR!AU40,EIOPA_RFR!AU40*(1+VLOOKUP($B79,Int_Rate_Param,3,FALSE))))</f>
        <v>5.4471199999999997E-2</v>
      </c>
      <c r="AV79" s="94">
        <f>IF($B79&gt;20,IF(EIOPA_RFR!AV40&lt;0%,EIOPA_RFR!AV40,EIOPA_RFR!AV40*(1+VLOOKUP($B$71,Int_Rate_Param,3,FALSE))),IF(EIOPA_RFR!AV40&lt;0%,EIOPA_RFR!AV40,EIOPA_RFR!AV40*(1+VLOOKUP($B79,Int_Rate_Param,3,FALSE))))</f>
        <v>2.9315899999999999E-2</v>
      </c>
      <c r="AW79" s="94">
        <f>IF($B79&gt;20,IF(EIOPA_RFR!AW40&lt;0%,EIOPA_RFR!AW40,EIOPA_RFR!AW40*(1+VLOOKUP($B$71,Int_Rate_Param,3,FALSE))),IF(EIOPA_RFR!AW40&lt;0%,EIOPA_RFR!AW40,EIOPA_RFR!AW40*(1+VLOOKUP($B79,Int_Rate_Param,3,FALSE))))</f>
        <v>2.0767500000000001E-2</v>
      </c>
      <c r="AX79" s="94">
        <f>IF($B79&gt;20,IF(EIOPA_RFR!AX40&lt;0%,EIOPA_RFR!AX40,EIOPA_RFR!AX40*(1+VLOOKUP($B$71,Int_Rate_Param,3,FALSE))),IF(EIOPA_RFR!AX40&lt;0%,EIOPA_RFR!AX40,EIOPA_RFR!AX40*(1+VLOOKUP($B79,Int_Rate_Param,3,FALSE))))</f>
        <v>5.4570599999999997E-2</v>
      </c>
      <c r="AY79" s="94">
        <f>IF($B79&gt;20,IF(EIOPA_RFR!AY40&lt;0%,EIOPA_RFR!AY40,EIOPA_RFR!AY40*(1+VLOOKUP($B$71,Int_Rate_Param,3,FALSE))),IF(EIOPA_RFR!AY40&lt;0%,EIOPA_RFR!AY40,EIOPA_RFR!AY40*(1+VLOOKUP($B79,Int_Rate_Param,3,FALSE))))</f>
        <v>1.5485099999999998E-2</v>
      </c>
      <c r="AZ79" s="94">
        <f>IF($B79&gt;20,IF(EIOPA_RFR!AZ40&lt;0%,EIOPA_RFR!AZ40,EIOPA_RFR!AZ40*(1+VLOOKUP($B$71,Int_Rate_Param,3,FALSE))),IF(EIOPA_RFR!AZ40&lt;0%,EIOPA_RFR!AZ40,EIOPA_RFR!AZ40*(1+VLOOKUP($B79,Int_Rate_Param,3,FALSE))))</f>
        <v>1.7288499999999998E-2</v>
      </c>
      <c r="BA79" s="94">
        <f>IF($B79&gt;20,IF(EIOPA_RFR!BA40&lt;0%,EIOPA_RFR!BA40,EIOPA_RFR!BA40*(1+VLOOKUP($B$71,Int_Rate_Param,3,FALSE))),IF(EIOPA_RFR!BA40&lt;0%,EIOPA_RFR!BA40,EIOPA_RFR!BA40*(1+VLOOKUP($B79,Int_Rate_Param,3,FALSE))))</f>
        <v>2.3082099999999998E-2</v>
      </c>
      <c r="BB79" s="94">
        <f>IF($B79&gt;20,IF(EIOPA_RFR!BB40&lt;0%,EIOPA_RFR!BB40,EIOPA_RFR!BB40*(1+VLOOKUP($B$71,Int_Rate_Param,3,FALSE))),IF(EIOPA_RFR!BB40&lt;0%,EIOPA_RFR!BB40,EIOPA_RFR!BB40*(1+VLOOKUP($B79,Int_Rate_Param,3,FALSE))))</f>
        <v>5.8326499999999996E-2</v>
      </c>
      <c r="BC79" s="94">
        <f>IF($B79&gt;20,IF(EIOPA_RFR!BC40&lt;0%,EIOPA_RFR!BC40,EIOPA_RFR!BC40*(1+VLOOKUP($B$71,Int_Rate_Param,3,FALSE))),IF(EIOPA_RFR!BC40&lt;0%,EIOPA_RFR!BC40,EIOPA_RFR!BC40*(1+VLOOKUP($B79,Int_Rate_Param,3,FALSE))))</f>
        <v>1.8041099999999997E-2</v>
      </c>
    </row>
    <row r="80" spans="1:55" x14ac:dyDescent="0.25">
      <c r="A80">
        <f t="shared" si="1"/>
        <v>31</v>
      </c>
      <c r="B80" s="95">
        <v>29</v>
      </c>
      <c r="C80" s="94">
        <f>IF($B80&gt;20,IF(EIOPA_RFR!C41&lt;0%,EIOPA_RFR!C41,EIOPA_RFR!C41*(1+VLOOKUP($B$71,Int_Rate_Param,3,FALSE))),IF(EIOPA_RFR!C41&lt;0%,EIOPA_RFR!C41,EIOPA_RFR!C41*(1+VLOOKUP($B80,Int_Rate_Param,3,FALSE))))</f>
        <v>1.2836799999999999E-2</v>
      </c>
      <c r="D80" s="94">
        <f>IF($B80&gt;20,IF(EIOPA_RFR!D41&lt;0%,EIOPA_RFR!D41,EIOPA_RFR!D41*(1+VLOOKUP($B$71,Int_Rate_Param,3,FALSE))),IF(EIOPA_RFR!D41&lt;0%,EIOPA_RFR!D41,EIOPA_RFR!D41*(1+VLOOKUP($B80,Int_Rate_Param,3,FALSE))))</f>
        <v>1.2836799999999999E-2</v>
      </c>
      <c r="E80" s="94">
        <f>IF($B80&gt;20,IF(EIOPA_RFR!E41&lt;0%,EIOPA_RFR!E41,EIOPA_RFR!E41*(1+VLOOKUP($B$71,Int_Rate_Param,3,FALSE))),IF(EIOPA_RFR!E41&lt;0%,EIOPA_RFR!E41,EIOPA_RFR!E41*(1+VLOOKUP($B80,Int_Rate_Param,3,FALSE))))</f>
        <v>1.2836799999999999E-2</v>
      </c>
      <c r="F80" s="94">
        <f>IF($B80&gt;20,IF(EIOPA_RFR!F41&lt;0%,EIOPA_RFR!F41,EIOPA_RFR!F41*(1+VLOOKUP($B$71,Int_Rate_Param,3,FALSE))),IF(EIOPA_RFR!F41&lt;0%,EIOPA_RFR!F41,EIOPA_RFR!F41*(1+VLOOKUP($B80,Int_Rate_Param,3,FALSE))))</f>
        <v>1.2538599999999999E-2</v>
      </c>
      <c r="G80" s="94">
        <f>IF($B80&gt;20,IF(EIOPA_RFR!G41&lt;0%,EIOPA_RFR!G41,EIOPA_RFR!G41*(1+VLOOKUP($B$71,Int_Rate_Param,3,FALSE))),IF(EIOPA_RFR!G41&lt;0%,EIOPA_RFR!G41,EIOPA_RFR!G41*(1+VLOOKUP($B80,Int_Rate_Param,3,FALSE))))</f>
        <v>2.53257E-2</v>
      </c>
      <c r="H80" s="94">
        <f>IF($B80&gt;20,IF(EIOPA_RFR!H41&lt;0%,EIOPA_RFR!H41,EIOPA_RFR!H41*(1+VLOOKUP($B$71,Int_Rate_Param,3,FALSE))),IF(EIOPA_RFR!H41&lt;0%,EIOPA_RFR!H41,EIOPA_RFR!H41*(1+VLOOKUP($B80,Int_Rate_Param,3,FALSE))))</f>
        <v>1.2836799999999999E-2</v>
      </c>
      <c r="I80" s="94">
        <f>IF($B80&gt;20,IF(EIOPA_RFR!I41&lt;0%,EIOPA_RFR!I41,EIOPA_RFR!I41*(1+VLOOKUP($B$71,Int_Rate_Param,3,FALSE))),IF(EIOPA_RFR!I41&lt;0%,EIOPA_RFR!I41,EIOPA_RFR!I41*(1+VLOOKUP($B80,Int_Rate_Param,3,FALSE))))</f>
        <v>1.5975E-2</v>
      </c>
      <c r="J80" s="94">
        <f>IF($B80&gt;20,IF(EIOPA_RFR!J41&lt;0%,EIOPA_RFR!J41,EIOPA_RFR!J41*(1+VLOOKUP($B$71,Int_Rate_Param,3,FALSE))),IF(EIOPA_RFR!J41&lt;0%,EIOPA_RFR!J41,EIOPA_RFR!J41*(1+VLOOKUP($B80,Int_Rate_Param,3,FALSE))))</f>
        <v>1.2779999999999998E-2</v>
      </c>
      <c r="K80" s="94">
        <f>IF($B80&gt;20,IF(EIOPA_RFR!K41&lt;0%,EIOPA_RFR!K41,EIOPA_RFR!K41*(1+VLOOKUP($B$71,Int_Rate_Param,3,FALSE))),IF(EIOPA_RFR!K41&lt;0%,EIOPA_RFR!K41,EIOPA_RFR!K41*(1+VLOOKUP($B80,Int_Rate_Param,3,FALSE))))</f>
        <v>1.2836799999999999E-2</v>
      </c>
      <c r="L80" s="94">
        <f>IF($B80&gt;20,IF(EIOPA_RFR!L41&lt;0%,EIOPA_RFR!L41,EIOPA_RFR!L41*(1+VLOOKUP($B$71,Int_Rate_Param,3,FALSE))),IF(EIOPA_RFR!L41&lt;0%,EIOPA_RFR!L41,EIOPA_RFR!L41*(1+VLOOKUP($B80,Int_Rate_Param,3,FALSE))))</f>
        <v>1.2836799999999999E-2</v>
      </c>
      <c r="M80" s="94">
        <f>IF($B80&gt;20,IF(EIOPA_RFR!M41&lt;0%,EIOPA_RFR!M41,EIOPA_RFR!M41*(1+VLOOKUP($B$71,Int_Rate_Param,3,FALSE))),IF(EIOPA_RFR!M41&lt;0%,EIOPA_RFR!M41,EIOPA_RFR!M41*(1+VLOOKUP($B80,Int_Rate_Param,3,FALSE))))</f>
        <v>1.2836799999999999E-2</v>
      </c>
      <c r="N80" s="94">
        <f>IF($B80&gt;20,IF(EIOPA_RFR!N41&lt;0%,EIOPA_RFR!N41,EIOPA_RFR!N41*(1+VLOOKUP($B$71,Int_Rate_Param,3,FALSE))),IF(EIOPA_RFR!N41&lt;0%,EIOPA_RFR!N41,EIOPA_RFR!N41*(1+VLOOKUP($B80,Int_Rate_Param,3,FALSE))))</f>
        <v>1.2836799999999999E-2</v>
      </c>
      <c r="O80" s="94">
        <f>IF($B80&gt;20,IF(EIOPA_RFR!O41&lt;0%,EIOPA_RFR!O41,EIOPA_RFR!O41*(1+VLOOKUP($B$71,Int_Rate_Param,3,FALSE))),IF(EIOPA_RFR!O41&lt;0%,EIOPA_RFR!O41,EIOPA_RFR!O41*(1+VLOOKUP($B80,Int_Rate_Param,3,FALSE))))</f>
        <v>1.2836799999999999E-2</v>
      </c>
      <c r="P80" s="94">
        <f>IF($B80&gt;20,IF(EIOPA_RFR!P41&lt;0%,EIOPA_RFR!P41,EIOPA_RFR!P41*(1+VLOOKUP($B$71,Int_Rate_Param,3,FALSE))),IF(EIOPA_RFR!P41&lt;0%,EIOPA_RFR!P41,EIOPA_RFR!P41*(1+VLOOKUP($B80,Int_Rate_Param,3,FALSE))))</f>
        <v>3.0757199999999995E-2</v>
      </c>
      <c r="Q80" s="94">
        <f>IF($B80&gt;20,IF(EIOPA_RFR!Q41&lt;0%,EIOPA_RFR!Q41,EIOPA_RFR!Q41*(1+VLOOKUP($B$71,Int_Rate_Param,3,FALSE))),IF(EIOPA_RFR!Q41&lt;0%,EIOPA_RFR!Q41,EIOPA_RFR!Q41*(1+VLOOKUP($B80,Int_Rate_Param,3,FALSE))))</f>
        <v>3.2333399999999998E-2</v>
      </c>
      <c r="R80" s="94">
        <f>IF($B80&gt;20,IF(EIOPA_RFR!R41&lt;0%,EIOPA_RFR!R41,EIOPA_RFR!R41*(1+VLOOKUP($B$71,Int_Rate_Param,3,FALSE))),IF(EIOPA_RFR!R41&lt;0%,EIOPA_RFR!R41,EIOPA_RFR!R41*(1+VLOOKUP($B80,Int_Rate_Param,3,FALSE))))</f>
        <v>1.2836799999999999E-2</v>
      </c>
      <c r="S80" s="94">
        <f>IF($B80&gt;20,IF(EIOPA_RFR!S41&lt;0%,EIOPA_RFR!S41,EIOPA_RFR!S41*(1+VLOOKUP($B$71,Int_Rate_Param,3,FALSE))),IF(EIOPA_RFR!S41&lt;0%,EIOPA_RFR!S41,EIOPA_RFR!S41*(1+VLOOKUP($B80,Int_Rate_Param,3,FALSE))))</f>
        <v>1.2836799999999999E-2</v>
      </c>
      <c r="T80" s="94">
        <f>IF($B80&gt;20,IF(EIOPA_RFR!T41&lt;0%,EIOPA_RFR!T41,EIOPA_RFR!T41*(1+VLOOKUP($B$71,Int_Rate_Param,3,FALSE))),IF(EIOPA_RFR!T41&lt;0%,EIOPA_RFR!T41,EIOPA_RFR!T41*(1+VLOOKUP($B80,Int_Rate_Param,3,FALSE))))</f>
        <v>1.2836799999999999E-2</v>
      </c>
      <c r="U80" s="94">
        <f>IF($B80&gt;20,IF(EIOPA_RFR!U41&lt;0%,EIOPA_RFR!U41,EIOPA_RFR!U41*(1+VLOOKUP($B$71,Int_Rate_Param,3,FALSE))),IF(EIOPA_RFR!U41&lt;0%,EIOPA_RFR!U41,EIOPA_RFR!U41*(1+VLOOKUP($B80,Int_Rate_Param,3,FALSE))))</f>
        <v>4.6292E-3</v>
      </c>
      <c r="V80" s="94">
        <f>IF($B80&gt;20,IF(EIOPA_RFR!V41&lt;0%,EIOPA_RFR!V41,EIOPA_RFR!V41*(1+VLOOKUP($B$71,Int_Rate_Param,3,FALSE))),IF(EIOPA_RFR!V41&lt;0%,EIOPA_RFR!V41,EIOPA_RFR!V41*(1+VLOOKUP($B80,Int_Rate_Param,3,FALSE))))</f>
        <v>1.2836799999999999E-2</v>
      </c>
      <c r="W80" s="94">
        <f>IF($B80&gt;20,IF(EIOPA_RFR!W41&lt;0%,EIOPA_RFR!W41,EIOPA_RFR!W41*(1+VLOOKUP($B$71,Int_Rate_Param,3,FALSE))),IF(EIOPA_RFR!W41&lt;0%,EIOPA_RFR!W41,EIOPA_RFR!W41*(1+VLOOKUP($B80,Int_Rate_Param,3,FALSE))))</f>
        <v>1.2836799999999999E-2</v>
      </c>
      <c r="X80" s="94">
        <f>IF($B80&gt;20,IF(EIOPA_RFR!X41&lt;0%,EIOPA_RFR!X41,EIOPA_RFR!X41*(1+VLOOKUP($B$71,Int_Rate_Param,3,FALSE))),IF(EIOPA_RFR!X41&lt;0%,EIOPA_RFR!X41,EIOPA_RFR!X41*(1+VLOOKUP($B80,Int_Rate_Param,3,FALSE))))</f>
        <v>1.2836799999999999E-2</v>
      </c>
      <c r="Y80" s="94">
        <f>IF($B80&gt;20,IF(EIOPA_RFR!Y41&lt;0%,EIOPA_RFR!Y41,EIOPA_RFR!Y41*(1+VLOOKUP($B$71,Int_Rate_Param,3,FALSE))),IF(EIOPA_RFR!Y41&lt;0%,EIOPA_RFR!Y41,EIOPA_RFR!Y41*(1+VLOOKUP($B80,Int_Rate_Param,3,FALSE))))</f>
        <v>1.2836799999999999E-2</v>
      </c>
      <c r="Z80" s="94">
        <f>IF($B80&gt;20,IF(EIOPA_RFR!Z41&lt;0%,EIOPA_RFR!Z41,EIOPA_RFR!Z41*(1+VLOOKUP($B$71,Int_Rate_Param,3,FALSE))),IF(EIOPA_RFR!Z41&lt;0%,EIOPA_RFR!Z41,EIOPA_RFR!Z41*(1+VLOOKUP($B80,Int_Rate_Param,3,FALSE))))</f>
        <v>2.0668099999999998E-2</v>
      </c>
      <c r="AA80" s="94">
        <f>IF($B80&gt;20,IF(EIOPA_RFR!AA41&lt;0%,EIOPA_RFR!AA41,EIOPA_RFR!AA41*(1+VLOOKUP($B$71,Int_Rate_Param,3,FALSE))),IF(EIOPA_RFR!AA41&lt;0%,EIOPA_RFR!AA41,EIOPA_RFR!AA41*(1+VLOOKUP($B80,Int_Rate_Param,3,FALSE))))</f>
        <v>2.8470999999999996E-2</v>
      </c>
      <c r="AB80" s="94">
        <f>IF($B80&gt;20,IF(EIOPA_RFR!AB41&lt;0%,EIOPA_RFR!AB41,EIOPA_RFR!AB41*(1+VLOOKUP($B$71,Int_Rate_Param,3,FALSE))),IF(EIOPA_RFR!AB41&lt;0%,EIOPA_RFR!AB41,EIOPA_RFR!AB41*(1+VLOOKUP($B80,Int_Rate_Param,3,FALSE))))</f>
        <v>1.2836799999999999E-2</v>
      </c>
      <c r="AC80" s="94">
        <f>IF($B80&gt;20,IF(EIOPA_RFR!AC41&lt;0%,EIOPA_RFR!AC41,EIOPA_RFR!AC41*(1+VLOOKUP($B$71,Int_Rate_Param,3,FALSE))),IF(EIOPA_RFR!AC41&lt;0%,EIOPA_RFR!AC41,EIOPA_RFR!AC41*(1+VLOOKUP($B80,Int_Rate_Param,3,FALSE))))</f>
        <v>3.12045E-2</v>
      </c>
      <c r="AD80" s="94">
        <f>IF($B80&gt;20,IF(EIOPA_RFR!AD41&lt;0%,EIOPA_RFR!AD41,EIOPA_RFR!AD41*(1+VLOOKUP($B$71,Int_Rate_Param,3,FALSE))),IF(EIOPA_RFR!AD41&lt;0%,EIOPA_RFR!AD41,EIOPA_RFR!AD41*(1+VLOOKUP($B80,Int_Rate_Param,3,FALSE))))</f>
        <v>4.3629499999999995E-2</v>
      </c>
      <c r="AE80" s="94">
        <f>IF($B80&gt;20,IF(EIOPA_RFR!AE41&lt;0%,EIOPA_RFR!AE41,EIOPA_RFR!AE41*(1+VLOOKUP($B$71,Int_Rate_Param,3,FALSE))),IF(EIOPA_RFR!AE41&lt;0%,EIOPA_RFR!AE41,EIOPA_RFR!AE41*(1+VLOOKUP($B80,Int_Rate_Param,3,FALSE))))</f>
        <v>1.2836799999999999E-2</v>
      </c>
      <c r="AF80" s="94">
        <f>IF($B80&gt;20,IF(EIOPA_RFR!AF41&lt;0%,EIOPA_RFR!AF41,EIOPA_RFR!AF41*(1+VLOOKUP($B$71,Int_Rate_Param,3,FALSE))),IF(EIOPA_RFR!AF41&lt;0%,EIOPA_RFR!AF41,EIOPA_RFR!AF41*(1+VLOOKUP($B80,Int_Rate_Param,3,FALSE))))</f>
        <v>1.2836799999999999E-2</v>
      </c>
      <c r="AG80" s="94">
        <f>IF($B80&gt;20,IF(EIOPA_RFR!AG41&lt;0%,EIOPA_RFR!AG41,EIOPA_RFR!AG41*(1+VLOOKUP($B$71,Int_Rate_Param,3,FALSE))),IF(EIOPA_RFR!AG41&lt;0%,EIOPA_RFR!AG41,EIOPA_RFR!AG41*(1+VLOOKUP($B80,Int_Rate_Param,3,FALSE))))</f>
        <v>1.2836799999999999E-2</v>
      </c>
      <c r="AH80" s="94">
        <f>IF($B80&gt;20,IF(EIOPA_RFR!AH41&lt;0%,EIOPA_RFR!AH41,EIOPA_RFR!AH41*(1+VLOOKUP($B$71,Int_Rate_Param,3,FALSE))),IF(EIOPA_RFR!AH41&lt;0%,EIOPA_RFR!AH41,EIOPA_RFR!AH41*(1+VLOOKUP($B80,Int_Rate_Param,3,FALSE))))</f>
        <v>2.1136700000000001E-2</v>
      </c>
      <c r="AI80" s="94">
        <f>IF($B80&gt;20,IF(EIOPA_RFR!AI41&lt;0%,EIOPA_RFR!AI41,EIOPA_RFR!AI41*(1+VLOOKUP($B$71,Int_Rate_Param,3,FALSE))),IF(EIOPA_RFR!AI41&lt;0%,EIOPA_RFR!AI41,EIOPA_RFR!AI41*(1+VLOOKUP($B80,Int_Rate_Param,3,FALSE))))</f>
        <v>4.6292E-3</v>
      </c>
      <c r="AJ80" s="94">
        <f>IF($B80&gt;20,IF(EIOPA_RFR!AJ41&lt;0%,EIOPA_RFR!AJ41,EIOPA_RFR!AJ41*(1+VLOOKUP($B$71,Int_Rate_Param,3,FALSE))),IF(EIOPA_RFR!AJ41&lt;0%,EIOPA_RFR!AJ41,EIOPA_RFR!AJ41*(1+VLOOKUP($B80,Int_Rate_Param,3,FALSE))))</f>
        <v>8.9672999999999992E-3</v>
      </c>
      <c r="AK80" s="94">
        <f>IF($B80&gt;20,IF(EIOPA_RFR!AK41&lt;0%,EIOPA_RFR!AK41,EIOPA_RFR!AK41*(1+VLOOKUP($B$71,Int_Rate_Param,3,FALSE))),IF(EIOPA_RFR!AK41&lt;0%,EIOPA_RFR!AK41,EIOPA_RFR!AK41*(1+VLOOKUP($B80,Int_Rate_Param,3,FALSE))))</f>
        <v>2.3586199999999998E-2</v>
      </c>
      <c r="AL80" s="94">
        <f>IF($B80&gt;20,IF(EIOPA_RFR!AL41&lt;0%,EIOPA_RFR!AL41,EIOPA_RFR!AL41*(1+VLOOKUP($B$71,Int_Rate_Param,3,FALSE))),IF(EIOPA_RFR!AL41&lt;0%,EIOPA_RFR!AL41,EIOPA_RFR!AL41*(1+VLOOKUP($B80,Int_Rate_Param,3,FALSE))))</f>
        <v>5.5557499999999996E-2</v>
      </c>
      <c r="AM80" s="94">
        <f>IF($B80&gt;20,IF(EIOPA_RFR!AM41&lt;0%,EIOPA_RFR!AM41,EIOPA_RFR!AM41*(1+VLOOKUP($B$71,Int_Rate_Param,3,FALSE))),IF(EIOPA_RFR!AM41&lt;0%,EIOPA_RFR!AM41,EIOPA_RFR!AM41*(1+VLOOKUP($B80,Int_Rate_Param,3,FALSE))))</f>
        <v>1.5754899999999999E-2</v>
      </c>
      <c r="AN80" s="94">
        <f>IF($B80&gt;20,IF(EIOPA_RFR!AN41&lt;0%,EIOPA_RFR!AN41,EIOPA_RFR!AN41*(1+VLOOKUP($B$71,Int_Rate_Param,3,FALSE))),IF(EIOPA_RFR!AN41&lt;0%,EIOPA_RFR!AN41,EIOPA_RFR!AN41*(1+VLOOKUP($B80,Int_Rate_Param,3,FALSE))))</f>
        <v>3.0189199999999999E-2</v>
      </c>
      <c r="AO80" s="94">
        <f>IF($B80&gt;20,IF(EIOPA_RFR!AO41&lt;0%,EIOPA_RFR!AO41,EIOPA_RFR!AO41*(1+VLOOKUP($B$71,Int_Rate_Param,3,FALSE))),IF(EIOPA_RFR!AO41&lt;0%,EIOPA_RFR!AO41,EIOPA_RFR!AO41*(1+VLOOKUP($B80,Int_Rate_Param,3,FALSE))))</f>
        <v>3.1367799999999994E-2</v>
      </c>
      <c r="AP80" s="94">
        <f>IF($B80&gt;20,IF(EIOPA_RFR!AP41&lt;0%,EIOPA_RFR!AP41,EIOPA_RFR!AP41*(1+VLOOKUP($B$71,Int_Rate_Param,3,FALSE))),IF(EIOPA_RFR!AP41&lt;0%,EIOPA_RFR!AP41,EIOPA_RFR!AP41*(1+VLOOKUP($B80,Int_Rate_Param,3,FALSE))))</f>
        <v>4.0299599999999998E-2</v>
      </c>
      <c r="AQ80" s="94">
        <f>IF($B80&gt;20,IF(EIOPA_RFR!AQ41&lt;0%,EIOPA_RFR!AQ41,EIOPA_RFR!AQ41*(1+VLOOKUP($B$71,Int_Rate_Param,3,FALSE))),IF(EIOPA_RFR!AQ41&lt;0%,EIOPA_RFR!AQ41,EIOPA_RFR!AQ41*(1+VLOOKUP($B80,Int_Rate_Param,3,FALSE))))</f>
        <v>2.1122499999999999E-2</v>
      </c>
      <c r="AR80" s="94">
        <f>IF($B80&gt;20,IF(EIOPA_RFR!AR41&lt;0%,EIOPA_RFR!AR41,EIOPA_RFR!AR41*(1+VLOOKUP($B$71,Int_Rate_Param,3,FALSE))),IF(EIOPA_RFR!AR41&lt;0%,EIOPA_RFR!AR41,EIOPA_RFR!AR41*(1+VLOOKUP($B80,Int_Rate_Param,3,FALSE))))</f>
        <v>4.5503899999999993E-2</v>
      </c>
      <c r="AS80" s="94">
        <f>IF($B80&gt;20,IF(EIOPA_RFR!AS41&lt;0%,EIOPA_RFR!AS41,EIOPA_RFR!AS41*(1+VLOOKUP($B$71,Int_Rate_Param,3,FALSE))),IF(EIOPA_RFR!AS41&lt;0%,EIOPA_RFR!AS41,EIOPA_RFR!AS41*(1+VLOOKUP($B80,Int_Rate_Param,3,FALSE))))</f>
        <v>5.2468999999999997E-3</v>
      </c>
      <c r="AT80" s="94">
        <f>IF($B80&gt;20,IF(EIOPA_RFR!AT41&lt;0%,EIOPA_RFR!AT41,EIOPA_RFR!AT41*(1+VLOOKUP($B$71,Int_Rate_Param,3,FALSE))),IF(EIOPA_RFR!AT41&lt;0%,EIOPA_RFR!AT41,EIOPA_RFR!AT41*(1+VLOOKUP($B80,Int_Rate_Param,3,FALSE))))</f>
        <v>3.0955999999999997E-2</v>
      </c>
      <c r="AU80" s="94">
        <f>IF($B80&gt;20,IF(EIOPA_RFR!AU41&lt;0%,EIOPA_RFR!AU41,EIOPA_RFR!AU41*(1+VLOOKUP($B$71,Int_Rate_Param,3,FALSE))),IF(EIOPA_RFR!AU41&lt;0%,EIOPA_RFR!AU41,EIOPA_RFR!AU41*(1+VLOOKUP($B80,Int_Rate_Param,3,FALSE))))</f>
        <v>5.4094899999999994E-2</v>
      </c>
      <c r="AV80" s="94">
        <f>IF($B80&gt;20,IF(EIOPA_RFR!AV41&lt;0%,EIOPA_RFR!AV41,EIOPA_RFR!AV41*(1+VLOOKUP($B$71,Int_Rate_Param,3,FALSE))),IF(EIOPA_RFR!AV41&lt;0%,EIOPA_RFR!AV41,EIOPA_RFR!AV41*(1+VLOOKUP($B80,Int_Rate_Param,3,FALSE))))</f>
        <v>2.9393999999999997E-2</v>
      </c>
      <c r="AW80" s="94">
        <f>IF($B80&gt;20,IF(EIOPA_RFR!AW41&lt;0%,EIOPA_RFR!AW41,EIOPA_RFR!AW41*(1+VLOOKUP($B$71,Int_Rate_Param,3,FALSE))),IF(EIOPA_RFR!AW41&lt;0%,EIOPA_RFR!AW41,EIOPA_RFR!AW41*(1+VLOOKUP($B80,Int_Rate_Param,3,FALSE))))</f>
        <v>2.0987599999999999E-2</v>
      </c>
      <c r="AX80" s="94">
        <f>IF($B80&gt;20,IF(EIOPA_RFR!AX41&lt;0%,EIOPA_RFR!AX41,EIOPA_RFR!AX41*(1+VLOOKUP($B$71,Int_Rate_Param,3,FALSE))),IF(EIOPA_RFR!AX41&lt;0%,EIOPA_RFR!AX41,EIOPA_RFR!AX41*(1+VLOOKUP($B80,Int_Rate_Param,3,FALSE))))</f>
        <v>5.41091E-2</v>
      </c>
      <c r="AY80" s="94">
        <f>IF($B80&gt;20,IF(EIOPA_RFR!AY41&lt;0%,EIOPA_RFR!AY41,EIOPA_RFR!AY41*(1+VLOOKUP($B$71,Int_Rate_Param,3,FALSE))),IF(EIOPA_RFR!AY41&lt;0%,EIOPA_RFR!AY41,EIOPA_RFR!AY41*(1+VLOOKUP($B80,Int_Rate_Param,3,FALSE))))</f>
        <v>1.58259E-2</v>
      </c>
      <c r="AZ80" s="94">
        <f>IF($B80&gt;20,IF(EIOPA_RFR!AZ41&lt;0%,EIOPA_RFR!AZ41,EIOPA_RFR!AZ41*(1+VLOOKUP($B$71,Int_Rate_Param,3,FALSE))),IF(EIOPA_RFR!AZ41&lt;0%,EIOPA_RFR!AZ41,EIOPA_RFR!AZ41*(1+VLOOKUP($B80,Int_Rate_Param,3,FALSE))))</f>
        <v>1.7650599999999999E-2</v>
      </c>
      <c r="BA80" s="94">
        <f>IF($B80&gt;20,IF(EIOPA_RFR!BA41&lt;0%,EIOPA_RFR!BA41,EIOPA_RFR!BA41*(1+VLOOKUP($B$71,Int_Rate_Param,3,FALSE))),IF(EIOPA_RFR!BA41&lt;0%,EIOPA_RFR!BA41,EIOPA_RFR!BA41*(1+VLOOKUP($B80,Int_Rate_Param,3,FALSE))))</f>
        <v>2.3266699999999998E-2</v>
      </c>
      <c r="BB80" s="94">
        <f>IF($B80&gt;20,IF(EIOPA_RFR!BB41&lt;0%,EIOPA_RFR!BB41,EIOPA_RFR!BB41*(1+VLOOKUP($B$71,Int_Rate_Param,3,FALSE))),IF(EIOPA_RFR!BB41&lt;0%,EIOPA_RFR!BB41,EIOPA_RFR!BB41*(1+VLOOKUP($B80,Int_Rate_Param,3,FALSE))))</f>
        <v>5.7708799999999998E-2</v>
      </c>
      <c r="BC80" s="94">
        <f>IF($B80&gt;20,IF(EIOPA_RFR!BC41&lt;0%,EIOPA_RFR!BC41,EIOPA_RFR!BC41*(1+VLOOKUP($B$71,Int_Rate_Param,3,FALSE))),IF(EIOPA_RFR!BC41&lt;0%,EIOPA_RFR!BC41,EIOPA_RFR!BC41*(1+VLOOKUP($B80,Int_Rate_Param,3,FALSE))))</f>
        <v>1.8041099999999997E-2</v>
      </c>
    </row>
    <row r="81" spans="1:55" x14ac:dyDescent="0.25">
      <c r="A81">
        <f t="shared" si="1"/>
        <v>32</v>
      </c>
      <c r="B81" s="95">
        <v>30</v>
      </c>
      <c r="C81" s="94">
        <f>IF($B81&gt;20,IF(EIOPA_RFR!C42&lt;0%,EIOPA_RFR!C42,EIOPA_RFR!C42*(1+VLOOKUP($B$71,Int_Rate_Param,3,FALSE))),IF(EIOPA_RFR!C42&lt;0%,EIOPA_RFR!C42,EIOPA_RFR!C42*(1+VLOOKUP($B81,Int_Rate_Param,3,FALSE))))</f>
        <v>1.3269899999999998E-2</v>
      </c>
      <c r="D81" s="94">
        <f>IF($B81&gt;20,IF(EIOPA_RFR!D42&lt;0%,EIOPA_RFR!D42,EIOPA_RFR!D42*(1+VLOOKUP($B$71,Int_Rate_Param,3,FALSE))),IF(EIOPA_RFR!D42&lt;0%,EIOPA_RFR!D42,EIOPA_RFR!D42*(1+VLOOKUP($B81,Int_Rate_Param,3,FALSE))))</f>
        <v>1.3269899999999998E-2</v>
      </c>
      <c r="E81" s="94">
        <f>IF($B81&gt;20,IF(EIOPA_RFR!E42&lt;0%,EIOPA_RFR!E42,EIOPA_RFR!E42*(1+VLOOKUP($B$71,Int_Rate_Param,3,FALSE))),IF(EIOPA_RFR!E42&lt;0%,EIOPA_RFR!E42,EIOPA_RFR!E42*(1+VLOOKUP($B81,Int_Rate_Param,3,FALSE))))</f>
        <v>1.3269899999999998E-2</v>
      </c>
      <c r="F81" s="94">
        <f>IF($B81&gt;20,IF(EIOPA_RFR!F42&lt;0%,EIOPA_RFR!F42,EIOPA_RFR!F42*(1+VLOOKUP($B$71,Int_Rate_Param,3,FALSE))),IF(EIOPA_RFR!F42&lt;0%,EIOPA_RFR!F42,EIOPA_RFR!F42*(1+VLOOKUP($B81,Int_Rate_Param,3,FALSE))))</f>
        <v>1.29788E-2</v>
      </c>
      <c r="G81" s="94">
        <f>IF($B81&gt;20,IF(EIOPA_RFR!G42&lt;0%,EIOPA_RFR!G42,EIOPA_RFR!G42*(1+VLOOKUP($B$71,Int_Rate_Param,3,FALSE))),IF(EIOPA_RFR!G42&lt;0%,EIOPA_RFR!G42,EIOPA_RFR!G42*(1+VLOOKUP($B81,Int_Rate_Param,3,FALSE))))</f>
        <v>2.5446399999999997E-2</v>
      </c>
      <c r="H81" s="94">
        <f>IF($B81&gt;20,IF(EIOPA_RFR!H42&lt;0%,EIOPA_RFR!H42,EIOPA_RFR!H42*(1+VLOOKUP($B$71,Int_Rate_Param,3,FALSE))),IF(EIOPA_RFR!H42&lt;0%,EIOPA_RFR!H42,EIOPA_RFR!H42*(1+VLOOKUP($B81,Int_Rate_Param,3,FALSE))))</f>
        <v>1.3269899999999998E-2</v>
      </c>
      <c r="I81" s="94">
        <f>IF($B81&gt;20,IF(EIOPA_RFR!I42&lt;0%,EIOPA_RFR!I42,EIOPA_RFR!I42*(1+VLOOKUP($B$71,Int_Rate_Param,3,FALSE))),IF(EIOPA_RFR!I42&lt;0%,EIOPA_RFR!I42,EIOPA_RFR!I42*(1+VLOOKUP($B81,Int_Rate_Param,3,FALSE))))</f>
        <v>1.6351299999999999E-2</v>
      </c>
      <c r="J81" s="94">
        <f>IF($B81&gt;20,IF(EIOPA_RFR!J42&lt;0%,EIOPA_RFR!J42,EIOPA_RFR!J42*(1+VLOOKUP($B$71,Int_Rate_Param,3,FALSE))),IF(EIOPA_RFR!J42&lt;0%,EIOPA_RFR!J42,EIOPA_RFR!J42*(1+VLOOKUP($B81,Int_Rate_Param,3,FALSE))))</f>
        <v>1.32131E-2</v>
      </c>
      <c r="K81" s="94">
        <f>IF($B81&gt;20,IF(EIOPA_RFR!K42&lt;0%,EIOPA_RFR!K42,EIOPA_RFR!K42*(1+VLOOKUP($B$71,Int_Rate_Param,3,FALSE))),IF(EIOPA_RFR!K42&lt;0%,EIOPA_RFR!K42,EIOPA_RFR!K42*(1+VLOOKUP($B81,Int_Rate_Param,3,FALSE))))</f>
        <v>1.3269899999999998E-2</v>
      </c>
      <c r="L81" s="94">
        <f>IF($B81&gt;20,IF(EIOPA_RFR!L42&lt;0%,EIOPA_RFR!L42,EIOPA_RFR!L42*(1+VLOOKUP($B$71,Int_Rate_Param,3,FALSE))),IF(EIOPA_RFR!L42&lt;0%,EIOPA_RFR!L42,EIOPA_RFR!L42*(1+VLOOKUP($B81,Int_Rate_Param,3,FALSE))))</f>
        <v>1.3269899999999998E-2</v>
      </c>
      <c r="M81" s="94">
        <f>IF($B81&gt;20,IF(EIOPA_RFR!M42&lt;0%,EIOPA_RFR!M42,EIOPA_RFR!M42*(1+VLOOKUP($B$71,Int_Rate_Param,3,FALSE))),IF(EIOPA_RFR!M42&lt;0%,EIOPA_RFR!M42,EIOPA_RFR!M42*(1+VLOOKUP($B81,Int_Rate_Param,3,FALSE))))</f>
        <v>1.3269899999999998E-2</v>
      </c>
      <c r="N81" s="94">
        <f>IF($B81&gt;20,IF(EIOPA_RFR!N42&lt;0%,EIOPA_RFR!N42,EIOPA_RFR!N42*(1+VLOOKUP($B$71,Int_Rate_Param,3,FALSE))),IF(EIOPA_RFR!N42&lt;0%,EIOPA_RFR!N42,EIOPA_RFR!N42*(1+VLOOKUP($B81,Int_Rate_Param,3,FALSE))))</f>
        <v>1.3269899999999998E-2</v>
      </c>
      <c r="O81" s="94">
        <f>IF($B81&gt;20,IF(EIOPA_RFR!O42&lt;0%,EIOPA_RFR!O42,EIOPA_RFR!O42*(1+VLOOKUP($B$71,Int_Rate_Param,3,FALSE))),IF(EIOPA_RFR!O42&lt;0%,EIOPA_RFR!O42,EIOPA_RFR!O42*(1+VLOOKUP($B81,Int_Rate_Param,3,FALSE))))</f>
        <v>1.3269899999999998E-2</v>
      </c>
      <c r="P81" s="94">
        <f>IF($B81&gt;20,IF(EIOPA_RFR!P42&lt;0%,EIOPA_RFR!P42,EIOPA_RFR!P42*(1+VLOOKUP($B$71,Int_Rate_Param,3,FALSE))),IF(EIOPA_RFR!P42&lt;0%,EIOPA_RFR!P42,EIOPA_RFR!P42*(1+VLOOKUP($B81,Int_Rate_Param,3,FALSE))))</f>
        <v>3.0792699999999999E-2</v>
      </c>
      <c r="Q81" s="94">
        <f>IF($B81&gt;20,IF(EIOPA_RFR!Q42&lt;0%,EIOPA_RFR!Q42,EIOPA_RFR!Q42*(1+VLOOKUP($B$71,Int_Rate_Param,3,FALSE))),IF(EIOPA_RFR!Q42&lt;0%,EIOPA_RFR!Q42,EIOPA_RFR!Q42*(1+VLOOKUP($B81,Int_Rate_Param,3,FALSE))))</f>
        <v>3.22695E-2</v>
      </c>
      <c r="R81" s="94">
        <f>IF($B81&gt;20,IF(EIOPA_RFR!R42&lt;0%,EIOPA_RFR!R42,EIOPA_RFR!R42*(1+VLOOKUP($B$71,Int_Rate_Param,3,FALSE))),IF(EIOPA_RFR!R42&lt;0%,EIOPA_RFR!R42,EIOPA_RFR!R42*(1+VLOOKUP($B81,Int_Rate_Param,3,FALSE))))</f>
        <v>1.3269899999999998E-2</v>
      </c>
      <c r="S81" s="94">
        <f>IF($B81&gt;20,IF(EIOPA_RFR!S42&lt;0%,EIOPA_RFR!S42,EIOPA_RFR!S42*(1+VLOOKUP($B$71,Int_Rate_Param,3,FALSE))),IF(EIOPA_RFR!S42&lt;0%,EIOPA_RFR!S42,EIOPA_RFR!S42*(1+VLOOKUP($B81,Int_Rate_Param,3,FALSE))))</f>
        <v>1.3269899999999998E-2</v>
      </c>
      <c r="T81" s="94">
        <f>IF($B81&gt;20,IF(EIOPA_RFR!T42&lt;0%,EIOPA_RFR!T42,EIOPA_RFR!T42*(1+VLOOKUP($B$71,Int_Rate_Param,3,FALSE))),IF(EIOPA_RFR!T42&lt;0%,EIOPA_RFR!T42,EIOPA_RFR!T42*(1+VLOOKUP($B81,Int_Rate_Param,3,FALSE))))</f>
        <v>1.3269899999999998E-2</v>
      </c>
      <c r="U81" s="94">
        <f>IF($B81&gt;20,IF(EIOPA_RFR!U42&lt;0%,EIOPA_RFR!U42,EIOPA_RFR!U42*(1+VLOOKUP($B$71,Int_Rate_Param,3,FALSE))),IF(EIOPA_RFR!U42&lt;0%,EIOPA_RFR!U42,EIOPA_RFR!U42*(1+VLOOKUP($B81,Int_Rate_Param,3,FALSE))))</f>
        <v>4.9770999999999999E-3</v>
      </c>
      <c r="V81" s="94">
        <f>IF($B81&gt;20,IF(EIOPA_RFR!V42&lt;0%,EIOPA_RFR!V42,EIOPA_RFR!V42*(1+VLOOKUP($B$71,Int_Rate_Param,3,FALSE))),IF(EIOPA_RFR!V42&lt;0%,EIOPA_RFR!V42,EIOPA_RFR!V42*(1+VLOOKUP($B81,Int_Rate_Param,3,FALSE))))</f>
        <v>1.3269899999999998E-2</v>
      </c>
      <c r="W81" s="94">
        <f>IF($B81&gt;20,IF(EIOPA_RFR!W42&lt;0%,EIOPA_RFR!W42,EIOPA_RFR!W42*(1+VLOOKUP($B$71,Int_Rate_Param,3,FALSE))),IF(EIOPA_RFR!W42&lt;0%,EIOPA_RFR!W42,EIOPA_RFR!W42*(1+VLOOKUP($B81,Int_Rate_Param,3,FALSE))))</f>
        <v>1.3269899999999998E-2</v>
      </c>
      <c r="X81" s="94">
        <f>IF($B81&gt;20,IF(EIOPA_RFR!X42&lt;0%,EIOPA_RFR!X42,EIOPA_RFR!X42*(1+VLOOKUP($B$71,Int_Rate_Param,3,FALSE))),IF(EIOPA_RFR!X42&lt;0%,EIOPA_RFR!X42,EIOPA_RFR!X42*(1+VLOOKUP($B81,Int_Rate_Param,3,FALSE))))</f>
        <v>1.3269899999999998E-2</v>
      </c>
      <c r="Y81" s="94">
        <f>IF($B81&gt;20,IF(EIOPA_RFR!Y42&lt;0%,EIOPA_RFR!Y42,EIOPA_RFR!Y42*(1+VLOOKUP($B$71,Int_Rate_Param,3,FALSE))),IF(EIOPA_RFR!Y42&lt;0%,EIOPA_RFR!Y42,EIOPA_RFR!Y42*(1+VLOOKUP($B81,Int_Rate_Param,3,FALSE))))</f>
        <v>1.3269899999999998E-2</v>
      </c>
      <c r="Z81" s="94">
        <f>IF($B81&gt;20,IF(EIOPA_RFR!Z42&lt;0%,EIOPA_RFR!Z42,EIOPA_RFR!Z42*(1+VLOOKUP($B$71,Int_Rate_Param,3,FALSE))),IF(EIOPA_RFR!Z42&lt;0%,EIOPA_RFR!Z42,EIOPA_RFR!Z42*(1+VLOOKUP($B81,Int_Rate_Param,3,FALSE))))</f>
        <v>2.09237E-2</v>
      </c>
      <c r="AA81" s="94">
        <f>IF($B81&gt;20,IF(EIOPA_RFR!AA42&lt;0%,EIOPA_RFR!AA42,EIOPA_RFR!AA42*(1+VLOOKUP($B$71,Int_Rate_Param,3,FALSE))),IF(EIOPA_RFR!AA42&lt;0%,EIOPA_RFR!AA42,EIOPA_RFR!AA42*(1+VLOOKUP($B81,Int_Rate_Param,3,FALSE))))</f>
        <v>2.8534899999999995E-2</v>
      </c>
      <c r="AB81" s="94">
        <f>IF($B81&gt;20,IF(EIOPA_RFR!AB42&lt;0%,EIOPA_RFR!AB42,EIOPA_RFR!AB42*(1+VLOOKUP($B$71,Int_Rate_Param,3,FALSE))),IF(EIOPA_RFR!AB42&lt;0%,EIOPA_RFR!AB42,EIOPA_RFR!AB42*(1+VLOOKUP($B81,Int_Rate_Param,3,FALSE))))</f>
        <v>1.3269899999999998E-2</v>
      </c>
      <c r="AC81" s="94">
        <f>IF($B81&gt;20,IF(EIOPA_RFR!AC42&lt;0%,EIOPA_RFR!AC42,EIOPA_RFR!AC42*(1+VLOOKUP($B$71,Int_Rate_Param,3,FALSE))),IF(EIOPA_RFR!AC42&lt;0%,EIOPA_RFR!AC42,EIOPA_RFR!AC42*(1+VLOOKUP($B81,Int_Rate_Param,3,FALSE))))</f>
        <v>3.1197399999999997E-2</v>
      </c>
      <c r="AD81" s="94">
        <f>IF($B81&gt;20,IF(EIOPA_RFR!AD42&lt;0%,EIOPA_RFR!AD42,EIOPA_RFR!AD42*(1+VLOOKUP($B$71,Int_Rate_Param,3,FALSE))),IF(EIOPA_RFR!AD42&lt;0%,EIOPA_RFR!AD42,EIOPA_RFR!AD42*(1+VLOOKUP($B81,Int_Rate_Param,3,FALSE))))</f>
        <v>4.3246099999999996E-2</v>
      </c>
      <c r="AE81" s="94">
        <f>IF($B81&gt;20,IF(EIOPA_RFR!AE42&lt;0%,EIOPA_RFR!AE42,EIOPA_RFR!AE42*(1+VLOOKUP($B$71,Int_Rate_Param,3,FALSE))),IF(EIOPA_RFR!AE42&lt;0%,EIOPA_RFR!AE42,EIOPA_RFR!AE42*(1+VLOOKUP($B81,Int_Rate_Param,3,FALSE))))</f>
        <v>1.3269899999999998E-2</v>
      </c>
      <c r="AF81" s="94">
        <f>IF($B81&gt;20,IF(EIOPA_RFR!AF42&lt;0%,EIOPA_RFR!AF42,EIOPA_RFR!AF42*(1+VLOOKUP($B$71,Int_Rate_Param,3,FALSE))),IF(EIOPA_RFR!AF42&lt;0%,EIOPA_RFR!AF42,EIOPA_RFR!AF42*(1+VLOOKUP($B81,Int_Rate_Param,3,FALSE))))</f>
        <v>1.3269899999999998E-2</v>
      </c>
      <c r="AG81" s="94">
        <f>IF($B81&gt;20,IF(EIOPA_RFR!AG42&lt;0%,EIOPA_RFR!AG42,EIOPA_RFR!AG42*(1+VLOOKUP($B$71,Int_Rate_Param,3,FALSE))),IF(EIOPA_RFR!AG42&lt;0%,EIOPA_RFR!AG42,EIOPA_RFR!AG42*(1+VLOOKUP($B81,Int_Rate_Param,3,FALSE))))</f>
        <v>1.3269899999999998E-2</v>
      </c>
      <c r="AH81" s="94">
        <f>IF($B81&gt;20,IF(EIOPA_RFR!AH42&lt;0%,EIOPA_RFR!AH42,EIOPA_RFR!AH42*(1+VLOOKUP($B$71,Int_Rate_Param,3,FALSE))),IF(EIOPA_RFR!AH42&lt;0%,EIOPA_RFR!AH42,EIOPA_RFR!AH42*(1+VLOOKUP($B81,Int_Rate_Param,3,FALSE))))</f>
        <v>2.1427799999999997E-2</v>
      </c>
      <c r="AI81" s="94">
        <f>IF($B81&gt;20,IF(EIOPA_RFR!AI42&lt;0%,EIOPA_RFR!AI42,EIOPA_RFR!AI42*(1+VLOOKUP($B$71,Int_Rate_Param,3,FALSE))),IF(EIOPA_RFR!AI42&lt;0%,EIOPA_RFR!AI42,EIOPA_RFR!AI42*(1+VLOOKUP($B81,Int_Rate_Param,3,FALSE))))</f>
        <v>4.9770999999999999E-3</v>
      </c>
      <c r="AJ81" s="94">
        <f>IF($B81&gt;20,IF(EIOPA_RFR!AJ42&lt;0%,EIOPA_RFR!AJ42,EIOPA_RFR!AJ42*(1+VLOOKUP($B$71,Int_Rate_Param,3,FALSE))),IF(EIOPA_RFR!AJ42&lt;0%,EIOPA_RFR!AJ42,EIOPA_RFR!AJ42*(1+VLOOKUP($B81,Int_Rate_Param,3,FALSE))))</f>
        <v>8.9317999999999984E-3</v>
      </c>
      <c r="AK81" s="94">
        <f>IF($B81&gt;20,IF(EIOPA_RFR!AK42&lt;0%,EIOPA_RFR!AK42,EIOPA_RFR!AK42*(1+VLOOKUP($B$71,Int_Rate_Param,3,FALSE))),IF(EIOPA_RFR!AK42&lt;0%,EIOPA_RFR!AK42,EIOPA_RFR!AK42*(1+VLOOKUP($B81,Int_Rate_Param,3,FALSE))))</f>
        <v>2.3586199999999998E-2</v>
      </c>
      <c r="AL81" s="94">
        <f>IF($B81&gt;20,IF(EIOPA_RFR!AL42&lt;0%,EIOPA_RFR!AL42,EIOPA_RFR!AL42*(1+VLOOKUP($B$71,Int_Rate_Param,3,FALSE))),IF(EIOPA_RFR!AL42&lt;0%,EIOPA_RFR!AL42,EIOPA_RFR!AL42*(1+VLOOKUP($B81,Int_Rate_Param,3,FALSE))))</f>
        <v>5.5046299999999999E-2</v>
      </c>
      <c r="AM81" s="94">
        <f>IF($B81&gt;20,IF(EIOPA_RFR!AM42&lt;0%,EIOPA_RFR!AM42,EIOPA_RFR!AM42*(1+VLOOKUP($B$71,Int_Rate_Param,3,FALSE))),IF(EIOPA_RFR!AM42&lt;0%,EIOPA_RFR!AM42,EIOPA_RFR!AM42*(1+VLOOKUP($B81,Int_Rate_Param,3,FALSE))))</f>
        <v>1.5833E-2</v>
      </c>
      <c r="AN81" s="94">
        <f>IF($B81&gt;20,IF(EIOPA_RFR!AN42&lt;0%,EIOPA_RFR!AN42,EIOPA_RFR!AN42*(1+VLOOKUP($B$71,Int_Rate_Param,3,FALSE))),IF(EIOPA_RFR!AN42&lt;0%,EIOPA_RFR!AN42,EIOPA_RFR!AN42*(1+VLOOKUP($B81,Int_Rate_Param,3,FALSE))))</f>
        <v>3.0203399999999998E-2</v>
      </c>
      <c r="AO81" s="94">
        <f>IF($B81&gt;20,IF(EIOPA_RFR!AO42&lt;0%,EIOPA_RFR!AO42,EIOPA_RFR!AO42*(1+VLOOKUP($B$71,Int_Rate_Param,3,FALSE))),IF(EIOPA_RFR!AO42&lt;0%,EIOPA_RFR!AO42,EIOPA_RFR!AO42*(1+VLOOKUP($B81,Int_Rate_Param,3,FALSE))))</f>
        <v>3.1353599999999995E-2</v>
      </c>
      <c r="AP81" s="94">
        <f>IF($B81&gt;20,IF(EIOPA_RFR!AP42&lt;0%,EIOPA_RFR!AP42,EIOPA_RFR!AP42*(1+VLOOKUP($B$71,Int_Rate_Param,3,FALSE))),IF(EIOPA_RFR!AP42&lt;0%,EIOPA_RFR!AP42,EIOPA_RFR!AP42*(1+VLOOKUP($B81,Int_Rate_Param,3,FALSE))))</f>
        <v>4.0022700000000001E-2</v>
      </c>
      <c r="AQ81" s="94">
        <f>IF($B81&gt;20,IF(EIOPA_RFR!AQ42&lt;0%,EIOPA_RFR!AQ42,EIOPA_RFR!AQ42*(1+VLOOKUP($B$71,Int_Rate_Param,3,FALSE))),IF(EIOPA_RFR!AQ42&lt;0%,EIOPA_RFR!AQ42,EIOPA_RFR!AQ42*(1+VLOOKUP($B81,Int_Rate_Param,3,FALSE))))</f>
        <v>2.1356799999999999E-2</v>
      </c>
      <c r="AR81" s="94">
        <f>IF($B81&gt;20,IF(EIOPA_RFR!AR42&lt;0%,EIOPA_RFR!AR42,EIOPA_RFR!AR42*(1+VLOOKUP($B$71,Int_Rate_Param,3,FALSE))),IF(EIOPA_RFR!AR42&lt;0%,EIOPA_RFR!AR42,EIOPA_RFR!AR42*(1+VLOOKUP($B81,Int_Rate_Param,3,FALSE))))</f>
        <v>4.5283799999999999E-2</v>
      </c>
      <c r="AS81" s="94">
        <f>IF($B81&gt;20,IF(EIOPA_RFR!AS42&lt;0%,EIOPA_RFR!AS42,EIOPA_RFR!AS42*(1+VLOOKUP($B$71,Int_Rate_Param,3,FALSE))),IF(EIOPA_RFR!AS42&lt;0%,EIOPA_RFR!AS42,EIOPA_RFR!AS42*(1+VLOOKUP($B81,Int_Rate_Param,3,FALSE))))</f>
        <v>5.3746999999999996E-3</v>
      </c>
      <c r="AT81" s="94">
        <f>IF($B81&gt;20,IF(EIOPA_RFR!AT42&lt;0%,EIOPA_RFR!AT42,EIOPA_RFR!AT42*(1+VLOOKUP($B$71,Int_Rate_Param,3,FALSE))),IF(EIOPA_RFR!AT42&lt;0%,EIOPA_RFR!AT42,EIOPA_RFR!AT42*(1+VLOOKUP($B81,Int_Rate_Param,3,FALSE))))</f>
        <v>3.0948899999999994E-2</v>
      </c>
      <c r="AU81" s="94">
        <f>IF($B81&gt;20,IF(EIOPA_RFR!AU42&lt;0%,EIOPA_RFR!AU42,EIOPA_RFR!AU42*(1+VLOOKUP($B$71,Int_Rate_Param,3,FALSE))),IF(EIOPA_RFR!AU42&lt;0%,EIOPA_RFR!AU42,EIOPA_RFR!AU42*(1+VLOOKUP($B81,Int_Rate_Param,3,FALSE))))</f>
        <v>5.3718599999999998E-2</v>
      </c>
      <c r="AV81" s="94">
        <f>IF($B81&gt;20,IF(EIOPA_RFR!AV42&lt;0%,EIOPA_RFR!AV42,EIOPA_RFR!AV42*(1+VLOOKUP($B$71,Int_Rate_Param,3,FALSE))),IF(EIOPA_RFR!AV42&lt;0%,EIOPA_RFR!AV42,EIOPA_RFR!AV42*(1+VLOOKUP($B81,Int_Rate_Param,3,FALSE))))</f>
        <v>2.9450799999999999E-2</v>
      </c>
      <c r="AW81" s="94">
        <f>IF($B81&gt;20,IF(EIOPA_RFR!AW42&lt;0%,EIOPA_RFR!AW42,EIOPA_RFR!AW42*(1+VLOOKUP($B$71,Int_Rate_Param,3,FALSE))),IF(EIOPA_RFR!AW42&lt;0%,EIOPA_RFR!AW42,EIOPA_RFR!AW42*(1+VLOOKUP($B81,Int_Rate_Param,3,FALSE))))</f>
        <v>2.12006E-2</v>
      </c>
      <c r="AX81" s="94">
        <f>IF($B81&gt;20,IF(EIOPA_RFR!AX42&lt;0%,EIOPA_RFR!AX42,EIOPA_RFR!AX42*(1+VLOOKUP($B$71,Int_Rate_Param,3,FALSE))),IF(EIOPA_RFR!AX42&lt;0%,EIOPA_RFR!AX42,EIOPA_RFR!AX42*(1+VLOOKUP($B81,Int_Rate_Param,3,FALSE))))</f>
        <v>5.3668899999999999E-2</v>
      </c>
      <c r="AY81" s="94">
        <f>IF($B81&gt;20,IF(EIOPA_RFR!AY42&lt;0%,EIOPA_RFR!AY42,EIOPA_RFR!AY42*(1+VLOOKUP($B$71,Int_Rate_Param,3,FALSE))),IF(EIOPA_RFR!AY42&lt;0%,EIOPA_RFR!AY42,EIOPA_RFR!AY42*(1+VLOOKUP($B81,Int_Rate_Param,3,FALSE))))</f>
        <v>1.6166699999999999E-2</v>
      </c>
      <c r="AZ81" s="94">
        <f>IF($B81&gt;20,IF(EIOPA_RFR!AZ42&lt;0%,EIOPA_RFR!AZ42,EIOPA_RFR!AZ42*(1+VLOOKUP($B$71,Int_Rate_Param,3,FALSE))),IF(EIOPA_RFR!AZ42&lt;0%,EIOPA_RFR!AZ42,EIOPA_RFR!AZ42*(1+VLOOKUP($B81,Int_Rate_Param,3,FALSE))))</f>
        <v>1.7991400000000001E-2</v>
      </c>
      <c r="BA81" s="94">
        <f>IF($B81&gt;20,IF(EIOPA_RFR!BA42&lt;0%,EIOPA_RFR!BA42,EIOPA_RFR!BA42*(1+VLOOKUP($B$71,Int_Rate_Param,3,FALSE))),IF(EIOPA_RFR!BA42&lt;0%,EIOPA_RFR!BA42,EIOPA_RFR!BA42*(1+VLOOKUP($B81,Int_Rate_Param,3,FALSE))))</f>
        <v>2.3444199999999998E-2</v>
      </c>
      <c r="BB81" s="94">
        <f>IF($B81&gt;20,IF(EIOPA_RFR!BB42&lt;0%,EIOPA_RFR!BB42,EIOPA_RFR!BB42*(1+VLOOKUP($B$71,Int_Rate_Param,3,FALSE))),IF(EIOPA_RFR!BB42&lt;0%,EIOPA_RFR!BB42,EIOPA_RFR!BB42*(1+VLOOKUP($B81,Int_Rate_Param,3,FALSE))))</f>
        <v>5.7112399999999994E-2</v>
      </c>
      <c r="BC81" s="94">
        <f>IF($B81&gt;20,IF(EIOPA_RFR!BC42&lt;0%,EIOPA_RFR!BC42,EIOPA_RFR!BC42*(1+VLOOKUP($B$71,Int_Rate_Param,3,FALSE))),IF(EIOPA_RFR!BC42&lt;0%,EIOPA_RFR!BC42,EIOPA_RFR!BC42*(1+VLOOKUP($B81,Int_Rate_Param,3,FALSE))))</f>
        <v>1.8041099999999997E-2</v>
      </c>
    </row>
    <row r="82" spans="1:55" x14ac:dyDescent="0.25">
      <c r="A82">
        <f t="shared" si="1"/>
        <v>33</v>
      </c>
      <c r="B82" s="95">
        <v>31</v>
      </c>
      <c r="C82" s="94">
        <f>IF($B82&gt;20,IF(EIOPA_RFR!C43&lt;0%,EIOPA_RFR!C43,EIOPA_RFR!C43*(1+VLOOKUP($B$71,Int_Rate_Param,3,FALSE))),IF(EIOPA_RFR!C43&lt;0%,EIOPA_RFR!C43,EIOPA_RFR!C43*(1+VLOOKUP($B82,Int_Rate_Param,3,FALSE))))</f>
        <v>1.36959E-2</v>
      </c>
      <c r="D82" s="94">
        <f>IF($B82&gt;20,IF(EIOPA_RFR!D43&lt;0%,EIOPA_RFR!D43,EIOPA_RFR!D43*(1+VLOOKUP($B$71,Int_Rate_Param,3,FALSE))),IF(EIOPA_RFR!D43&lt;0%,EIOPA_RFR!D43,EIOPA_RFR!D43*(1+VLOOKUP($B82,Int_Rate_Param,3,FALSE))))</f>
        <v>1.36959E-2</v>
      </c>
      <c r="E82" s="94">
        <f>IF($B82&gt;20,IF(EIOPA_RFR!E43&lt;0%,EIOPA_RFR!E43,EIOPA_RFR!E43*(1+VLOOKUP($B$71,Int_Rate_Param,3,FALSE))),IF(EIOPA_RFR!E43&lt;0%,EIOPA_RFR!E43,EIOPA_RFR!E43*(1+VLOOKUP($B82,Int_Rate_Param,3,FALSE))))</f>
        <v>1.36959E-2</v>
      </c>
      <c r="F82" s="94">
        <f>IF($B82&gt;20,IF(EIOPA_RFR!F43&lt;0%,EIOPA_RFR!F43,EIOPA_RFR!F43*(1+VLOOKUP($B$71,Int_Rate_Param,3,FALSE))),IF(EIOPA_RFR!F43&lt;0%,EIOPA_RFR!F43,EIOPA_RFR!F43*(1+VLOOKUP($B82,Int_Rate_Param,3,FALSE))))</f>
        <v>1.34048E-2</v>
      </c>
      <c r="G82" s="94">
        <f>IF($B82&gt;20,IF(EIOPA_RFR!G43&lt;0%,EIOPA_RFR!G43,EIOPA_RFR!G43*(1+VLOOKUP($B$71,Int_Rate_Param,3,FALSE))),IF(EIOPA_RFR!G43&lt;0%,EIOPA_RFR!G43,EIOPA_RFR!G43*(1+VLOOKUP($B82,Int_Rate_Param,3,FALSE))))</f>
        <v>2.5559999999999996E-2</v>
      </c>
      <c r="H82" s="94">
        <f>IF($B82&gt;20,IF(EIOPA_RFR!H43&lt;0%,EIOPA_RFR!H43,EIOPA_RFR!H43*(1+VLOOKUP($B$71,Int_Rate_Param,3,FALSE))),IF(EIOPA_RFR!H43&lt;0%,EIOPA_RFR!H43,EIOPA_RFR!H43*(1+VLOOKUP($B82,Int_Rate_Param,3,FALSE))))</f>
        <v>1.36959E-2</v>
      </c>
      <c r="I82" s="94">
        <f>IF($B82&gt;20,IF(EIOPA_RFR!I43&lt;0%,EIOPA_RFR!I43,EIOPA_RFR!I43*(1+VLOOKUP($B$71,Int_Rate_Param,3,FALSE))),IF(EIOPA_RFR!I43&lt;0%,EIOPA_RFR!I43,EIOPA_RFR!I43*(1+VLOOKUP($B82,Int_Rate_Param,3,FALSE))))</f>
        <v>1.6713399999999996E-2</v>
      </c>
      <c r="J82" s="94">
        <f>IF($B82&gt;20,IF(EIOPA_RFR!J43&lt;0%,EIOPA_RFR!J43,EIOPA_RFR!J43*(1+VLOOKUP($B$71,Int_Rate_Param,3,FALSE))),IF(EIOPA_RFR!J43&lt;0%,EIOPA_RFR!J43,EIOPA_RFR!J43*(1+VLOOKUP($B82,Int_Rate_Param,3,FALSE))))</f>
        <v>1.3639099999999999E-2</v>
      </c>
      <c r="K82" s="94">
        <f>IF($B82&gt;20,IF(EIOPA_RFR!K43&lt;0%,EIOPA_RFR!K43,EIOPA_RFR!K43*(1+VLOOKUP($B$71,Int_Rate_Param,3,FALSE))),IF(EIOPA_RFR!K43&lt;0%,EIOPA_RFR!K43,EIOPA_RFR!K43*(1+VLOOKUP($B82,Int_Rate_Param,3,FALSE))))</f>
        <v>1.36959E-2</v>
      </c>
      <c r="L82" s="94">
        <f>IF($B82&gt;20,IF(EIOPA_RFR!L43&lt;0%,EIOPA_RFR!L43,EIOPA_RFR!L43*(1+VLOOKUP($B$71,Int_Rate_Param,3,FALSE))),IF(EIOPA_RFR!L43&lt;0%,EIOPA_RFR!L43,EIOPA_RFR!L43*(1+VLOOKUP($B82,Int_Rate_Param,3,FALSE))))</f>
        <v>1.36959E-2</v>
      </c>
      <c r="M82" s="94">
        <f>IF($B82&gt;20,IF(EIOPA_RFR!M43&lt;0%,EIOPA_RFR!M43,EIOPA_RFR!M43*(1+VLOOKUP($B$71,Int_Rate_Param,3,FALSE))),IF(EIOPA_RFR!M43&lt;0%,EIOPA_RFR!M43,EIOPA_RFR!M43*(1+VLOOKUP($B82,Int_Rate_Param,3,FALSE))))</f>
        <v>1.36959E-2</v>
      </c>
      <c r="N82" s="94">
        <f>IF($B82&gt;20,IF(EIOPA_RFR!N43&lt;0%,EIOPA_RFR!N43,EIOPA_RFR!N43*(1+VLOOKUP($B$71,Int_Rate_Param,3,FALSE))),IF(EIOPA_RFR!N43&lt;0%,EIOPA_RFR!N43,EIOPA_RFR!N43*(1+VLOOKUP($B82,Int_Rate_Param,3,FALSE))))</f>
        <v>1.36959E-2</v>
      </c>
      <c r="O82" s="94">
        <f>IF($B82&gt;20,IF(EIOPA_RFR!O43&lt;0%,EIOPA_RFR!O43,EIOPA_RFR!O43*(1+VLOOKUP($B$71,Int_Rate_Param,3,FALSE))),IF(EIOPA_RFR!O43&lt;0%,EIOPA_RFR!O43,EIOPA_RFR!O43*(1+VLOOKUP($B82,Int_Rate_Param,3,FALSE))))</f>
        <v>1.36959E-2</v>
      </c>
      <c r="P82" s="94">
        <f>IF($B82&gt;20,IF(EIOPA_RFR!P43&lt;0%,EIOPA_RFR!P43,EIOPA_RFR!P43*(1+VLOOKUP($B$71,Int_Rate_Param,3,FALSE))),IF(EIOPA_RFR!P43&lt;0%,EIOPA_RFR!P43,EIOPA_RFR!P43*(1+VLOOKUP($B82,Int_Rate_Param,3,FALSE))))</f>
        <v>3.0813999999999998E-2</v>
      </c>
      <c r="Q82" s="94">
        <f>IF($B82&gt;20,IF(EIOPA_RFR!Q43&lt;0%,EIOPA_RFR!Q43,EIOPA_RFR!Q43*(1+VLOOKUP($B$71,Int_Rate_Param,3,FALSE))),IF(EIOPA_RFR!Q43&lt;0%,EIOPA_RFR!Q43,EIOPA_RFR!Q43*(1+VLOOKUP($B82,Int_Rate_Param,3,FALSE))))</f>
        <v>3.2212699999999997E-2</v>
      </c>
      <c r="R82" s="94">
        <f>IF($B82&gt;20,IF(EIOPA_RFR!R43&lt;0%,EIOPA_RFR!R43,EIOPA_RFR!R43*(1+VLOOKUP($B$71,Int_Rate_Param,3,FALSE))),IF(EIOPA_RFR!R43&lt;0%,EIOPA_RFR!R43,EIOPA_RFR!R43*(1+VLOOKUP($B82,Int_Rate_Param,3,FALSE))))</f>
        <v>1.36959E-2</v>
      </c>
      <c r="S82" s="94">
        <f>IF($B82&gt;20,IF(EIOPA_RFR!S43&lt;0%,EIOPA_RFR!S43,EIOPA_RFR!S43*(1+VLOOKUP($B$71,Int_Rate_Param,3,FALSE))),IF(EIOPA_RFR!S43&lt;0%,EIOPA_RFR!S43,EIOPA_RFR!S43*(1+VLOOKUP($B82,Int_Rate_Param,3,FALSE))))</f>
        <v>1.36959E-2</v>
      </c>
      <c r="T82" s="94">
        <f>IF($B82&gt;20,IF(EIOPA_RFR!T43&lt;0%,EIOPA_RFR!T43,EIOPA_RFR!T43*(1+VLOOKUP($B$71,Int_Rate_Param,3,FALSE))),IF(EIOPA_RFR!T43&lt;0%,EIOPA_RFR!T43,EIOPA_RFR!T43*(1+VLOOKUP($B82,Int_Rate_Param,3,FALSE))))</f>
        <v>1.36959E-2</v>
      </c>
      <c r="U82" s="94">
        <f>IF($B82&gt;20,IF(EIOPA_RFR!U43&lt;0%,EIOPA_RFR!U43,EIOPA_RFR!U43*(1+VLOOKUP($B$71,Int_Rate_Param,3,FALSE))),IF(EIOPA_RFR!U43&lt;0%,EIOPA_RFR!U43,EIOPA_RFR!U43*(1+VLOOKUP($B82,Int_Rate_Param,3,FALSE))))</f>
        <v>5.3321000000000002E-3</v>
      </c>
      <c r="V82" s="94">
        <f>IF($B82&gt;20,IF(EIOPA_RFR!V43&lt;0%,EIOPA_RFR!V43,EIOPA_RFR!V43*(1+VLOOKUP($B$71,Int_Rate_Param,3,FALSE))),IF(EIOPA_RFR!V43&lt;0%,EIOPA_RFR!V43,EIOPA_RFR!V43*(1+VLOOKUP($B82,Int_Rate_Param,3,FALSE))))</f>
        <v>1.36959E-2</v>
      </c>
      <c r="W82" s="94">
        <f>IF($B82&gt;20,IF(EIOPA_RFR!W43&lt;0%,EIOPA_RFR!W43,EIOPA_RFR!W43*(1+VLOOKUP($B$71,Int_Rate_Param,3,FALSE))),IF(EIOPA_RFR!W43&lt;0%,EIOPA_RFR!W43,EIOPA_RFR!W43*(1+VLOOKUP($B82,Int_Rate_Param,3,FALSE))))</f>
        <v>1.36959E-2</v>
      </c>
      <c r="X82" s="94">
        <f>IF($B82&gt;20,IF(EIOPA_RFR!X43&lt;0%,EIOPA_RFR!X43,EIOPA_RFR!X43*(1+VLOOKUP($B$71,Int_Rate_Param,3,FALSE))),IF(EIOPA_RFR!X43&lt;0%,EIOPA_RFR!X43,EIOPA_RFR!X43*(1+VLOOKUP($B82,Int_Rate_Param,3,FALSE))))</f>
        <v>1.36959E-2</v>
      </c>
      <c r="Y82" s="94">
        <f>IF($B82&gt;20,IF(EIOPA_RFR!Y43&lt;0%,EIOPA_RFR!Y43,EIOPA_RFR!Y43*(1+VLOOKUP($B$71,Int_Rate_Param,3,FALSE))),IF(EIOPA_RFR!Y43&lt;0%,EIOPA_RFR!Y43,EIOPA_RFR!Y43*(1+VLOOKUP($B82,Int_Rate_Param,3,FALSE))))</f>
        <v>1.36959E-2</v>
      </c>
      <c r="Z82" s="94">
        <f>IF($B82&gt;20,IF(EIOPA_RFR!Z43&lt;0%,EIOPA_RFR!Z43,EIOPA_RFR!Z43*(1+VLOOKUP($B$71,Int_Rate_Param,3,FALSE))),IF(EIOPA_RFR!Z43&lt;0%,EIOPA_RFR!Z43,EIOPA_RFR!Z43*(1+VLOOKUP($B82,Int_Rate_Param,3,FALSE))))</f>
        <v>2.1165099999999999E-2</v>
      </c>
      <c r="AA82" s="94">
        <f>IF($B82&gt;20,IF(EIOPA_RFR!AA43&lt;0%,EIOPA_RFR!AA43,EIOPA_RFR!AA43*(1+VLOOKUP($B$71,Int_Rate_Param,3,FALSE))),IF(EIOPA_RFR!AA43&lt;0%,EIOPA_RFR!AA43,EIOPA_RFR!AA43*(1+VLOOKUP($B82,Int_Rate_Param,3,FALSE))))</f>
        <v>2.8598800000000001E-2</v>
      </c>
      <c r="AB82" s="94">
        <f>IF($B82&gt;20,IF(EIOPA_RFR!AB43&lt;0%,EIOPA_RFR!AB43,EIOPA_RFR!AB43*(1+VLOOKUP($B$71,Int_Rate_Param,3,FALSE))),IF(EIOPA_RFR!AB43&lt;0%,EIOPA_RFR!AB43,EIOPA_RFR!AB43*(1+VLOOKUP($B82,Int_Rate_Param,3,FALSE))))</f>
        <v>1.36959E-2</v>
      </c>
      <c r="AC82" s="94">
        <f>IF($B82&gt;20,IF(EIOPA_RFR!AC43&lt;0%,EIOPA_RFR!AC43,EIOPA_RFR!AC43*(1+VLOOKUP($B$71,Int_Rate_Param,3,FALSE))),IF(EIOPA_RFR!AC43&lt;0%,EIOPA_RFR!AC43,EIOPA_RFR!AC43*(1+VLOOKUP($B82,Int_Rate_Param,3,FALSE))))</f>
        <v>3.1190299999999997E-2</v>
      </c>
      <c r="AD82" s="94">
        <f>IF($B82&gt;20,IF(EIOPA_RFR!AD43&lt;0%,EIOPA_RFR!AD43,EIOPA_RFR!AD43*(1+VLOOKUP($B$71,Int_Rate_Param,3,FALSE))),IF(EIOPA_RFR!AD43&lt;0%,EIOPA_RFR!AD43,EIOPA_RFR!AD43*(1+VLOOKUP($B82,Int_Rate_Param,3,FALSE))))</f>
        <v>4.2876899999999996E-2</v>
      </c>
      <c r="AE82" s="94">
        <f>IF($B82&gt;20,IF(EIOPA_RFR!AE43&lt;0%,EIOPA_RFR!AE43,EIOPA_RFR!AE43*(1+VLOOKUP($B$71,Int_Rate_Param,3,FALSE))),IF(EIOPA_RFR!AE43&lt;0%,EIOPA_RFR!AE43,EIOPA_RFR!AE43*(1+VLOOKUP($B82,Int_Rate_Param,3,FALSE))))</f>
        <v>1.36959E-2</v>
      </c>
      <c r="AF82" s="94">
        <f>IF($B82&gt;20,IF(EIOPA_RFR!AF43&lt;0%,EIOPA_RFR!AF43,EIOPA_RFR!AF43*(1+VLOOKUP($B$71,Int_Rate_Param,3,FALSE))),IF(EIOPA_RFR!AF43&lt;0%,EIOPA_RFR!AF43,EIOPA_RFR!AF43*(1+VLOOKUP($B82,Int_Rate_Param,3,FALSE))))</f>
        <v>1.36959E-2</v>
      </c>
      <c r="AG82" s="94">
        <f>IF($B82&gt;20,IF(EIOPA_RFR!AG43&lt;0%,EIOPA_RFR!AG43,EIOPA_RFR!AG43*(1+VLOOKUP($B$71,Int_Rate_Param,3,FALSE))),IF(EIOPA_RFR!AG43&lt;0%,EIOPA_RFR!AG43,EIOPA_RFR!AG43*(1+VLOOKUP($B82,Int_Rate_Param,3,FALSE))))</f>
        <v>1.36959E-2</v>
      </c>
      <c r="AH82" s="94">
        <f>IF($B82&gt;20,IF(EIOPA_RFR!AH43&lt;0%,EIOPA_RFR!AH43,EIOPA_RFR!AH43*(1+VLOOKUP($B$71,Int_Rate_Param,3,FALSE))),IF(EIOPA_RFR!AH43&lt;0%,EIOPA_RFR!AH43,EIOPA_RFR!AH43*(1+VLOOKUP($B82,Int_Rate_Param,3,FALSE))))</f>
        <v>2.1697599999999997E-2</v>
      </c>
      <c r="AI82" s="94">
        <f>IF($B82&gt;20,IF(EIOPA_RFR!AI43&lt;0%,EIOPA_RFR!AI43,EIOPA_RFR!AI43*(1+VLOOKUP($B$71,Int_Rate_Param,3,FALSE))),IF(EIOPA_RFR!AI43&lt;0%,EIOPA_RFR!AI43,EIOPA_RFR!AI43*(1+VLOOKUP($B82,Int_Rate_Param,3,FALSE))))</f>
        <v>5.3321000000000002E-3</v>
      </c>
      <c r="AJ82" s="94">
        <f>IF($B82&gt;20,IF(EIOPA_RFR!AJ43&lt;0%,EIOPA_RFR!AJ43,EIOPA_RFR!AJ43*(1+VLOOKUP($B$71,Int_Rate_Param,3,FALSE))),IF(EIOPA_RFR!AJ43&lt;0%,EIOPA_RFR!AJ43,EIOPA_RFR!AJ43*(1+VLOOKUP($B82,Int_Rate_Param,3,FALSE))))</f>
        <v>8.8962999999999993E-3</v>
      </c>
      <c r="AK82" s="94">
        <f>IF($B82&gt;20,IF(EIOPA_RFR!AK43&lt;0%,EIOPA_RFR!AK43,EIOPA_RFR!AK43*(1+VLOOKUP($B$71,Int_Rate_Param,3,FALSE))),IF(EIOPA_RFR!AK43&lt;0%,EIOPA_RFR!AK43,EIOPA_RFR!AK43*(1+VLOOKUP($B82,Int_Rate_Param,3,FALSE))))</f>
        <v>2.3600399999999997E-2</v>
      </c>
      <c r="AL82" s="94">
        <f>IF($B82&gt;20,IF(EIOPA_RFR!AL43&lt;0%,EIOPA_RFR!AL43,EIOPA_RFR!AL43*(1+VLOOKUP($B$71,Int_Rate_Param,3,FALSE))),IF(EIOPA_RFR!AL43&lt;0%,EIOPA_RFR!AL43,EIOPA_RFR!AL43*(1+VLOOKUP($B82,Int_Rate_Param,3,FALSE))))</f>
        <v>5.4549299999999995E-2</v>
      </c>
      <c r="AM82" s="94">
        <f>IF($B82&gt;20,IF(EIOPA_RFR!AM43&lt;0%,EIOPA_RFR!AM43,EIOPA_RFR!AM43*(1+VLOOKUP($B$71,Int_Rate_Param,3,FALSE))),IF(EIOPA_RFR!AM43&lt;0%,EIOPA_RFR!AM43,EIOPA_RFR!AM43*(1+VLOOKUP($B82,Int_Rate_Param,3,FALSE))))</f>
        <v>1.5953700000000001E-2</v>
      </c>
      <c r="AN82" s="94">
        <f>IF($B82&gt;20,IF(EIOPA_RFR!AN43&lt;0%,EIOPA_RFR!AN43,EIOPA_RFR!AN43*(1+VLOOKUP($B$71,Int_Rate_Param,3,FALSE))),IF(EIOPA_RFR!AN43&lt;0%,EIOPA_RFR!AN43,EIOPA_RFR!AN43*(1+VLOOKUP($B82,Int_Rate_Param,3,FALSE))))</f>
        <v>3.0210499999999998E-2</v>
      </c>
      <c r="AO82" s="94">
        <f>IF($B82&gt;20,IF(EIOPA_RFR!AO43&lt;0%,EIOPA_RFR!AO43,EIOPA_RFR!AO43*(1+VLOOKUP($B$71,Int_Rate_Param,3,FALSE))),IF(EIOPA_RFR!AO43&lt;0%,EIOPA_RFR!AO43,EIOPA_RFR!AO43*(1+VLOOKUP($B82,Int_Rate_Param,3,FALSE))))</f>
        <v>3.1325199999999997E-2</v>
      </c>
      <c r="AP82" s="94">
        <f>IF($B82&gt;20,IF(EIOPA_RFR!AP43&lt;0%,EIOPA_RFR!AP43,EIOPA_RFR!AP43*(1+VLOOKUP($B$71,Int_Rate_Param,3,FALSE))),IF(EIOPA_RFR!AP43&lt;0%,EIOPA_RFR!AP43,EIOPA_RFR!AP43*(1+VLOOKUP($B82,Int_Rate_Param,3,FALSE))))</f>
        <v>3.9767099999999993E-2</v>
      </c>
      <c r="AQ82" s="94">
        <f>IF($B82&gt;20,IF(EIOPA_RFR!AQ43&lt;0%,EIOPA_RFR!AQ43,EIOPA_RFR!AQ43*(1+VLOOKUP($B$71,Int_Rate_Param,3,FALSE))),IF(EIOPA_RFR!AQ43&lt;0%,EIOPA_RFR!AQ43,EIOPA_RFR!AQ43*(1+VLOOKUP($B82,Int_Rate_Param,3,FALSE))))</f>
        <v>2.15769E-2</v>
      </c>
      <c r="AR82" s="94">
        <f>IF($B82&gt;20,IF(EIOPA_RFR!AR43&lt;0%,EIOPA_RFR!AR43,EIOPA_RFR!AR43*(1+VLOOKUP($B$71,Int_Rate_Param,3,FALSE))),IF(EIOPA_RFR!AR43&lt;0%,EIOPA_RFR!AR43,EIOPA_RFR!AR43*(1+VLOOKUP($B82,Int_Rate_Param,3,FALSE))))</f>
        <v>4.5077900000000004E-2</v>
      </c>
      <c r="AS82" s="94">
        <f>IF($B82&gt;20,IF(EIOPA_RFR!AS43&lt;0%,EIOPA_RFR!AS43,EIOPA_RFR!AS43*(1+VLOOKUP($B$71,Int_Rate_Param,3,FALSE))),IF(EIOPA_RFR!AS43&lt;0%,EIOPA_RFR!AS43,EIOPA_RFR!AS43*(1+VLOOKUP($B82,Int_Rate_Param,3,FALSE))))</f>
        <v>5.5450999999999999E-3</v>
      </c>
      <c r="AT82" s="94">
        <f>IF($B82&gt;20,IF(EIOPA_RFR!AT43&lt;0%,EIOPA_RFR!AT43,EIOPA_RFR!AT43*(1+VLOOKUP($B$71,Int_Rate_Param,3,FALSE))),IF(EIOPA_RFR!AT43&lt;0%,EIOPA_RFR!AT43,EIOPA_RFR!AT43*(1+VLOOKUP($B82,Int_Rate_Param,3,FALSE))))</f>
        <v>3.0941799999999998E-2</v>
      </c>
      <c r="AU82" s="94">
        <f>IF($B82&gt;20,IF(EIOPA_RFR!AU43&lt;0%,EIOPA_RFR!AU43,EIOPA_RFR!AU43*(1+VLOOKUP($B$71,Int_Rate_Param,3,FALSE))),IF(EIOPA_RFR!AU43&lt;0%,EIOPA_RFR!AU43,EIOPA_RFR!AU43*(1+VLOOKUP($B82,Int_Rate_Param,3,FALSE))))</f>
        <v>5.3342300000000002E-2</v>
      </c>
      <c r="AV82" s="94">
        <f>IF($B82&gt;20,IF(EIOPA_RFR!AV43&lt;0%,EIOPA_RFR!AV43,EIOPA_RFR!AV43*(1+VLOOKUP($B$71,Int_Rate_Param,3,FALSE))),IF(EIOPA_RFR!AV43&lt;0%,EIOPA_RFR!AV43,EIOPA_RFR!AV43*(1+VLOOKUP($B82,Int_Rate_Param,3,FALSE))))</f>
        <v>2.9507599999999998E-2</v>
      </c>
      <c r="AW82" s="94">
        <f>IF($B82&gt;20,IF(EIOPA_RFR!AW43&lt;0%,EIOPA_RFR!AW43,EIOPA_RFR!AW43*(1+VLOOKUP($B$71,Int_Rate_Param,3,FALSE))),IF(EIOPA_RFR!AW43&lt;0%,EIOPA_RFR!AW43,EIOPA_RFR!AW43*(1+VLOOKUP($B82,Int_Rate_Param,3,FALSE))))</f>
        <v>2.1413599999999998E-2</v>
      </c>
      <c r="AX82" s="94">
        <f>IF($B82&gt;20,IF(EIOPA_RFR!AX43&lt;0%,EIOPA_RFR!AX43,EIOPA_RFR!AX43*(1+VLOOKUP($B$71,Int_Rate_Param,3,FALSE))),IF(EIOPA_RFR!AX43&lt;0%,EIOPA_RFR!AX43,EIOPA_RFR!AX43*(1+VLOOKUP($B82,Int_Rate_Param,3,FALSE))))</f>
        <v>5.32358E-2</v>
      </c>
      <c r="AY82" s="94">
        <f>IF($B82&gt;20,IF(EIOPA_RFR!AY43&lt;0%,EIOPA_RFR!AY43,EIOPA_RFR!AY43*(1+VLOOKUP($B$71,Int_Rate_Param,3,FALSE))),IF(EIOPA_RFR!AY43&lt;0%,EIOPA_RFR!AY43,EIOPA_RFR!AY43*(1+VLOOKUP($B82,Int_Rate_Param,3,FALSE))))</f>
        <v>1.6500399999999998E-2</v>
      </c>
      <c r="AZ82" s="94">
        <f>IF($B82&gt;20,IF(EIOPA_RFR!AZ43&lt;0%,EIOPA_RFR!AZ43,EIOPA_RFR!AZ43*(1+VLOOKUP($B$71,Int_Rate_Param,3,FALSE))),IF(EIOPA_RFR!AZ43&lt;0%,EIOPA_RFR!AZ43,EIOPA_RFR!AZ43*(1+VLOOKUP($B82,Int_Rate_Param,3,FALSE))))</f>
        <v>1.8310899999999998E-2</v>
      </c>
      <c r="BA82" s="94">
        <f>IF($B82&gt;20,IF(EIOPA_RFR!BA43&lt;0%,EIOPA_RFR!BA43,EIOPA_RFR!BA43*(1+VLOOKUP($B$71,Int_Rate_Param,3,FALSE))),IF(EIOPA_RFR!BA43&lt;0%,EIOPA_RFR!BA43,EIOPA_RFR!BA43*(1+VLOOKUP($B82,Int_Rate_Param,3,FALSE))))</f>
        <v>2.36075E-2</v>
      </c>
      <c r="BB82" s="94">
        <f>IF($B82&gt;20,IF(EIOPA_RFR!BB43&lt;0%,EIOPA_RFR!BB43,EIOPA_RFR!BB43*(1+VLOOKUP($B$71,Int_Rate_Param,3,FALSE))),IF(EIOPA_RFR!BB43&lt;0%,EIOPA_RFR!BB43,EIOPA_RFR!BB43*(1+VLOOKUP($B82,Int_Rate_Param,3,FALSE))))</f>
        <v>5.6544400000000002E-2</v>
      </c>
      <c r="BC82" s="94">
        <f>IF($B82&gt;20,IF(EIOPA_RFR!BC43&lt;0%,EIOPA_RFR!BC43,EIOPA_RFR!BC43*(1+VLOOKUP($B$71,Int_Rate_Param,3,FALSE))),IF(EIOPA_RFR!BC43&lt;0%,EIOPA_RFR!BC43,EIOPA_RFR!BC43*(1+VLOOKUP($B82,Int_Rate_Param,3,FALSE))))</f>
        <v>1.8041099999999997E-2</v>
      </c>
    </row>
    <row r="83" spans="1:55" x14ac:dyDescent="0.25">
      <c r="A83">
        <f t="shared" si="1"/>
        <v>34</v>
      </c>
      <c r="B83" s="95">
        <v>32</v>
      </c>
      <c r="C83" s="94">
        <f>IF($B83&gt;20,IF(EIOPA_RFR!C44&lt;0%,EIOPA_RFR!C44,EIOPA_RFR!C44*(1+VLOOKUP($B$71,Int_Rate_Param,3,FALSE))),IF(EIOPA_RFR!C44&lt;0%,EIOPA_RFR!C44,EIOPA_RFR!C44*(1+VLOOKUP($B83,Int_Rate_Param,3,FALSE))))</f>
        <v>1.4100599999999998E-2</v>
      </c>
      <c r="D83" s="94">
        <f>IF($B83&gt;20,IF(EIOPA_RFR!D44&lt;0%,EIOPA_RFR!D44,EIOPA_RFR!D44*(1+VLOOKUP($B$71,Int_Rate_Param,3,FALSE))),IF(EIOPA_RFR!D44&lt;0%,EIOPA_RFR!D44,EIOPA_RFR!D44*(1+VLOOKUP($B83,Int_Rate_Param,3,FALSE))))</f>
        <v>1.4100599999999998E-2</v>
      </c>
      <c r="E83" s="94">
        <f>IF($B83&gt;20,IF(EIOPA_RFR!E44&lt;0%,EIOPA_RFR!E44,EIOPA_RFR!E44*(1+VLOOKUP($B$71,Int_Rate_Param,3,FALSE))),IF(EIOPA_RFR!E44&lt;0%,EIOPA_RFR!E44,EIOPA_RFR!E44*(1+VLOOKUP($B83,Int_Rate_Param,3,FALSE))))</f>
        <v>1.4100599999999998E-2</v>
      </c>
      <c r="F83" s="94">
        <f>IF($B83&gt;20,IF(EIOPA_RFR!F44&lt;0%,EIOPA_RFR!F44,EIOPA_RFR!F44*(1+VLOOKUP($B$71,Int_Rate_Param,3,FALSE))),IF(EIOPA_RFR!F44&lt;0%,EIOPA_RFR!F44,EIOPA_RFR!F44*(1+VLOOKUP($B83,Int_Rate_Param,3,FALSE))))</f>
        <v>1.38237E-2</v>
      </c>
      <c r="G83" s="94">
        <f>IF($B83&gt;20,IF(EIOPA_RFR!G44&lt;0%,EIOPA_RFR!G44,EIOPA_RFR!G44*(1+VLOOKUP($B$71,Int_Rate_Param,3,FALSE))),IF(EIOPA_RFR!G44&lt;0%,EIOPA_RFR!G44,EIOPA_RFR!G44*(1+VLOOKUP($B83,Int_Rate_Param,3,FALSE))))</f>
        <v>2.5673599999999998E-2</v>
      </c>
      <c r="H83" s="94">
        <f>IF($B83&gt;20,IF(EIOPA_RFR!H44&lt;0%,EIOPA_RFR!H44,EIOPA_RFR!H44*(1+VLOOKUP($B$71,Int_Rate_Param,3,FALSE))),IF(EIOPA_RFR!H44&lt;0%,EIOPA_RFR!H44,EIOPA_RFR!H44*(1+VLOOKUP($B83,Int_Rate_Param,3,FALSE))))</f>
        <v>1.4100599999999998E-2</v>
      </c>
      <c r="I83" s="94">
        <f>IF($B83&gt;20,IF(EIOPA_RFR!I44&lt;0%,EIOPA_RFR!I44,EIOPA_RFR!I44*(1+VLOOKUP($B$71,Int_Rate_Param,3,FALSE))),IF(EIOPA_RFR!I44&lt;0%,EIOPA_RFR!I44,EIOPA_RFR!I44*(1+VLOOKUP($B83,Int_Rate_Param,3,FALSE))))</f>
        <v>1.7061299999999998E-2</v>
      </c>
      <c r="J83" s="94">
        <f>IF($B83&gt;20,IF(EIOPA_RFR!J44&lt;0%,EIOPA_RFR!J44,EIOPA_RFR!J44*(1+VLOOKUP($B$71,Int_Rate_Param,3,FALSE))),IF(EIOPA_RFR!J44&lt;0%,EIOPA_RFR!J44,EIOPA_RFR!J44*(1+VLOOKUP($B83,Int_Rate_Param,3,FALSE))))</f>
        <v>1.4043799999999999E-2</v>
      </c>
      <c r="K83" s="94">
        <f>IF($B83&gt;20,IF(EIOPA_RFR!K44&lt;0%,EIOPA_RFR!K44,EIOPA_RFR!K44*(1+VLOOKUP($B$71,Int_Rate_Param,3,FALSE))),IF(EIOPA_RFR!K44&lt;0%,EIOPA_RFR!K44,EIOPA_RFR!K44*(1+VLOOKUP($B83,Int_Rate_Param,3,FALSE))))</f>
        <v>1.4100599999999998E-2</v>
      </c>
      <c r="L83" s="94">
        <f>IF($B83&gt;20,IF(EIOPA_RFR!L44&lt;0%,EIOPA_RFR!L44,EIOPA_RFR!L44*(1+VLOOKUP($B$71,Int_Rate_Param,3,FALSE))),IF(EIOPA_RFR!L44&lt;0%,EIOPA_RFR!L44,EIOPA_RFR!L44*(1+VLOOKUP($B83,Int_Rate_Param,3,FALSE))))</f>
        <v>1.4100599999999998E-2</v>
      </c>
      <c r="M83" s="94">
        <f>IF($B83&gt;20,IF(EIOPA_RFR!M44&lt;0%,EIOPA_RFR!M44,EIOPA_RFR!M44*(1+VLOOKUP($B$71,Int_Rate_Param,3,FALSE))),IF(EIOPA_RFR!M44&lt;0%,EIOPA_RFR!M44,EIOPA_RFR!M44*(1+VLOOKUP($B83,Int_Rate_Param,3,FALSE))))</f>
        <v>1.4100599999999998E-2</v>
      </c>
      <c r="N83" s="94">
        <f>IF($B83&gt;20,IF(EIOPA_RFR!N44&lt;0%,EIOPA_RFR!N44,EIOPA_RFR!N44*(1+VLOOKUP($B$71,Int_Rate_Param,3,FALSE))),IF(EIOPA_RFR!N44&lt;0%,EIOPA_RFR!N44,EIOPA_RFR!N44*(1+VLOOKUP($B83,Int_Rate_Param,3,FALSE))))</f>
        <v>1.4100599999999998E-2</v>
      </c>
      <c r="O83" s="94">
        <f>IF($B83&gt;20,IF(EIOPA_RFR!O44&lt;0%,EIOPA_RFR!O44,EIOPA_RFR!O44*(1+VLOOKUP($B$71,Int_Rate_Param,3,FALSE))),IF(EIOPA_RFR!O44&lt;0%,EIOPA_RFR!O44,EIOPA_RFR!O44*(1+VLOOKUP($B83,Int_Rate_Param,3,FALSE))))</f>
        <v>1.4100599999999998E-2</v>
      </c>
      <c r="P83" s="94">
        <f>IF($B83&gt;20,IF(EIOPA_RFR!P44&lt;0%,EIOPA_RFR!P44,EIOPA_RFR!P44*(1+VLOOKUP($B$71,Int_Rate_Param,3,FALSE))),IF(EIOPA_RFR!P44&lt;0%,EIOPA_RFR!P44,EIOPA_RFR!P44*(1+VLOOKUP($B83,Int_Rate_Param,3,FALSE))))</f>
        <v>3.08353E-2</v>
      </c>
      <c r="Q83" s="94">
        <f>IF($B83&gt;20,IF(EIOPA_RFR!Q44&lt;0%,EIOPA_RFR!Q44,EIOPA_RFR!Q44*(1+VLOOKUP($B$71,Int_Rate_Param,3,FALSE))),IF(EIOPA_RFR!Q44&lt;0%,EIOPA_RFR!Q44,EIOPA_RFR!Q44*(1+VLOOKUP($B83,Int_Rate_Param,3,FALSE))))</f>
        <v>3.2162999999999997E-2</v>
      </c>
      <c r="R83" s="94">
        <f>IF($B83&gt;20,IF(EIOPA_RFR!R44&lt;0%,EIOPA_RFR!R44,EIOPA_RFR!R44*(1+VLOOKUP($B$71,Int_Rate_Param,3,FALSE))),IF(EIOPA_RFR!R44&lt;0%,EIOPA_RFR!R44,EIOPA_RFR!R44*(1+VLOOKUP($B83,Int_Rate_Param,3,FALSE))))</f>
        <v>1.4100599999999998E-2</v>
      </c>
      <c r="S83" s="94">
        <f>IF($B83&gt;20,IF(EIOPA_RFR!S44&lt;0%,EIOPA_RFR!S44,EIOPA_RFR!S44*(1+VLOOKUP($B$71,Int_Rate_Param,3,FALSE))),IF(EIOPA_RFR!S44&lt;0%,EIOPA_RFR!S44,EIOPA_RFR!S44*(1+VLOOKUP($B83,Int_Rate_Param,3,FALSE))))</f>
        <v>1.4100599999999998E-2</v>
      </c>
      <c r="T83" s="94">
        <f>IF($B83&gt;20,IF(EIOPA_RFR!T44&lt;0%,EIOPA_RFR!T44,EIOPA_RFR!T44*(1+VLOOKUP($B$71,Int_Rate_Param,3,FALSE))),IF(EIOPA_RFR!T44&lt;0%,EIOPA_RFR!T44,EIOPA_RFR!T44*(1+VLOOKUP($B83,Int_Rate_Param,3,FALSE))))</f>
        <v>1.4100599999999998E-2</v>
      </c>
      <c r="U83" s="94">
        <f>IF($B83&gt;20,IF(EIOPA_RFR!U44&lt;0%,EIOPA_RFR!U44,EIOPA_RFR!U44*(1+VLOOKUP($B$71,Int_Rate_Param,3,FALSE))),IF(EIOPA_RFR!U44&lt;0%,EIOPA_RFR!U44,EIOPA_RFR!U44*(1+VLOOKUP($B83,Int_Rate_Param,3,FALSE))))</f>
        <v>5.6941999999999991E-3</v>
      </c>
      <c r="V83" s="94">
        <f>IF($B83&gt;20,IF(EIOPA_RFR!V44&lt;0%,EIOPA_RFR!V44,EIOPA_RFR!V44*(1+VLOOKUP($B$71,Int_Rate_Param,3,FALSE))),IF(EIOPA_RFR!V44&lt;0%,EIOPA_RFR!V44,EIOPA_RFR!V44*(1+VLOOKUP($B83,Int_Rate_Param,3,FALSE))))</f>
        <v>1.4100599999999998E-2</v>
      </c>
      <c r="W83" s="94">
        <f>IF($B83&gt;20,IF(EIOPA_RFR!W44&lt;0%,EIOPA_RFR!W44,EIOPA_RFR!W44*(1+VLOOKUP($B$71,Int_Rate_Param,3,FALSE))),IF(EIOPA_RFR!W44&lt;0%,EIOPA_RFR!W44,EIOPA_RFR!W44*(1+VLOOKUP($B83,Int_Rate_Param,3,FALSE))))</f>
        <v>1.4100599999999998E-2</v>
      </c>
      <c r="X83" s="94">
        <f>IF($B83&gt;20,IF(EIOPA_RFR!X44&lt;0%,EIOPA_RFR!X44,EIOPA_RFR!X44*(1+VLOOKUP($B$71,Int_Rate_Param,3,FALSE))),IF(EIOPA_RFR!X44&lt;0%,EIOPA_RFR!X44,EIOPA_RFR!X44*(1+VLOOKUP($B83,Int_Rate_Param,3,FALSE))))</f>
        <v>1.4100599999999998E-2</v>
      </c>
      <c r="Y83" s="94">
        <f>IF($B83&gt;20,IF(EIOPA_RFR!Y44&lt;0%,EIOPA_RFR!Y44,EIOPA_RFR!Y44*(1+VLOOKUP($B$71,Int_Rate_Param,3,FALSE))),IF(EIOPA_RFR!Y44&lt;0%,EIOPA_RFR!Y44,EIOPA_RFR!Y44*(1+VLOOKUP($B83,Int_Rate_Param,3,FALSE))))</f>
        <v>1.4100599999999998E-2</v>
      </c>
      <c r="Z83" s="94">
        <f>IF($B83&gt;20,IF(EIOPA_RFR!Z44&lt;0%,EIOPA_RFR!Z44,EIOPA_RFR!Z44*(1+VLOOKUP($B$71,Int_Rate_Param,3,FALSE))),IF(EIOPA_RFR!Z44&lt;0%,EIOPA_RFR!Z44,EIOPA_RFR!Z44*(1+VLOOKUP($B83,Int_Rate_Param,3,FALSE))))</f>
        <v>2.13923E-2</v>
      </c>
      <c r="AA83" s="94">
        <f>IF($B83&gt;20,IF(EIOPA_RFR!AA44&lt;0%,EIOPA_RFR!AA44,EIOPA_RFR!AA44*(1+VLOOKUP($B$71,Int_Rate_Param,3,FALSE))),IF(EIOPA_RFR!AA44&lt;0%,EIOPA_RFR!AA44,EIOPA_RFR!AA44*(1+VLOOKUP($B83,Int_Rate_Param,3,FALSE))))</f>
        <v>2.8648499999999997E-2</v>
      </c>
      <c r="AB83" s="94">
        <f>IF($B83&gt;20,IF(EIOPA_RFR!AB44&lt;0%,EIOPA_RFR!AB44,EIOPA_RFR!AB44*(1+VLOOKUP($B$71,Int_Rate_Param,3,FALSE))),IF(EIOPA_RFR!AB44&lt;0%,EIOPA_RFR!AB44,EIOPA_RFR!AB44*(1+VLOOKUP($B83,Int_Rate_Param,3,FALSE))))</f>
        <v>1.4100599999999998E-2</v>
      </c>
      <c r="AC83" s="94">
        <f>IF($B83&gt;20,IF(EIOPA_RFR!AC44&lt;0%,EIOPA_RFR!AC44,EIOPA_RFR!AC44*(1+VLOOKUP($B$71,Int_Rate_Param,3,FALSE))),IF(EIOPA_RFR!AC44&lt;0%,EIOPA_RFR!AC44,EIOPA_RFR!AC44*(1+VLOOKUP($B83,Int_Rate_Param,3,FALSE))))</f>
        <v>3.1176099999999998E-2</v>
      </c>
      <c r="AD83" s="94">
        <f>IF($B83&gt;20,IF(EIOPA_RFR!AD44&lt;0%,EIOPA_RFR!AD44,EIOPA_RFR!AD44*(1+VLOOKUP($B$71,Int_Rate_Param,3,FALSE))),IF(EIOPA_RFR!AD44&lt;0%,EIOPA_RFR!AD44,EIOPA_RFR!AD44*(1+VLOOKUP($B83,Int_Rate_Param,3,FALSE))))</f>
        <v>4.2528999999999997E-2</v>
      </c>
      <c r="AE83" s="94">
        <f>IF($B83&gt;20,IF(EIOPA_RFR!AE44&lt;0%,EIOPA_RFR!AE44,EIOPA_RFR!AE44*(1+VLOOKUP($B$71,Int_Rate_Param,3,FALSE))),IF(EIOPA_RFR!AE44&lt;0%,EIOPA_RFR!AE44,EIOPA_RFR!AE44*(1+VLOOKUP($B83,Int_Rate_Param,3,FALSE))))</f>
        <v>1.4100599999999998E-2</v>
      </c>
      <c r="AF83" s="94">
        <f>IF($B83&gt;20,IF(EIOPA_RFR!AF44&lt;0%,EIOPA_RFR!AF44,EIOPA_RFR!AF44*(1+VLOOKUP($B$71,Int_Rate_Param,3,FALSE))),IF(EIOPA_RFR!AF44&lt;0%,EIOPA_RFR!AF44,EIOPA_RFR!AF44*(1+VLOOKUP($B83,Int_Rate_Param,3,FALSE))))</f>
        <v>1.4100599999999998E-2</v>
      </c>
      <c r="AG83" s="94">
        <f>IF($B83&gt;20,IF(EIOPA_RFR!AG44&lt;0%,EIOPA_RFR!AG44,EIOPA_RFR!AG44*(1+VLOOKUP($B$71,Int_Rate_Param,3,FALSE))),IF(EIOPA_RFR!AG44&lt;0%,EIOPA_RFR!AG44,EIOPA_RFR!AG44*(1+VLOOKUP($B83,Int_Rate_Param,3,FALSE))))</f>
        <v>1.4100599999999998E-2</v>
      </c>
      <c r="AH83" s="94">
        <f>IF($B83&gt;20,IF(EIOPA_RFR!AH44&lt;0%,EIOPA_RFR!AH44,EIOPA_RFR!AH44*(1+VLOOKUP($B$71,Int_Rate_Param,3,FALSE))),IF(EIOPA_RFR!AH44&lt;0%,EIOPA_RFR!AH44,EIOPA_RFR!AH44*(1+VLOOKUP($B83,Int_Rate_Param,3,FALSE))))</f>
        <v>2.19461E-2</v>
      </c>
      <c r="AI83" s="94">
        <f>IF($B83&gt;20,IF(EIOPA_RFR!AI44&lt;0%,EIOPA_RFR!AI44,EIOPA_RFR!AI44*(1+VLOOKUP($B$71,Int_Rate_Param,3,FALSE))),IF(EIOPA_RFR!AI44&lt;0%,EIOPA_RFR!AI44,EIOPA_RFR!AI44*(1+VLOOKUP($B83,Int_Rate_Param,3,FALSE))))</f>
        <v>5.6941999999999991E-3</v>
      </c>
      <c r="AJ83" s="94">
        <f>IF($B83&gt;20,IF(EIOPA_RFR!AJ44&lt;0%,EIOPA_RFR!AJ44,EIOPA_RFR!AJ44*(1+VLOOKUP($B$71,Int_Rate_Param,3,FALSE))),IF(EIOPA_RFR!AJ44&lt;0%,EIOPA_RFR!AJ44,EIOPA_RFR!AJ44*(1+VLOOKUP($B83,Int_Rate_Param,3,FALSE))))</f>
        <v>8.8536999999999991E-3</v>
      </c>
      <c r="AK83" s="94">
        <f>IF($B83&gt;20,IF(EIOPA_RFR!AK44&lt;0%,EIOPA_RFR!AK44,EIOPA_RFR!AK44*(1+VLOOKUP($B$71,Int_Rate_Param,3,FALSE))),IF(EIOPA_RFR!AK44&lt;0%,EIOPA_RFR!AK44,EIOPA_RFR!AK44*(1+VLOOKUP($B83,Int_Rate_Param,3,FALSE))))</f>
        <v>2.3635899999999998E-2</v>
      </c>
      <c r="AL83" s="94">
        <f>IF($B83&gt;20,IF(EIOPA_RFR!AL44&lt;0%,EIOPA_RFR!AL44,EIOPA_RFR!AL44*(1+VLOOKUP($B$71,Int_Rate_Param,3,FALSE))),IF(EIOPA_RFR!AL44&lt;0%,EIOPA_RFR!AL44,EIOPA_RFR!AL44*(1+VLOOKUP($B83,Int_Rate_Param,3,FALSE))))</f>
        <v>5.4080699999999995E-2</v>
      </c>
      <c r="AM83" s="94">
        <f>IF($B83&gt;20,IF(EIOPA_RFR!AM44&lt;0%,EIOPA_RFR!AM44,EIOPA_RFR!AM44*(1+VLOOKUP($B$71,Int_Rate_Param,3,FALSE))),IF(EIOPA_RFR!AM44&lt;0%,EIOPA_RFR!AM44,EIOPA_RFR!AM44*(1+VLOOKUP($B83,Int_Rate_Param,3,FALSE))))</f>
        <v>1.6102799999999997E-2</v>
      </c>
      <c r="AN83" s="94">
        <f>IF($B83&gt;20,IF(EIOPA_RFR!AN44&lt;0%,EIOPA_RFR!AN44,EIOPA_RFR!AN44*(1+VLOOKUP($B$71,Int_Rate_Param,3,FALSE))),IF(EIOPA_RFR!AN44&lt;0%,EIOPA_RFR!AN44,EIOPA_RFR!AN44*(1+VLOOKUP($B83,Int_Rate_Param,3,FALSE))))</f>
        <v>3.0217599999999997E-2</v>
      </c>
      <c r="AO83" s="94">
        <f>IF($B83&gt;20,IF(EIOPA_RFR!AO44&lt;0%,EIOPA_RFR!AO44,EIOPA_RFR!AO44*(1+VLOOKUP($B$71,Int_Rate_Param,3,FALSE))),IF(EIOPA_RFR!AO44&lt;0%,EIOPA_RFR!AO44,EIOPA_RFR!AO44*(1+VLOOKUP($B83,Int_Rate_Param,3,FALSE))))</f>
        <v>3.1303899999999996E-2</v>
      </c>
      <c r="AP83" s="94">
        <f>IF($B83&gt;20,IF(EIOPA_RFR!AP44&lt;0%,EIOPA_RFR!AP44,EIOPA_RFR!AP44*(1+VLOOKUP($B$71,Int_Rate_Param,3,FALSE))),IF(EIOPA_RFR!AP44&lt;0%,EIOPA_RFR!AP44,EIOPA_RFR!AP44*(1+VLOOKUP($B83,Int_Rate_Param,3,FALSE))))</f>
        <v>3.9511499999999998E-2</v>
      </c>
      <c r="AQ83" s="94">
        <f>IF($B83&gt;20,IF(EIOPA_RFR!AQ44&lt;0%,EIOPA_RFR!AQ44,EIOPA_RFR!AQ44*(1+VLOOKUP($B$71,Int_Rate_Param,3,FALSE))),IF(EIOPA_RFR!AQ44&lt;0%,EIOPA_RFR!AQ44,EIOPA_RFR!AQ44*(1+VLOOKUP($B83,Int_Rate_Param,3,FALSE))))</f>
        <v>2.1789899999999997E-2</v>
      </c>
      <c r="AR83" s="94">
        <f>IF($B83&gt;20,IF(EIOPA_RFR!AR44&lt;0%,EIOPA_RFR!AR44,EIOPA_RFR!AR44*(1+VLOOKUP($B$71,Int_Rate_Param,3,FALSE))),IF(EIOPA_RFR!AR44&lt;0%,EIOPA_RFR!AR44,EIOPA_RFR!AR44*(1+VLOOKUP($B83,Int_Rate_Param,3,FALSE))))</f>
        <v>4.4879099999999998E-2</v>
      </c>
      <c r="AS83" s="94">
        <f>IF($B83&gt;20,IF(EIOPA_RFR!AS44&lt;0%,EIOPA_RFR!AS44,EIOPA_RFR!AS44*(1+VLOOKUP($B$71,Int_Rate_Param,3,FALSE))),IF(EIOPA_RFR!AS44&lt;0%,EIOPA_RFR!AS44,EIOPA_RFR!AS44*(1+VLOOKUP($B83,Int_Rate_Param,3,FALSE))))</f>
        <v>5.7580999999999995E-3</v>
      </c>
      <c r="AT83" s="94">
        <f>IF($B83&gt;20,IF(EIOPA_RFR!AT44&lt;0%,EIOPA_RFR!AT44,EIOPA_RFR!AT44*(1+VLOOKUP($B$71,Int_Rate_Param,3,FALSE))),IF(EIOPA_RFR!AT44&lt;0%,EIOPA_RFR!AT44,EIOPA_RFR!AT44*(1+VLOOKUP($B83,Int_Rate_Param,3,FALSE))))</f>
        <v>3.09276E-2</v>
      </c>
      <c r="AU83" s="94">
        <f>IF($B83&gt;20,IF(EIOPA_RFR!AU44&lt;0%,EIOPA_RFR!AU44,EIOPA_RFR!AU44*(1+VLOOKUP($B$71,Int_Rate_Param,3,FALSE))),IF(EIOPA_RFR!AU44&lt;0%,EIOPA_RFR!AU44,EIOPA_RFR!AU44*(1+VLOOKUP($B83,Int_Rate_Param,3,FALSE))))</f>
        <v>5.2965999999999999E-2</v>
      </c>
      <c r="AV83" s="94">
        <f>IF($B83&gt;20,IF(EIOPA_RFR!AV44&lt;0%,EIOPA_RFR!AV44,EIOPA_RFR!AV44*(1+VLOOKUP($B$71,Int_Rate_Param,3,FALSE))),IF(EIOPA_RFR!AV44&lt;0%,EIOPA_RFR!AV44,EIOPA_RFR!AV44*(1+VLOOKUP($B83,Int_Rate_Param,3,FALSE))))</f>
        <v>2.9557299999999998E-2</v>
      </c>
      <c r="AW83" s="94">
        <f>IF($B83&gt;20,IF(EIOPA_RFR!AW44&lt;0%,EIOPA_RFR!AW44,EIOPA_RFR!AW44*(1+VLOOKUP($B$71,Int_Rate_Param,3,FALSE))),IF(EIOPA_RFR!AW44&lt;0%,EIOPA_RFR!AW44,EIOPA_RFR!AW44*(1+VLOOKUP($B83,Int_Rate_Param,3,FALSE))))</f>
        <v>2.1612399999999997E-2</v>
      </c>
      <c r="AX83" s="94">
        <f>IF($B83&gt;20,IF(EIOPA_RFR!AX44&lt;0%,EIOPA_RFR!AX44,EIOPA_RFR!AX44*(1+VLOOKUP($B$71,Int_Rate_Param,3,FALSE))),IF(EIOPA_RFR!AX44&lt;0%,EIOPA_RFR!AX44,EIOPA_RFR!AX44*(1+VLOOKUP($B83,Int_Rate_Param,3,FALSE))))</f>
        <v>5.2816899999999993E-2</v>
      </c>
      <c r="AY83" s="94">
        <f>IF($B83&gt;20,IF(EIOPA_RFR!AY44&lt;0%,EIOPA_RFR!AY44,EIOPA_RFR!AY44*(1+VLOOKUP($B$71,Int_Rate_Param,3,FALSE))),IF(EIOPA_RFR!AY44&lt;0%,EIOPA_RFR!AY44,EIOPA_RFR!AY44*(1+VLOOKUP($B83,Int_Rate_Param,3,FALSE))))</f>
        <v>1.6826999999999998E-2</v>
      </c>
      <c r="AZ83" s="94">
        <f>IF($B83&gt;20,IF(EIOPA_RFR!AZ44&lt;0%,EIOPA_RFR!AZ44,EIOPA_RFR!AZ44*(1+VLOOKUP($B$71,Int_Rate_Param,3,FALSE))),IF(EIOPA_RFR!AZ44&lt;0%,EIOPA_RFR!AZ44,EIOPA_RFR!AZ44*(1+VLOOKUP($B83,Int_Rate_Param,3,FALSE))))</f>
        <v>1.8623299999999999E-2</v>
      </c>
      <c r="BA83" s="94">
        <f>IF($B83&gt;20,IF(EIOPA_RFR!BA44&lt;0%,EIOPA_RFR!BA44,EIOPA_RFR!BA44*(1+VLOOKUP($B$71,Int_Rate_Param,3,FALSE))),IF(EIOPA_RFR!BA44&lt;0%,EIOPA_RFR!BA44,EIOPA_RFR!BA44*(1+VLOOKUP($B83,Int_Rate_Param,3,FALSE))))</f>
        <v>2.3770800000000002E-2</v>
      </c>
      <c r="BB83" s="94">
        <f>IF($B83&gt;20,IF(EIOPA_RFR!BB44&lt;0%,EIOPA_RFR!BB44,EIOPA_RFR!BB44*(1+VLOOKUP($B$71,Int_Rate_Param,3,FALSE))),IF(EIOPA_RFR!BB44&lt;0%,EIOPA_RFR!BB44,EIOPA_RFR!BB44*(1+VLOOKUP($B83,Int_Rate_Param,3,FALSE))))</f>
        <v>5.60048E-2</v>
      </c>
      <c r="BC83" s="94">
        <f>IF($B83&gt;20,IF(EIOPA_RFR!BC44&lt;0%,EIOPA_RFR!BC44,EIOPA_RFR!BC44*(1+VLOOKUP($B$71,Int_Rate_Param,3,FALSE))),IF(EIOPA_RFR!BC44&lt;0%,EIOPA_RFR!BC44,EIOPA_RFR!BC44*(1+VLOOKUP($B83,Int_Rate_Param,3,FALSE))))</f>
        <v>1.8041099999999997E-2</v>
      </c>
    </row>
    <row r="84" spans="1:55" x14ac:dyDescent="0.25">
      <c r="A84">
        <f t="shared" si="1"/>
        <v>35</v>
      </c>
      <c r="B84" s="95">
        <v>33</v>
      </c>
      <c r="C84" s="94">
        <f>IF($B84&gt;20,IF(EIOPA_RFR!C45&lt;0%,EIOPA_RFR!C45,EIOPA_RFR!C45*(1+VLOOKUP($B$71,Int_Rate_Param,3,FALSE))),IF(EIOPA_RFR!C45&lt;0%,EIOPA_RFR!C45,EIOPA_RFR!C45*(1+VLOOKUP($B84,Int_Rate_Param,3,FALSE))))</f>
        <v>1.4498199999999999E-2</v>
      </c>
      <c r="D84" s="94">
        <f>IF($B84&gt;20,IF(EIOPA_RFR!D45&lt;0%,EIOPA_RFR!D45,EIOPA_RFR!D45*(1+VLOOKUP($B$71,Int_Rate_Param,3,FALSE))),IF(EIOPA_RFR!D45&lt;0%,EIOPA_RFR!D45,EIOPA_RFR!D45*(1+VLOOKUP($B84,Int_Rate_Param,3,FALSE))))</f>
        <v>1.4498199999999999E-2</v>
      </c>
      <c r="E84" s="94">
        <f>IF($B84&gt;20,IF(EIOPA_RFR!E45&lt;0%,EIOPA_RFR!E45,EIOPA_RFR!E45*(1+VLOOKUP($B$71,Int_Rate_Param,3,FALSE))),IF(EIOPA_RFR!E45&lt;0%,EIOPA_RFR!E45,EIOPA_RFR!E45*(1+VLOOKUP($B84,Int_Rate_Param,3,FALSE))))</f>
        <v>1.4498199999999999E-2</v>
      </c>
      <c r="F84" s="94">
        <f>IF($B84&gt;20,IF(EIOPA_RFR!F45&lt;0%,EIOPA_RFR!F45,EIOPA_RFR!F45*(1+VLOOKUP($B$71,Int_Rate_Param,3,FALSE))),IF(EIOPA_RFR!F45&lt;0%,EIOPA_RFR!F45,EIOPA_RFR!F45*(1+VLOOKUP($B84,Int_Rate_Param,3,FALSE))))</f>
        <v>1.4221299999999999E-2</v>
      </c>
      <c r="G84" s="94">
        <f>IF($B84&gt;20,IF(EIOPA_RFR!G45&lt;0%,EIOPA_RFR!G45,EIOPA_RFR!G45*(1+VLOOKUP($B$71,Int_Rate_Param,3,FALSE))),IF(EIOPA_RFR!G45&lt;0%,EIOPA_RFR!G45,EIOPA_RFR!G45*(1+VLOOKUP($B84,Int_Rate_Param,3,FALSE))))</f>
        <v>2.57801E-2</v>
      </c>
      <c r="H84" s="94">
        <f>IF($B84&gt;20,IF(EIOPA_RFR!H45&lt;0%,EIOPA_RFR!H45,EIOPA_RFR!H45*(1+VLOOKUP($B$71,Int_Rate_Param,3,FALSE))),IF(EIOPA_RFR!H45&lt;0%,EIOPA_RFR!H45,EIOPA_RFR!H45*(1+VLOOKUP($B84,Int_Rate_Param,3,FALSE))))</f>
        <v>1.4498199999999999E-2</v>
      </c>
      <c r="I84" s="94">
        <f>IF($B84&gt;20,IF(EIOPA_RFR!I45&lt;0%,EIOPA_RFR!I45,EIOPA_RFR!I45*(1+VLOOKUP($B$71,Int_Rate_Param,3,FALSE))),IF(EIOPA_RFR!I45&lt;0%,EIOPA_RFR!I45,EIOPA_RFR!I45*(1+VLOOKUP($B84,Int_Rate_Param,3,FALSE))))</f>
        <v>1.7395000000000001E-2</v>
      </c>
      <c r="J84" s="94">
        <f>IF($B84&gt;20,IF(EIOPA_RFR!J45&lt;0%,EIOPA_RFR!J45,EIOPA_RFR!J45*(1+VLOOKUP($B$71,Int_Rate_Param,3,FALSE))),IF(EIOPA_RFR!J45&lt;0%,EIOPA_RFR!J45,EIOPA_RFR!J45*(1+VLOOKUP($B84,Int_Rate_Param,3,FALSE))))</f>
        <v>1.44414E-2</v>
      </c>
      <c r="K84" s="94">
        <f>IF($B84&gt;20,IF(EIOPA_RFR!K45&lt;0%,EIOPA_RFR!K45,EIOPA_RFR!K45*(1+VLOOKUP($B$71,Int_Rate_Param,3,FALSE))),IF(EIOPA_RFR!K45&lt;0%,EIOPA_RFR!K45,EIOPA_RFR!K45*(1+VLOOKUP($B84,Int_Rate_Param,3,FALSE))))</f>
        <v>1.4498199999999999E-2</v>
      </c>
      <c r="L84" s="94">
        <f>IF($B84&gt;20,IF(EIOPA_RFR!L45&lt;0%,EIOPA_RFR!L45,EIOPA_RFR!L45*(1+VLOOKUP($B$71,Int_Rate_Param,3,FALSE))),IF(EIOPA_RFR!L45&lt;0%,EIOPA_RFR!L45,EIOPA_RFR!L45*(1+VLOOKUP($B84,Int_Rate_Param,3,FALSE))))</f>
        <v>1.4498199999999999E-2</v>
      </c>
      <c r="M84" s="94">
        <f>IF($B84&gt;20,IF(EIOPA_RFR!M45&lt;0%,EIOPA_RFR!M45,EIOPA_RFR!M45*(1+VLOOKUP($B$71,Int_Rate_Param,3,FALSE))),IF(EIOPA_RFR!M45&lt;0%,EIOPA_RFR!M45,EIOPA_RFR!M45*(1+VLOOKUP($B84,Int_Rate_Param,3,FALSE))))</f>
        <v>1.4498199999999999E-2</v>
      </c>
      <c r="N84" s="94">
        <f>IF($B84&gt;20,IF(EIOPA_RFR!N45&lt;0%,EIOPA_RFR!N45,EIOPA_RFR!N45*(1+VLOOKUP($B$71,Int_Rate_Param,3,FALSE))),IF(EIOPA_RFR!N45&lt;0%,EIOPA_RFR!N45,EIOPA_RFR!N45*(1+VLOOKUP($B84,Int_Rate_Param,3,FALSE))))</f>
        <v>1.4498199999999999E-2</v>
      </c>
      <c r="O84" s="94">
        <f>IF($B84&gt;20,IF(EIOPA_RFR!O45&lt;0%,EIOPA_RFR!O45,EIOPA_RFR!O45*(1+VLOOKUP($B$71,Int_Rate_Param,3,FALSE))),IF(EIOPA_RFR!O45&lt;0%,EIOPA_RFR!O45,EIOPA_RFR!O45*(1+VLOOKUP($B84,Int_Rate_Param,3,FALSE))))</f>
        <v>1.4498199999999999E-2</v>
      </c>
      <c r="P84" s="94">
        <f>IF($B84&gt;20,IF(EIOPA_RFR!P45&lt;0%,EIOPA_RFR!P45,EIOPA_RFR!P45*(1+VLOOKUP($B$71,Int_Rate_Param,3,FALSE))),IF(EIOPA_RFR!P45&lt;0%,EIOPA_RFR!P45,EIOPA_RFR!P45*(1+VLOOKUP($B84,Int_Rate_Param,3,FALSE))))</f>
        <v>3.0849500000000002E-2</v>
      </c>
      <c r="Q84" s="94">
        <f>IF($B84&gt;20,IF(EIOPA_RFR!Q45&lt;0%,EIOPA_RFR!Q45,EIOPA_RFR!Q45*(1+VLOOKUP($B$71,Int_Rate_Param,3,FALSE))),IF(EIOPA_RFR!Q45&lt;0%,EIOPA_RFR!Q45,EIOPA_RFR!Q45*(1+VLOOKUP($B84,Int_Rate_Param,3,FALSE))))</f>
        <v>3.2106200000000001E-2</v>
      </c>
      <c r="R84" s="94">
        <f>IF($B84&gt;20,IF(EIOPA_RFR!R45&lt;0%,EIOPA_RFR!R45,EIOPA_RFR!R45*(1+VLOOKUP($B$71,Int_Rate_Param,3,FALSE))),IF(EIOPA_RFR!R45&lt;0%,EIOPA_RFR!R45,EIOPA_RFR!R45*(1+VLOOKUP($B84,Int_Rate_Param,3,FALSE))))</f>
        <v>1.4498199999999999E-2</v>
      </c>
      <c r="S84" s="94">
        <f>IF($B84&gt;20,IF(EIOPA_RFR!S45&lt;0%,EIOPA_RFR!S45,EIOPA_RFR!S45*(1+VLOOKUP($B$71,Int_Rate_Param,3,FALSE))),IF(EIOPA_RFR!S45&lt;0%,EIOPA_RFR!S45,EIOPA_RFR!S45*(1+VLOOKUP($B84,Int_Rate_Param,3,FALSE))))</f>
        <v>1.4498199999999999E-2</v>
      </c>
      <c r="T84" s="94">
        <f>IF($B84&gt;20,IF(EIOPA_RFR!T45&lt;0%,EIOPA_RFR!T45,EIOPA_RFR!T45*(1+VLOOKUP($B$71,Int_Rate_Param,3,FALSE))),IF(EIOPA_RFR!T45&lt;0%,EIOPA_RFR!T45,EIOPA_RFR!T45*(1+VLOOKUP($B84,Int_Rate_Param,3,FALSE))))</f>
        <v>1.4498199999999999E-2</v>
      </c>
      <c r="U84" s="94">
        <f>IF($B84&gt;20,IF(EIOPA_RFR!U45&lt;0%,EIOPA_RFR!U45,EIOPA_RFR!U45*(1+VLOOKUP($B$71,Int_Rate_Param,3,FALSE))),IF(EIOPA_RFR!U45&lt;0%,EIOPA_RFR!U45,EIOPA_RFR!U45*(1+VLOOKUP($B84,Int_Rate_Param,3,FALSE))))</f>
        <v>6.0562999999999988E-3</v>
      </c>
      <c r="V84" s="94">
        <f>IF($B84&gt;20,IF(EIOPA_RFR!V45&lt;0%,EIOPA_RFR!V45,EIOPA_RFR!V45*(1+VLOOKUP($B$71,Int_Rate_Param,3,FALSE))),IF(EIOPA_RFR!V45&lt;0%,EIOPA_RFR!V45,EIOPA_RFR!V45*(1+VLOOKUP($B84,Int_Rate_Param,3,FALSE))))</f>
        <v>1.4498199999999999E-2</v>
      </c>
      <c r="W84" s="94">
        <f>IF($B84&gt;20,IF(EIOPA_RFR!W45&lt;0%,EIOPA_RFR!W45,EIOPA_RFR!W45*(1+VLOOKUP($B$71,Int_Rate_Param,3,FALSE))),IF(EIOPA_RFR!W45&lt;0%,EIOPA_RFR!W45,EIOPA_RFR!W45*(1+VLOOKUP($B84,Int_Rate_Param,3,FALSE))))</f>
        <v>1.4498199999999999E-2</v>
      </c>
      <c r="X84" s="94">
        <f>IF($B84&gt;20,IF(EIOPA_RFR!X45&lt;0%,EIOPA_RFR!X45,EIOPA_RFR!X45*(1+VLOOKUP($B$71,Int_Rate_Param,3,FALSE))),IF(EIOPA_RFR!X45&lt;0%,EIOPA_RFR!X45,EIOPA_RFR!X45*(1+VLOOKUP($B84,Int_Rate_Param,3,FALSE))))</f>
        <v>1.4498199999999999E-2</v>
      </c>
      <c r="Y84" s="94">
        <f>IF($B84&gt;20,IF(EIOPA_RFR!Y45&lt;0%,EIOPA_RFR!Y45,EIOPA_RFR!Y45*(1+VLOOKUP($B$71,Int_Rate_Param,3,FALSE))),IF(EIOPA_RFR!Y45&lt;0%,EIOPA_RFR!Y45,EIOPA_RFR!Y45*(1+VLOOKUP($B84,Int_Rate_Param,3,FALSE))))</f>
        <v>1.4498199999999999E-2</v>
      </c>
      <c r="Z84" s="94">
        <f>IF($B84&gt;20,IF(EIOPA_RFR!Z45&lt;0%,EIOPA_RFR!Z45,EIOPA_RFR!Z45*(1+VLOOKUP($B$71,Int_Rate_Param,3,FALSE))),IF(EIOPA_RFR!Z45&lt;0%,EIOPA_RFR!Z45,EIOPA_RFR!Z45*(1+VLOOKUP($B84,Int_Rate_Param,3,FALSE))))</f>
        <v>2.1612399999999997E-2</v>
      </c>
      <c r="AA84" s="94">
        <f>IF($B84&gt;20,IF(EIOPA_RFR!AA45&lt;0%,EIOPA_RFR!AA45,EIOPA_RFR!AA45*(1+VLOOKUP($B$71,Int_Rate_Param,3,FALSE))),IF(EIOPA_RFR!AA45&lt;0%,EIOPA_RFR!AA45,EIOPA_RFR!AA45*(1+VLOOKUP($B84,Int_Rate_Param,3,FALSE))))</f>
        <v>2.8698199999999997E-2</v>
      </c>
      <c r="AB84" s="94">
        <f>IF($B84&gt;20,IF(EIOPA_RFR!AB45&lt;0%,EIOPA_RFR!AB45,EIOPA_RFR!AB45*(1+VLOOKUP($B$71,Int_Rate_Param,3,FALSE))),IF(EIOPA_RFR!AB45&lt;0%,EIOPA_RFR!AB45,EIOPA_RFR!AB45*(1+VLOOKUP($B84,Int_Rate_Param,3,FALSE))))</f>
        <v>1.4498199999999999E-2</v>
      </c>
      <c r="AC84" s="94">
        <f>IF($B84&gt;20,IF(EIOPA_RFR!AC45&lt;0%,EIOPA_RFR!AC45,EIOPA_RFR!AC45*(1+VLOOKUP($B$71,Int_Rate_Param,3,FALSE))),IF(EIOPA_RFR!AC45&lt;0%,EIOPA_RFR!AC45,EIOPA_RFR!AC45*(1+VLOOKUP($B84,Int_Rate_Param,3,FALSE))))</f>
        <v>3.1161899999999996E-2</v>
      </c>
      <c r="AD84" s="94">
        <f>IF($B84&gt;20,IF(EIOPA_RFR!AD45&lt;0%,EIOPA_RFR!AD45,EIOPA_RFR!AD45*(1+VLOOKUP($B$71,Int_Rate_Param,3,FALSE))),IF(EIOPA_RFR!AD45&lt;0%,EIOPA_RFR!AD45,EIOPA_RFR!AD45*(1+VLOOKUP($B84,Int_Rate_Param,3,FALSE))))</f>
        <v>4.2195299999999998E-2</v>
      </c>
      <c r="AE84" s="94">
        <f>IF($B84&gt;20,IF(EIOPA_RFR!AE45&lt;0%,EIOPA_RFR!AE45,EIOPA_RFR!AE45*(1+VLOOKUP($B$71,Int_Rate_Param,3,FALSE))),IF(EIOPA_RFR!AE45&lt;0%,EIOPA_RFR!AE45,EIOPA_RFR!AE45*(1+VLOOKUP($B84,Int_Rate_Param,3,FALSE))))</f>
        <v>1.4498199999999999E-2</v>
      </c>
      <c r="AF84" s="94">
        <f>IF($B84&gt;20,IF(EIOPA_RFR!AF45&lt;0%,EIOPA_RFR!AF45,EIOPA_RFR!AF45*(1+VLOOKUP($B$71,Int_Rate_Param,3,FALSE))),IF(EIOPA_RFR!AF45&lt;0%,EIOPA_RFR!AF45,EIOPA_RFR!AF45*(1+VLOOKUP($B84,Int_Rate_Param,3,FALSE))))</f>
        <v>1.4498199999999999E-2</v>
      </c>
      <c r="AG84" s="94">
        <f>IF($B84&gt;20,IF(EIOPA_RFR!AG45&lt;0%,EIOPA_RFR!AG45,EIOPA_RFR!AG45*(1+VLOOKUP($B$71,Int_Rate_Param,3,FALSE))),IF(EIOPA_RFR!AG45&lt;0%,EIOPA_RFR!AG45,EIOPA_RFR!AG45*(1+VLOOKUP($B84,Int_Rate_Param,3,FALSE))))</f>
        <v>1.4498199999999999E-2</v>
      </c>
      <c r="AH84" s="94">
        <f>IF($B84&gt;20,IF(EIOPA_RFR!AH45&lt;0%,EIOPA_RFR!AH45,EIOPA_RFR!AH45*(1+VLOOKUP($B$71,Int_Rate_Param,3,FALSE))),IF(EIOPA_RFR!AH45&lt;0%,EIOPA_RFR!AH45,EIOPA_RFR!AH45*(1+VLOOKUP($B84,Int_Rate_Param,3,FALSE))))</f>
        <v>2.2187499999999999E-2</v>
      </c>
      <c r="AI84" s="94">
        <f>IF($B84&gt;20,IF(EIOPA_RFR!AI45&lt;0%,EIOPA_RFR!AI45,EIOPA_RFR!AI45*(1+VLOOKUP($B$71,Int_Rate_Param,3,FALSE))),IF(EIOPA_RFR!AI45&lt;0%,EIOPA_RFR!AI45,EIOPA_RFR!AI45*(1+VLOOKUP($B84,Int_Rate_Param,3,FALSE))))</f>
        <v>6.0562999999999988E-3</v>
      </c>
      <c r="AJ84" s="94">
        <f>IF($B84&gt;20,IF(EIOPA_RFR!AJ45&lt;0%,EIOPA_RFR!AJ45,EIOPA_RFR!AJ45*(1+VLOOKUP($B$71,Int_Rate_Param,3,FALSE))),IF(EIOPA_RFR!AJ45&lt;0%,EIOPA_RFR!AJ45,EIOPA_RFR!AJ45*(1+VLOOKUP($B84,Int_Rate_Param,3,FALSE))))</f>
        <v>8.8039999999999993E-3</v>
      </c>
      <c r="AK84" s="94">
        <f>IF($B84&gt;20,IF(EIOPA_RFR!AK45&lt;0%,EIOPA_RFR!AK45,EIOPA_RFR!AK45*(1+VLOOKUP($B$71,Int_Rate_Param,3,FALSE))),IF(EIOPA_RFR!AK45&lt;0%,EIOPA_RFR!AK45,EIOPA_RFR!AK45*(1+VLOOKUP($B84,Int_Rate_Param,3,FALSE))))</f>
        <v>2.3685599999999998E-2</v>
      </c>
      <c r="AL84" s="94">
        <f>IF($B84&gt;20,IF(EIOPA_RFR!AL45&lt;0%,EIOPA_RFR!AL45,EIOPA_RFR!AL45*(1+VLOOKUP($B$71,Int_Rate_Param,3,FALSE))),IF(EIOPA_RFR!AL45&lt;0%,EIOPA_RFR!AL45,EIOPA_RFR!AL45*(1+VLOOKUP($B84,Int_Rate_Param,3,FALSE))))</f>
        <v>5.3626299999999995E-2</v>
      </c>
      <c r="AM84" s="94">
        <f>IF($B84&gt;20,IF(EIOPA_RFR!AM45&lt;0%,EIOPA_RFR!AM45,EIOPA_RFR!AM45*(1+VLOOKUP($B$71,Int_Rate_Param,3,FALSE))),IF(EIOPA_RFR!AM45&lt;0%,EIOPA_RFR!AM45,EIOPA_RFR!AM45*(1+VLOOKUP($B84,Int_Rate_Param,3,FALSE))))</f>
        <v>1.6280299999999998E-2</v>
      </c>
      <c r="AN84" s="94">
        <f>IF($B84&gt;20,IF(EIOPA_RFR!AN45&lt;0%,EIOPA_RFR!AN45,EIOPA_RFR!AN45*(1+VLOOKUP($B$71,Int_Rate_Param,3,FALSE))),IF(EIOPA_RFR!AN45&lt;0%,EIOPA_RFR!AN45,EIOPA_RFR!AN45*(1+VLOOKUP($B84,Int_Rate_Param,3,FALSE))))</f>
        <v>3.0217599999999997E-2</v>
      </c>
      <c r="AO84" s="94">
        <f>IF($B84&gt;20,IF(EIOPA_RFR!AO45&lt;0%,EIOPA_RFR!AO45,EIOPA_RFR!AO45*(1+VLOOKUP($B$71,Int_Rate_Param,3,FALSE))),IF(EIOPA_RFR!AO45&lt;0%,EIOPA_RFR!AO45,EIOPA_RFR!AO45*(1+VLOOKUP($B84,Int_Rate_Param,3,FALSE))))</f>
        <v>3.1282600000000001E-2</v>
      </c>
      <c r="AP84" s="94">
        <f>IF($B84&gt;20,IF(EIOPA_RFR!AP45&lt;0%,EIOPA_RFR!AP45,EIOPA_RFR!AP45*(1+VLOOKUP($B$71,Int_Rate_Param,3,FALSE))),IF(EIOPA_RFR!AP45&lt;0%,EIOPA_RFR!AP45,EIOPA_RFR!AP45*(1+VLOOKUP($B84,Int_Rate_Param,3,FALSE))))</f>
        <v>3.9270099999999995E-2</v>
      </c>
      <c r="AQ84" s="94">
        <f>IF($B84&gt;20,IF(EIOPA_RFR!AQ45&lt;0%,EIOPA_RFR!AQ45,EIOPA_RFR!AQ45*(1+VLOOKUP($B$71,Int_Rate_Param,3,FALSE))),IF(EIOPA_RFR!AQ45&lt;0%,EIOPA_RFR!AQ45,EIOPA_RFR!AQ45*(1+VLOOKUP($B84,Int_Rate_Param,3,FALSE))))</f>
        <v>2.19887E-2</v>
      </c>
      <c r="AR84" s="94">
        <f>IF($B84&gt;20,IF(EIOPA_RFR!AR45&lt;0%,EIOPA_RFR!AR45,EIOPA_RFR!AR45*(1+VLOOKUP($B$71,Int_Rate_Param,3,FALSE))),IF(EIOPA_RFR!AR45&lt;0%,EIOPA_RFR!AR45,EIOPA_RFR!AR45*(1+VLOOKUP($B84,Int_Rate_Param,3,FALSE))))</f>
        <v>4.4680299999999999E-2</v>
      </c>
      <c r="AS84" s="94">
        <f>IF($B84&gt;20,IF(EIOPA_RFR!AS45&lt;0%,EIOPA_RFR!AS45,EIOPA_RFR!AS45*(1+VLOOKUP($B$71,Int_Rate_Param,3,FALSE))),IF(EIOPA_RFR!AS45&lt;0%,EIOPA_RFR!AS45,EIOPA_RFR!AS45*(1+VLOOKUP($B84,Int_Rate_Param,3,FALSE))))</f>
        <v>5.9994999999999988E-3</v>
      </c>
      <c r="AT84" s="94">
        <f>IF($B84&gt;20,IF(EIOPA_RFR!AT45&lt;0%,EIOPA_RFR!AT45,EIOPA_RFR!AT45*(1+VLOOKUP($B$71,Int_Rate_Param,3,FALSE))),IF(EIOPA_RFR!AT45&lt;0%,EIOPA_RFR!AT45,EIOPA_RFR!AT45*(1+VLOOKUP($B84,Int_Rate_Param,3,FALSE))))</f>
        <v>3.0920499999999997E-2</v>
      </c>
      <c r="AU84" s="94">
        <f>IF($B84&gt;20,IF(EIOPA_RFR!AU45&lt;0%,EIOPA_RFR!AU45,EIOPA_RFR!AU45*(1+VLOOKUP($B$71,Int_Rate_Param,3,FALSE))),IF(EIOPA_RFR!AU45&lt;0%,EIOPA_RFR!AU45,EIOPA_RFR!AU45*(1+VLOOKUP($B84,Int_Rate_Param,3,FALSE))))</f>
        <v>5.2589699999999996E-2</v>
      </c>
      <c r="AV84" s="94">
        <f>IF($B84&gt;20,IF(EIOPA_RFR!AV45&lt;0%,EIOPA_RFR!AV45,EIOPA_RFR!AV45*(1+VLOOKUP($B$71,Int_Rate_Param,3,FALSE))),IF(EIOPA_RFR!AV45&lt;0%,EIOPA_RFR!AV45,EIOPA_RFR!AV45*(1+VLOOKUP($B84,Int_Rate_Param,3,FALSE))))</f>
        <v>2.9599899999999998E-2</v>
      </c>
      <c r="AW84" s="94">
        <f>IF($B84&gt;20,IF(EIOPA_RFR!AW45&lt;0%,EIOPA_RFR!AW45,EIOPA_RFR!AW45*(1+VLOOKUP($B$71,Int_Rate_Param,3,FALSE))),IF(EIOPA_RFR!AW45&lt;0%,EIOPA_RFR!AW45,EIOPA_RFR!AW45*(1+VLOOKUP($B84,Int_Rate_Param,3,FALSE))))</f>
        <v>2.1811199999999999E-2</v>
      </c>
      <c r="AX84" s="94">
        <f>IF($B84&gt;20,IF(EIOPA_RFR!AX45&lt;0%,EIOPA_RFR!AX45,EIOPA_RFR!AX45*(1+VLOOKUP($B$71,Int_Rate_Param,3,FALSE))),IF(EIOPA_RFR!AX45&lt;0%,EIOPA_RFR!AX45,EIOPA_RFR!AX45*(1+VLOOKUP($B84,Int_Rate_Param,3,FALSE))))</f>
        <v>5.2419300000000002E-2</v>
      </c>
      <c r="AY84" s="94">
        <f>IF($B84&gt;20,IF(EIOPA_RFR!AY45&lt;0%,EIOPA_RFR!AY45,EIOPA_RFR!AY45*(1+VLOOKUP($B$71,Int_Rate_Param,3,FALSE))),IF(EIOPA_RFR!AY45&lt;0%,EIOPA_RFR!AY45,EIOPA_RFR!AY45*(1+VLOOKUP($B84,Int_Rate_Param,3,FALSE))))</f>
        <v>1.7139399999999999E-2</v>
      </c>
      <c r="AZ84" s="94">
        <f>IF($B84&gt;20,IF(EIOPA_RFR!AZ45&lt;0%,EIOPA_RFR!AZ45,EIOPA_RFR!AZ45*(1+VLOOKUP($B$71,Int_Rate_Param,3,FALSE))),IF(EIOPA_RFR!AZ45&lt;0%,EIOPA_RFR!AZ45,EIOPA_RFR!AZ45*(1+VLOOKUP($B84,Int_Rate_Param,3,FALSE))))</f>
        <v>1.8921500000000001E-2</v>
      </c>
      <c r="BA84" s="94">
        <f>IF($B84&gt;20,IF(EIOPA_RFR!BA45&lt;0%,EIOPA_RFR!BA45,EIOPA_RFR!BA45*(1+VLOOKUP($B$71,Int_Rate_Param,3,FALSE))),IF(EIOPA_RFR!BA45&lt;0%,EIOPA_RFR!BA45,EIOPA_RFR!BA45*(1+VLOOKUP($B84,Int_Rate_Param,3,FALSE))))</f>
        <v>2.3927E-2</v>
      </c>
      <c r="BB84" s="94">
        <f>IF($B84&gt;20,IF(EIOPA_RFR!BB45&lt;0%,EIOPA_RFR!BB45,EIOPA_RFR!BB45*(1+VLOOKUP($B$71,Int_Rate_Param,3,FALSE))),IF(EIOPA_RFR!BB45&lt;0%,EIOPA_RFR!BB45,EIOPA_RFR!BB45*(1+VLOOKUP($B84,Int_Rate_Param,3,FALSE))))</f>
        <v>5.5486499999999994E-2</v>
      </c>
      <c r="BC84" s="94">
        <f>IF($B84&gt;20,IF(EIOPA_RFR!BC45&lt;0%,EIOPA_RFR!BC45,EIOPA_RFR!BC45*(1+VLOOKUP($B$71,Int_Rate_Param,3,FALSE))),IF(EIOPA_RFR!BC45&lt;0%,EIOPA_RFR!BC45,EIOPA_RFR!BC45*(1+VLOOKUP($B84,Int_Rate_Param,3,FALSE))))</f>
        <v>1.8033999999999998E-2</v>
      </c>
    </row>
    <row r="85" spans="1:55" x14ac:dyDescent="0.25">
      <c r="A85">
        <f t="shared" si="1"/>
        <v>36</v>
      </c>
      <c r="B85" s="95">
        <v>34</v>
      </c>
      <c r="C85" s="94">
        <f>IF($B85&gt;20,IF(EIOPA_RFR!C46&lt;0%,EIOPA_RFR!C46,EIOPA_RFR!C46*(1+VLOOKUP($B$71,Int_Rate_Param,3,FALSE))),IF(EIOPA_RFR!C46&lt;0%,EIOPA_RFR!C46,EIOPA_RFR!C46*(1+VLOOKUP($B85,Int_Rate_Param,3,FALSE))))</f>
        <v>1.4874499999999999E-2</v>
      </c>
      <c r="D85" s="94">
        <f>IF($B85&gt;20,IF(EIOPA_RFR!D46&lt;0%,EIOPA_RFR!D46,EIOPA_RFR!D46*(1+VLOOKUP($B$71,Int_Rate_Param,3,FALSE))),IF(EIOPA_RFR!D46&lt;0%,EIOPA_RFR!D46,EIOPA_RFR!D46*(1+VLOOKUP($B85,Int_Rate_Param,3,FALSE))))</f>
        <v>1.4874499999999999E-2</v>
      </c>
      <c r="E85" s="94">
        <f>IF($B85&gt;20,IF(EIOPA_RFR!E46&lt;0%,EIOPA_RFR!E46,EIOPA_RFR!E46*(1+VLOOKUP($B$71,Int_Rate_Param,3,FALSE))),IF(EIOPA_RFR!E46&lt;0%,EIOPA_RFR!E46,EIOPA_RFR!E46*(1+VLOOKUP($B85,Int_Rate_Param,3,FALSE))))</f>
        <v>1.4874499999999999E-2</v>
      </c>
      <c r="F85" s="94">
        <f>IF($B85&gt;20,IF(EIOPA_RFR!F46&lt;0%,EIOPA_RFR!F46,EIOPA_RFR!F46*(1+VLOOKUP($B$71,Int_Rate_Param,3,FALSE))),IF(EIOPA_RFR!F46&lt;0%,EIOPA_RFR!F46,EIOPA_RFR!F46*(1+VLOOKUP($B85,Int_Rate_Param,3,FALSE))))</f>
        <v>1.4611799999999999E-2</v>
      </c>
      <c r="G85" s="94">
        <f>IF($B85&gt;20,IF(EIOPA_RFR!G46&lt;0%,EIOPA_RFR!G46,EIOPA_RFR!G46*(1+VLOOKUP($B$71,Int_Rate_Param,3,FALSE))),IF(EIOPA_RFR!G46&lt;0%,EIOPA_RFR!G46,EIOPA_RFR!G46*(1+VLOOKUP($B85,Int_Rate_Param,3,FALSE))))</f>
        <v>2.58795E-2</v>
      </c>
      <c r="H85" s="94">
        <f>IF($B85&gt;20,IF(EIOPA_RFR!H46&lt;0%,EIOPA_RFR!H46,EIOPA_RFR!H46*(1+VLOOKUP($B$71,Int_Rate_Param,3,FALSE))),IF(EIOPA_RFR!H46&lt;0%,EIOPA_RFR!H46,EIOPA_RFR!H46*(1+VLOOKUP($B85,Int_Rate_Param,3,FALSE))))</f>
        <v>1.4874499999999999E-2</v>
      </c>
      <c r="I85" s="94">
        <f>IF($B85&gt;20,IF(EIOPA_RFR!I46&lt;0%,EIOPA_RFR!I46,EIOPA_RFR!I46*(1+VLOOKUP($B$71,Int_Rate_Param,3,FALSE))),IF(EIOPA_RFR!I46&lt;0%,EIOPA_RFR!I46,EIOPA_RFR!I46*(1+VLOOKUP($B85,Int_Rate_Param,3,FALSE))))</f>
        <v>1.7714499999999998E-2</v>
      </c>
      <c r="J85" s="94">
        <f>IF($B85&gt;20,IF(EIOPA_RFR!J46&lt;0%,EIOPA_RFR!J46,EIOPA_RFR!J46*(1+VLOOKUP($B$71,Int_Rate_Param,3,FALSE))),IF(EIOPA_RFR!J46&lt;0%,EIOPA_RFR!J46,EIOPA_RFR!J46*(1+VLOOKUP($B85,Int_Rate_Param,3,FALSE))))</f>
        <v>1.4824799999999999E-2</v>
      </c>
      <c r="K85" s="94">
        <f>IF($B85&gt;20,IF(EIOPA_RFR!K46&lt;0%,EIOPA_RFR!K46,EIOPA_RFR!K46*(1+VLOOKUP($B$71,Int_Rate_Param,3,FALSE))),IF(EIOPA_RFR!K46&lt;0%,EIOPA_RFR!K46,EIOPA_RFR!K46*(1+VLOOKUP($B85,Int_Rate_Param,3,FALSE))))</f>
        <v>1.4874499999999999E-2</v>
      </c>
      <c r="L85" s="94">
        <f>IF($B85&gt;20,IF(EIOPA_RFR!L46&lt;0%,EIOPA_RFR!L46,EIOPA_RFR!L46*(1+VLOOKUP($B$71,Int_Rate_Param,3,FALSE))),IF(EIOPA_RFR!L46&lt;0%,EIOPA_RFR!L46,EIOPA_RFR!L46*(1+VLOOKUP($B85,Int_Rate_Param,3,FALSE))))</f>
        <v>1.4874499999999999E-2</v>
      </c>
      <c r="M85" s="94">
        <f>IF($B85&gt;20,IF(EIOPA_RFR!M46&lt;0%,EIOPA_RFR!M46,EIOPA_RFR!M46*(1+VLOOKUP($B$71,Int_Rate_Param,3,FALSE))),IF(EIOPA_RFR!M46&lt;0%,EIOPA_RFR!M46,EIOPA_RFR!M46*(1+VLOOKUP($B85,Int_Rate_Param,3,FALSE))))</f>
        <v>1.4874499999999999E-2</v>
      </c>
      <c r="N85" s="94">
        <f>IF($B85&gt;20,IF(EIOPA_RFR!N46&lt;0%,EIOPA_RFR!N46,EIOPA_RFR!N46*(1+VLOOKUP($B$71,Int_Rate_Param,3,FALSE))),IF(EIOPA_RFR!N46&lt;0%,EIOPA_RFR!N46,EIOPA_RFR!N46*(1+VLOOKUP($B85,Int_Rate_Param,3,FALSE))))</f>
        <v>1.4874499999999999E-2</v>
      </c>
      <c r="O85" s="94">
        <f>IF($B85&gt;20,IF(EIOPA_RFR!O46&lt;0%,EIOPA_RFR!O46,EIOPA_RFR!O46*(1+VLOOKUP($B$71,Int_Rate_Param,3,FALSE))),IF(EIOPA_RFR!O46&lt;0%,EIOPA_RFR!O46,EIOPA_RFR!O46*(1+VLOOKUP($B85,Int_Rate_Param,3,FALSE))))</f>
        <v>1.4874499999999999E-2</v>
      </c>
      <c r="P85" s="94">
        <f>IF($B85&gt;20,IF(EIOPA_RFR!P46&lt;0%,EIOPA_RFR!P46,EIOPA_RFR!P46*(1+VLOOKUP($B$71,Int_Rate_Param,3,FALSE))),IF(EIOPA_RFR!P46&lt;0%,EIOPA_RFR!P46,EIOPA_RFR!P46*(1+VLOOKUP($B85,Int_Rate_Param,3,FALSE))))</f>
        <v>3.0856599999999998E-2</v>
      </c>
      <c r="Q85" s="94">
        <f>IF($B85&gt;20,IF(EIOPA_RFR!Q46&lt;0%,EIOPA_RFR!Q46,EIOPA_RFR!Q46*(1+VLOOKUP($B$71,Int_Rate_Param,3,FALSE))),IF(EIOPA_RFR!Q46&lt;0%,EIOPA_RFR!Q46,EIOPA_RFR!Q46*(1+VLOOKUP($B85,Int_Rate_Param,3,FALSE))))</f>
        <v>3.2056500000000002E-2</v>
      </c>
      <c r="R85" s="94">
        <f>IF($B85&gt;20,IF(EIOPA_RFR!R46&lt;0%,EIOPA_RFR!R46,EIOPA_RFR!R46*(1+VLOOKUP($B$71,Int_Rate_Param,3,FALSE))),IF(EIOPA_RFR!R46&lt;0%,EIOPA_RFR!R46,EIOPA_RFR!R46*(1+VLOOKUP($B85,Int_Rate_Param,3,FALSE))))</f>
        <v>1.4874499999999999E-2</v>
      </c>
      <c r="S85" s="94">
        <f>IF($B85&gt;20,IF(EIOPA_RFR!S46&lt;0%,EIOPA_RFR!S46,EIOPA_RFR!S46*(1+VLOOKUP($B$71,Int_Rate_Param,3,FALSE))),IF(EIOPA_RFR!S46&lt;0%,EIOPA_RFR!S46,EIOPA_RFR!S46*(1+VLOOKUP($B85,Int_Rate_Param,3,FALSE))))</f>
        <v>1.4874499999999999E-2</v>
      </c>
      <c r="T85" s="94">
        <f>IF($B85&gt;20,IF(EIOPA_RFR!T46&lt;0%,EIOPA_RFR!T46,EIOPA_RFR!T46*(1+VLOOKUP($B$71,Int_Rate_Param,3,FALSE))),IF(EIOPA_RFR!T46&lt;0%,EIOPA_RFR!T46,EIOPA_RFR!T46*(1+VLOOKUP($B85,Int_Rate_Param,3,FALSE))))</f>
        <v>1.4874499999999999E-2</v>
      </c>
      <c r="U85" s="94">
        <f>IF($B85&gt;20,IF(EIOPA_RFR!U46&lt;0%,EIOPA_RFR!U46,EIOPA_RFR!U46*(1+VLOOKUP($B$71,Int_Rate_Param,3,FALSE))),IF(EIOPA_RFR!U46&lt;0%,EIOPA_RFR!U46,EIOPA_RFR!U46*(1+VLOOKUP($B85,Int_Rate_Param,3,FALSE))))</f>
        <v>6.4113E-3</v>
      </c>
      <c r="V85" s="94">
        <f>IF($B85&gt;20,IF(EIOPA_RFR!V46&lt;0%,EIOPA_RFR!V46,EIOPA_RFR!V46*(1+VLOOKUP($B$71,Int_Rate_Param,3,FALSE))),IF(EIOPA_RFR!V46&lt;0%,EIOPA_RFR!V46,EIOPA_RFR!V46*(1+VLOOKUP($B85,Int_Rate_Param,3,FALSE))))</f>
        <v>1.4874499999999999E-2</v>
      </c>
      <c r="W85" s="94">
        <f>IF($B85&gt;20,IF(EIOPA_RFR!W46&lt;0%,EIOPA_RFR!W46,EIOPA_RFR!W46*(1+VLOOKUP($B$71,Int_Rate_Param,3,FALSE))),IF(EIOPA_RFR!W46&lt;0%,EIOPA_RFR!W46,EIOPA_RFR!W46*(1+VLOOKUP($B85,Int_Rate_Param,3,FALSE))))</f>
        <v>1.4874499999999999E-2</v>
      </c>
      <c r="X85" s="94">
        <f>IF($B85&gt;20,IF(EIOPA_RFR!X46&lt;0%,EIOPA_RFR!X46,EIOPA_RFR!X46*(1+VLOOKUP($B$71,Int_Rate_Param,3,FALSE))),IF(EIOPA_RFR!X46&lt;0%,EIOPA_RFR!X46,EIOPA_RFR!X46*(1+VLOOKUP($B85,Int_Rate_Param,3,FALSE))))</f>
        <v>1.4874499999999999E-2</v>
      </c>
      <c r="Y85" s="94">
        <f>IF($B85&gt;20,IF(EIOPA_RFR!Y46&lt;0%,EIOPA_RFR!Y46,EIOPA_RFR!Y46*(1+VLOOKUP($B$71,Int_Rate_Param,3,FALSE))),IF(EIOPA_RFR!Y46&lt;0%,EIOPA_RFR!Y46,EIOPA_RFR!Y46*(1+VLOOKUP($B85,Int_Rate_Param,3,FALSE))))</f>
        <v>1.4874499999999999E-2</v>
      </c>
      <c r="Z85" s="94">
        <f>IF($B85&gt;20,IF(EIOPA_RFR!Z46&lt;0%,EIOPA_RFR!Z46,EIOPA_RFR!Z46*(1+VLOOKUP($B$71,Int_Rate_Param,3,FALSE))),IF(EIOPA_RFR!Z46&lt;0%,EIOPA_RFR!Z46,EIOPA_RFR!Z46*(1+VLOOKUP($B85,Int_Rate_Param,3,FALSE))))</f>
        <v>2.1825399999999998E-2</v>
      </c>
      <c r="AA85" s="94">
        <f>IF($B85&gt;20,IF(EIOPA_RFR!AA46&lt;0%,EIOPA_RFR!AA46,EIOPA_RFR!AA46*(1+VLOOKUP($B$71,Int_Rate_Param,3,FALSE))),IF(EIOPA_RFR!AA46&lt;0%,EIOPA_RFR!AA46,EIOPA_RFR!AA46*(1+VLOOKUP($B85,Int_Rate_Param,3,FALSE))))</f>
        <v>2.8747899999999996E-2</v>
      </c>
      <c r="AB85" s="94">
        <f>IF($B85&gt;20,IF(EIOPA_RFR!AB46&lt;0%,EIOPA_RFR!AB46,EIOPA_RFR!AB46*(1+VLOOKUP($B$71,Int_Rate_Param,3,FALSE))),IF(EIOPA_RFR!AB46&lt;0%,EIOPA_RFR!AB46,EIOPA_RFR!AB46*(1+VLOOKUP($B85,Int_Rate_Param,3,FALSE))))</f>
        <v>1.4874499999999999E-2</v>
      </c>
      <c r="AC85" s="94">
        <f>IF($B85&gt;20,IF(EIOPA_RFR!AC46&lt;0%,EIOPA_RFR!AC46,EIOPA_RFR!AC46*(1+VLOOKUP($B$71,Int_Rate_Param,3,FALSE))),IF(EIOPA_RFR!AC46&lt;0%,EIOPA_RFR!AC46,EIOPA_RFR!AC46*(1+VLOOKUP($B85,Int_Rate_Param,3,FALSE))))</f>
        <v>3.1147699999999997E-2</v>
      </c>
      <c r="AD85" s="94">
        <f>IF($B85&gt;20,IF(EIOPA_RFR!AD46&lt;0%,EIOPA_RFR!AD46,EIOPA_RFR!AD46*(1+VLOOKUP($B$71,Int_Rate_Param,3,FALSE))),IF(EIOPA_RFR!AD46&lt;0%,EIOPA_RFR!AD46,EIOPA_RFR!AD46*(1+VLOOKUP($B85,Int_Rate_Param,3,FALSE))))</f>
        <v>4.1868700000000002E-2</v>
      </c>
      <c r="AE85" s="94">
        <f>IF($B85&gt;20,IF(EIOPA_RFR!AE46&lt;0%,EIOPA_RFR!AE46,EIOPA_RFR!AE46*(1+VLOOKUP($B$71,Int_Rate_Param,3,FALSE))),IF(EIOPA_RFR!AE46&lt;0%,EIOPA_RFR!AE46,EIOPA_RFR!AE46*(1+VLOOKUP($B85,Int_Rate_Param,3,FALSE))))</f>
        <v>1.4874499999999999E-2</v>
      </c>
      <c r="AF85" s="94">
        <f>IF($B85&gt;20,IF(EIOPA_RFR!AF46&lt;0%,EIOPA_RFR!AF46,EIOPA_RFR!AF46*(1+VLOOKUP($B$71,Int_Rate_Param,3,FALSE))),IF(EIOPA_RFR!AF46&lt;0%,EIOPA_RFR!AF46,EIOPA_RFR!AF46*(1+VLOOKUP($B85,Int_Rate_Param,3,FALSE))))</f>
        <v>1.4874499999999999E-2</v>
      </c>
      <c r="AG85" s="94">
        <f>IF($B85&gt;20,IF(EIOPA_RFR!AG46&lt;0%,EIOPA_RFR!AG46,EIOPA_RFR!AG46*(1+VLOOKUP($B$71,Int_Rate_Param,3,FALSE))),IF(EIOPA_RFR!AG46&lt;0%,EIOPA_RFR!AG46,EIOPA_RFR!AG46*(1+VLOOKUP($B85,Int_Rate_Param,3,FALSE))))</f>
        <v>1.4874499999999999E-2</v>
      </c>
      <c r="AH85" s="94">
        <f>IF($B85&gt;20,IF(EIOPA_RFR!AH46&lt;0%,EIOPA_RFR!AH46,EIOPA_RFR!AH46*(1+VLOOKUP($B$71,Int_Rate_Param,3,FALSE))),IF(EIOPA_RFR!AH46&lt;0%,EIOPA_RFR!AH46,EIOPA_RFR!AH46*(1+VLOOKUP($B85,Int_Rate_Param,3,FALSE))))</f>
        <v>2.2407599999999996E-2</v>
      </c>
      <c r="AI85" s="94">
        <f>IF($B85&gt;20,IF(EIOPA_RFR!AI46&lt;0%,EIOPA_RFR!AI46,EIOPA_RFR!AI46*(1+VLOOKUP($B$71,Int_Rate_Param,3,FALSE))),IF(EIOPA_RFR!AI46&lt;0%,EIOPA_RFR!AI46,EIOPA_RFR!AI46*(1+VLOOKUP($B85,Int_Rate_Param,3,FALSE))))</f>
        <v>6.4113E-3</v>
      </c>
      <c r="AJ85" s="94">
        <f>IF($B85&gt;20,IF(EIOPA_RFR!AJ46&lt;0%,EIOPA_RFR!AJ46,EIOPA_RFR!AJ46*(1+VLOOKUP($B$71,Int_Rate_Param,3,FALSE))),IF(EIOPA_RFR!AJ46&lt;0%,EIOPA_RFR!AJ46,EIOPA_RFR!AJ46*(1+VLOOKUP($B85,Int_Rate_Param,3,FALSE))))</f>
        <v>8.7400999999999989E-3</v>
      </c>
      <c r="AK85" s="94">
        <f>IF($B85&gt;20,IF(EIOPA_RFR!AK46&lt;0%,EIOPA_RFR!AK46,EIOPA_RFR!AK46*(1+VLOOKUP($B$71,Int_Rate_Param,3,FALSE))),IF(EIOPA_RFR!AK46&lt;0%,EIOPA_RFR!AK46,EIOPA_RFR!AK46*(1+VLOOKUP($B85,Int_Rate_Param,3,FALSE))))</f>
        <v>2.37495E-2</v>
      </c>
      <c r="AL85" s="94">
        <f>IF($B85&gt;20,IF(EIOPA_RFR!AL46&lt;0%,EIOPA_RFR!AL46,EIOPA_RFR!AL46*(1+VLOOKUP($B$71,Int_Rate_Param,3,FALSE))),IF(EIOPA_RFR!AL46&lt;0%,EIOPA_RFR!AL46,EIOPA_RFR!AL46*(1+VLOOKUP($B85,Int_Rate_Param,3,FALSE))))</f>
        <v>5.3193199999999996E-2</v>
      </c>
      <c r="AM85" s="94">
        <f>IF($B85&gt;20,IF(EIOPA_RFR!AM46&lt;0%,EIOPA_RFR!AM46,EIOPA_RFR!AM46*(1+VLOOKUP($B$71,Int_Rate_Param,3,FALSE))),IF(EIOPA_RFR!AM46&lt;0%,EIOPA_RFR!AM46,EIOPA_RFR!AM46*(1+VLOOKUP($B85,Int_Rate_Param,3,FALSE))))</f>
        <v>1.6471999999999997E-2</v>
      </c>
      <c r="AN85" s="94">
        <f>IF($B85&gt;20,IF(EIOPA_RFR!AN46&lt;0%,EIOPA_RFR!AN46,EIOPA_RFR!AN46*(1+VLOOKUP($B$71,Int_Rate_Param,3,FALSE))),IF(EIOPA_RFR!AN46&lt;0%,EIOPA_RFR!AN46,EIOPA_RFR!AN46*(1+VLOOKUP($B85,Int_Rate_Param,3,FALSE))))</f>
        <v>3.0224699999999997E-2</v>
      </c>
      <c r="AO85" s="94">
        <f>IF($B85&gt;20,IF(EIOPA_RFR!AO46&lt;0%,EIOPA_RFR!AO46,EIOPA_RFR!AO46*(1+VLOOKUP($B$71,Int_Rate_Param,3,FALSE))),IF(EIOPA_RFR!AO46&lt;0%,EIOPA_RFR!AO46,EIOPA_RFR!AO46*(1+VLOOKUP($B85,Int_Rate_Param,3,FALSE))))</f>
        <v>3.1261299999999999E-2</v>
      </c>
      <c r="AP85" s="94">
        <f>IF($B85&gt;20,IF(EIOPA_RFR!AP46&lt;0%,EIOPA_RFR!AP46,EIOPA_RFR!AP46*(1+VLOOKUP($B$71,Int_Rate_Param,3,FALSE))),IF(EIOPA_RFR!AP46&lt;0%,EIOPA_RFR!AP46,EIOPA_RFR!AP46*(1+VLOOKUP($B85,Int_Rate_Param,3,FALSE))))</f>
        <v>3.9035799999999996E-2</v>
      </c>
      <c r="AQ85" s="94">
        <f>IF($B85&gt;20,IF(EIOPA_RFR!AQ46&lt;0%,EIOPA_RFR!AQ46,EIOPA_RFR!AQ46*(1+VLOOKUP($B$71,Int_Rate_Param,3,FALSE))),IF(EIOPA_RFR!AQ46&lt;0%,EIOPA_RFR!AQ46,EIOPA_RFR!AQ46*(1+VLOOKUP($B85,Int_Rate_Param,3,FALSE))))</f>
        <v>2.2187499999999999E-2</v>
      </c>
      <c r="AR85" s="94">
        <f>IF($B85&gt;20,IF(EIOPA_RFR!AR46&lt;0%,EIOPA_RFR!AR46,EIOPA_RFR!AR46*(1+VLOOKUP($B$71,Int_Rate_Param,3,FALSE))),IF(EIOPA_RFR!AR46&lt;0%,EIOPA_RFR!AR46,EIOPA_RFR!AR46*(1+VLOOKUP($B85,Int_Rate_Param,3,FALSE))))</f>
        <v>4.4495699999999999E-2</v>
      </c>
      <c r="AS85" s="94">
        <f>IF($B85&gt;20,IF(EIOPA_RFR!AS46&lt;0%,EIOPA_RFR!AS46,EIOPA_RFR!AS46*(1+VLOOKUP($B$71,Int_Rate_Param,3,FALSE))),IF(EIOPA_RFR!AS46&lt;0%,EIOPA_RFR!AS46,EIOPA_RFR!AS46*(1+VLOOKUP($B85,Int_Rate_Param,3,FALSE))))</f>
        <v>6.2550999999999995E-3</v>
      </c>
      <c r="AT85" s="94">
        <f>IF($B85&gt;20,IF(EIOPA_RFR!AT46&lt;0%,EIOPA_RFR!AT46,EIOPA_RFR!AT46*(1+VLOOKUP($B$71,Int_Rate_Param,3,FALSE))),IF(EIOPA_RFR!AT46&lt;0%,EIOPA_RFR!AT46,EIOPA_RFR!AT46*(1+VLOOKUP($B85,Int_Rate_Param,3,FALSE))))</f>
        <v>3.0906299999999998E-2</v>
      </c>
      <c r="AU85" s="94">
        <f>IF($B85&gt;20,IF(EIOPA_RFR!AU46&lt;0%,EIOPA_RFR!AU46,EIOPA_RFR!AU46*(1+VLOOKUP($B$71,Int_Rate_Param,3,FALSE))),IF(EIOPA_RFR!AU46&lt;0%,EIOPA_RFR!AU46,EIOPA_RFR!AU46*(1+VLOOKUP($B85,Int_Rate_Param,3,FALSE))))</f>
        <v>5.2227599999999999E-2</v>
      </c>
      <c r="AV85" s="94">
        <f>IF($B85&gt;20,IF(EIOPA_RFR!AV46&lt;0%,EIOPA_RFR!AV46,EIOPA_RFR!AV46*(1+VLOOKUP($B$71,Int_Rate_Param,3,FALSE))),IF(EIOPA_RFR!AV46&lt;0%,EIOPA_RFR!AV46,EIOPA_RFR!AV46*(1+VLOOKUP($B85,Int_Rate_Param,3,FALSE))))</f>
        <v>2.9635399999999999E-2</v>
      </c>
      <c r="AW85" s="94">
        <f>IF($B85&gt;20,IF(EIOPA_RFR!AW46&lt;0%,EIOPA_RFR!AW46,EIOPA_RFR!AW46*(1+VLOOKUP($B$71,Int_Rate_Param,3,FALSE))),IF(EIOPA_RFR!AW46&lt;0%,EIOPA_RFR!AW46,EIOPA_RFR!AW46*(1+VLOOKUP($B85,Int_Rate_Param,3,FALSE))))</f>
        <v>2.2002899999999999E-2</v>
      </c>
      <c r="AX85" s="94">
        <f>IF($B85&gt;20,IF(EIOPA_RFR!AX46&lt;0%,EIOPA_RFR!AX46,EIOPA_RFR!AX46*(1+VLOOKUP($B$71,Int_Rate_Param,3,FALSE))),IF(EIOPA_RFR!AX46&lt;0%,EIOPA_RFR!AX46,EIOPA_RFR!AX46*(1+VLOOKUP($B85,Int_Rate_Param,3,FALSE))))</f>
        <v>5.2028799999999993E-2</v>
      </c>
      <c r="AY85" s="94">
        <f>IF($B85&gt;20,IF(EIOPA_RFR!AY46&lt;0%,EIOPA_RFR!AY46,EIOPA_RFR!AY46*(1+VLOOKUP($B$71,Int_Rate_Param,3,FALSE))),IF(EIOPA_RFR!AY46&lt;0%,EIOPA_RFR!AY46,EIOPA_RFR!AY46*(1+VLOOKUP($B85,Int_Rate_Param,3,FALSE))))</f>
        <v>1.74447E-2</v>
      </c>
      <c r="AZ85" s="94">
        <f>IF($B85&gt;20,IF(EIOPA_RFR!AZ46&lt;0%,EIOPA_RFR!AZ46,EIOPA_RFR!AZ46*(1+VLOOKUP($B$71,Int_Rate_Param,3,FALSE))),IF(EIOPA_RFR!AZ46&lt;0%,EIOPA_RFR!AZ46,EIOPA_RFR!AZ46*(1+VLOOKUP($B85,Int_Rate_Param,3,FALSE))))</f>
        <v>1.9198400000000001E-2</v>
      </c>
      <c r="BA85" s="94">
        <f>IF($B85&gt;20,IF(EIOPA_RFR!BA46&lt;0%,EIOPA_RFR!BA46,EIOPA_RFR!BA46*(1+VLOOKUP($B$71,Int_Rate_Param,3,FALSE))),IF(EIOPA_RFR!BA46&lt;0%,EIOPA_RFR!BA46,EIOPA_RFR!BA46*(1+VLOOKUP($B85,Int_Rate_Param,3,FALSE))))</f>
        <v>2.4069E-2</v>
      </c>
      <c r="BB85" s="94">
        <f>IF($B85&gt;20,IF(EIOPA_RFR!BB46&lt;0%,EIOPA_RFR!BB46,EIOPA_RFR!BB46*(1+VLOOKUP($B$71,Int_Rate_Param,3,FALSE))),IF(EIOPA_RFR!BB46&lt;0%,EIOPA_RFR!BB46,EIOPA_RFR!BB46*(1+VLOOKUP($B85,Int_Rate_Param,3,FALSE))))</f>
        <v>5.49966E-2</v>
      </c>
      <c r="BC85" s="94">
        <f>IF($B85&gt;20,IF(EIOPA_RFR!BC46&lt;0%,EIOPA_RFR!BC46,EIOPA_RFR!BC46*(1+VLOOKUP($B$71,Int_Rate_Param,3,FALSE))),IF(EIOPA_RFR!BC46&lt;0%,EIOPA_RFR!BC46,EIOPA_RFR!BC46*(1+VLOOKUP($B85,Int_Rate_Param,3,FALSE))))</f>
        <v>1.8026899999999998E-2</v>
      </c>
    </row>
    <row r="86" spans="1:55" x14ac:dyDescent="0.25">
      <c r="A86">
        <f t="shared" si="1"/>
        <v>37</v>
      </c>
      <c r="B86" s="95">
        <v>35</v>
      </c>
      <c r="C86" s="94">
        <f>IF($B86&gt;20,IF(EIOPA_RFR!C47&lt;0%,EIOPA_RFR!C47,EIOPA_RFR!C47*(1+VLOOKUP($B$71,Int_Rate_Param,3,FALSE))),IF(EIOPA_RFR!C47&lt;0%,EIOPA_RFR!C47,EIOPA_RFR!C47*(1+VLOOKUP($B86,Int_Rate_Param,3,FALSE))))</f>
        <v>1.5243699999999999E-2</v>
      </c>
      <c r="D86" s="94">
        <f>IF($B86&gt;20,IF(EIOPA_RFR!D47&lt;0%,EIOPA_RFR!D47,EIOPA_RFR!D47*(1+VLOOKUP($B$71,Int_Rate_Param,3,FALSE))),IF(EIOPA_RFR!D47&lt;0%,EIOPA_RFR!D47,EIOPA_RFR!D47*(1+VLOOKUP($B86,Int_Rate_Param,3,FALSE))))</f>
        <v>1.5243699999999999E-2</v>
      </c>
      <c r="E86" s="94">
        <f>IF($B86&gt;20,IF(EIOPA_RFR!E47&lt;0%,EIOPA_RFR!E47,EIOPA_RFR!E47*(1+VLOOKUP($B$71,Int_Rate_Param,3,FALSE))),IF(EIOPA_RFR!E47&lt;0%,EIOPA_RFR!E47,EIOPA_RFR!E47*(1+VLOOKUP($B86,Int_Rate_Param,3,FALSE))))</f>
        <v>1.5243699999999999E-2</v>
      </c>
      <c r="F86" s="94">
        <f>IF($B86&gt;20,IF(EIOPA_RFR!F47&lt;0%,EIOPA_RFR!F47,EIOPA_RFR!F47*(1+VLOOKUP($B$71,Int_Rate_Param,3,FALSE))),IF(EIOPA_RFR!F47&lt;0%,EIOPA_RFR!F47,EIOPA_RFR!F47*(1+VLOOKUP($B86,Int_Rate_Param,3,FALSE))))</f>
        <v>1.4988099999999999E-2</v>
      </c>
      <c r="G86" s="94">
        <f>IF($B86&gt;20,IF(EIOPA_RFR!G47&lt;0%,EIOPA_RFR!G47,EIOPA_RFR!G47*(1+VLOOKUP($B$71,Int_Rate_Param,3,FALSE))),IF(EIOPA_RFR!G47&lt;0%,EIOPA_RFR!G47,EIOPA_RFR!G47*(1+VLOOKUP($B86,Int_Rate_Param,3,FALSE))))</f>
        <v>2.5978899999999996E-2</v>
      </c>
      <c r="H86" s="94">
        <f>IF($B86&gt;20,IF(EIOPA_RFR!H47&lt;0%,EIOPA_RFR!H47,EIOPA_RFR!H47*(1+VLOOKUP($B$71,Int_Rate_Param,3,FALSE))),IF(EIOPA_RFR!H47&lt;0%,EIOPA_RFR!H47,EIOPA_RFR!H47*(1+VLOOKUP($B86,Int_Rate_Param,3,FALSE))))</f>
        <v>1.5243699999999999E-2</v>
      </c>
      <c r="I86" s="94">
        <f>IF($B86&gt;20,IF(EIOPA_RFR!I47&lt;0%,EIOPA_RFR!I47,EIOPA_RFR!I47*(1+VLOOKUP($B$71,Int_Rate_Param,3,FALSE))),IF(EIOPA_RFR!I47&lt;0%,EIOPA_RFR!I47,EIOPA_RFR!I47*(1+VLOOKUP($B86,Int_Rate_Param,3,FALSE))))</f>
        <v>1.8019799999999999E-2</v>
      </c>
      <c r="J86" s="94">
        <f>IF($B86&gt;20,IF(EIOPA_RFR!J47&lt;0%,EIOPA_RFR!J47,EIOPA_RFR!J47*(1+VLOOKUP($B$71,Int_Rate_Param,3,FALSE))),IF(EIOPA_RFR!J47&lt;0%,EIOPA_RFR!J47,EIOPA_RFR!J47*(1+VLOOKUP($B86,Int_Rate_Param,3,FALSE))))</f>
        <v>1.5193999999999999E-2</v>
      </c>
      <c r="K86" s="94">
        <f>IF($B86&gt;20,IF(EIOPA_RFR!K47&lt;0%,EIOPA_RFR!K47,EIOPA_RFR!K47*(1+VLOOKUP($B$71,Int_Rate_Param,3,FALSE))),IF(EIOPA_RFR!K47&lt;0%,EIOPA_RFR!K47,EIOPA_RFR!K47*(1+VLOOKUP($B86,Int_Rate_Param,3,FALSE))))</f>
        <v>1.5243699999999999E-2</v>
      </c>
      <c r="L86" s="94">
        <f>IF($B86&gt;20,IF(EIOPA_RFR!L47&lt;0%,EIOPA_RFR!L47,EIOPA_RFR!L47*(1+VLOOKUP($B$71,Int_Rate_Param,3,FALSE))),IF(EIOPA_RFR!L47&lt;0%,EIOPA_RFR!L47,EIOPA_RFR!L47*(1+VLOOKUP($B86,Int_Rate_Param,3,FALSE))))</f>
        <v>1.5243699999999999E-2</v>
      </c>
      <c r="M86" s="94">
        <f>IF($B86&gt;20,IF(EIOPA_RFR!M47&lt;0%,EIOPA_RFR!M47,EIOPA_RFR!M47*(1+VLOOKUP($B$71,Int_Rate_Param,3,FALSE))),IF(EIOPA_RFR!M47&lt;0%,EIOPA_RFR!M47,EIOPA_RFR!M47*(1+VLOOKUP($B86,Int_Rate_Param,3,FALSE))))</f>
        <v>1.5243699999999999E-2</v>
      </c>
      <c r="N86" s="94">
        <f>IF($B86&gt;20,IF(EIOPA_RFR!N47&lt;0%,EIOPA_RFR!N47,EIOPA_RFR!N47*(1+VLOOKUP($B$71,Int_Rate_Param,3,FALSE))),IF(EIOPA_RFR!N47&lt;0%,EIOPA_RFR!N47,EIOPA_RFR!N47*(1+VLOOKUP($B86,Int_Rate_Param,3,FALSE))))</f>
        <v>1.5243699999999999E-2</v>
      </c>
      <c r="O86" s="94">
        <f>IF($B86&gt;20,IF(EIOPA_RFR!O47&lt;0%,EIOPA_RFR!O47,EIOPA_RFR!O47*(1+VLOOKUP($B$71,Int_Rate_Param,3,FALSE))),IF(EIOPA_RFR!O47&lt;0%,EIOPA_RFR!O47,EIOPA_RFR!O47*(1+VLOOKUP($B86,Int_Rate_Param,3,FALSE))))</f>
        <v>1.5243699999999999E-2</v>
      </c>
      <c r="P86" s="94">
        <f>IF($B86&gt;20,IF(EIOPA_RFR!P47&lt;0%,EIOPA_RFR!P47,EIOPA_RFR!P47*(1+VLOOKUP($B$71,Int_Rate_Param,3,FALSE))),IF(EIOPA_RFR!P47&lt;0%,EIOPA_RFR!P47,EIOPA_RFR!P47*(1+VLOOKUP($B86,Int_Rate_Param,3,FALSE))))</f>
        <v>3.0856599999999998E-2</v>
      </c>
      <c r="Q86" s="94">
        <f>IF($B86&gt;20,IF(EIOPA_RFR!Q47&lt;0%,EIOPA_RFR!Q47,EIOPA_RFR!Q47*(1+VLOOKUP($B$71,Int_Rate_Param,3,FALSE))),IF(EIOPA_RFR!Q47&lt;0%,EIOPA_RFR!Q47,EIOPA_RFR!Q47*(1+VLOOKUP($B86,Int_Rate_Param,3,FALSE))))</f>
        <v>3.2006800000000002E-2</v>
      </c>
      <c r="R86" s="94">
        <f>IF($B86&gt;20,IF(EIOPA_RFR!R47&lt;0%,EIOPA_RFR!R47,EIOPA_RFR!R47*(1+VLOOKUP($B$71,Int_Rate_Param,3,FALSE))),IF(EIOPA_RFR!R47&lt;0%,EIOPA_RFR!R47,EIOPA_RFR!R47*(1+VLOOKUP($B86,Int_Rate_Param,3,FALSE))))</f>
        <v>1.5243699999999999E-2</v>
      </c>
      <c r="S86" s="94">
        <f>IF($B86&gt;20,IF(EIOPA_RFR!S47&lt;0%,EIOPA_RFR!S47,EIOPA_RFR!S47*(1+VLOOKUP($B$71,Int_Rate_Param,3,FALSE))),IF(EIOPA_RFR!S47&lt;0%,EIOPA_RFR!S47,EIOPA_RFR!S47*(1+VLOOKUP($B86,Int_Rate_Param,3,FALSE))))</f>
        <v>1.5243699999999999E-2</v>
      </c>
      <c r="T86" s="94">
        <f>IF($B86&gt;20,IF(EIOPA_RFR!T47&lt;0%,EIOPA_RFR!T47,EIOPA_RFR!T47*(1+VLOOKUP($B$71,Int_Rate_Param,3,FALSE))),IF(EIOPA_RFR!T47&lt;0%,EIOPA_RFR!T47,EIOPA_RFR!T47*(1+VLOOKUP($B86,Int_Rate_Param,3,FALSE))))</f>
        <v>1.5243699999999999E-2</v>
      </c>
      <c r="U86" s="94">
        <f>IF($B86&gt;20,IF(EIOPA_RFR!U47&lt;0%,EIOPA_RFR!U47,EIOPA_RFR!U47*(1+VLOOKUP($B$71,Int_Rate_Param,3,FALSE))),IF(EIOPA_RFR!U47&lt;0%,EIOPA_RFR!U47,EIOPA_RFR!U47*(1+VLOOKUP($B86,Int_Rate_Param,3,FALSE))))</f>
        <v>6.7663000000000003E-3</v>
      </c>
      <c r="V86" s="94">
        <f>IF($B86&gt;20,IF(EIOPA_RFR!V47&lt;0%,EIOPA_RFR!V47,EIOPA_RFR!V47*(1+VLOOKUP($B$71,Int_Rate_Param,3,FALSE))),IF(EIOPA_RFR!V47&lt;0%,EIOPA_RFR!V47,EIOPA_RFR!V47*(1+VLOOKUP($B86,Int_Rate_Param,3,FALSE))))</f>
        <v>1.5243699999999999E-2</v>
      </c>
      <c r="W86" s="94">
        <f>IF($B86&gt;20,IF(EIOPA_RFR!W47&lt;0%,EIOPA_RFR!W47,EIOPA_RFR!W47*(1+VLOOKUP($B$71,Int_Rate_Param,3,FALSE))),IF(EIOPA_RFR!W47&lt;0%,EIOPA_RFR!W47,EIOPA_RFR!W47*(1+VLOOKUP($B86,Int_Rate_Param,3,FALSE))))</f>
        <v>1.5243699999999999E-2</v>
      </c>
      <c r="X86" s="94">
        <f>IF($B86&gt;20,IF(EIOPA_RFR!X47&lt;0%,EIOPA_RFR!X47,EIOPA_RFR!X47*(1+VLOOKUP($B$71,Int_Rate_Param,3,FALSE))),IF(EIOPA_RFR!X47&lt;0%,EIOPA_RFR!X47,EIOPA_RFR!X47*(1+VLOOKUP($B86,Int_Rate_Param,3,FALSE))))</f>
        <v>1.5243699999999999E-2</v>
      </c>
      <c r="Y86" s="94">
        <f>IF($B86&gt;20,IF(EIOPA_RFR!Y47&lt;0%,EIOPA_RFR!Y47,EIOPA_RFR!Y47*(1+VLOOKUP($B$71,Int_Rate_Param,3,FALSE))),IF(EIOPA_RFR!Y47&lt;0%,EIOPA_RFR!Y47,EIOPA_RFR!Y47*(1+VLOOKUP($B86,Int_Rate_Param,3,FALSE))))</f>
        <v>1.5243699999999999E-2</v>
      </c>
      <c r="Z86" s="94">
        <f>IF($B86&gt;20,IF(EIOPA_RFR!Z47&lt;0%,EIOPA_RFR!Z47,EIOPA_RFR!Z47*(1+VLOOKUP($B$71,Int_Rate_Param,3,FALSE))),IF(EIOPA_RFR!Z47&lt;0%,EIOPA_RFR!Z47,EIOPA_RFR!Z47*(1+VLOOKUP($B86,Int_Rate_Param,3,FALSE))))</f>
        <v>2.2024199999999997E-2</v>
      </c>
      <c r="AA86" s="94">
        <f>IF($B86&gt;20,IF(EIOPA_RFR!AA47&lt;0%,EIOPA_RFR!AA47,EIOPA_RFR!AA47*(1+VLOOKUP($B$71,Int_Rate_Param,3,FALSE))),IF(EIOPA_RFR!AA47&lt;0%,EIOPA_RFR!AA47,EIOPA_RFR!AA47*(1+VLOOKUP($B86,Int_Rate_Param,3,FALSE))))</f>
        <v>2.8783399999999997E-2</v>
      </c>
      <c r="AB86" s="94">
        <f>IF($B86&gt;20,IF(EIOPA_RFR!AB47&lt;0%,EIOPA_RFR!AB47,EIOPA_RFR!AB47*(1+VLOOKUP($B$71,Int_Rate_Param,3,FALSE))),IF(EIOPA_RFR!AB47&lt;0%,EIOPA_RFR!AB47,EIOPA_RFR!AB47*(1+VLOOKUP($B86,Int_Rate_Param,3,FALSE))))</f>
        <v>1.5243699999999999E-2</v>
      </c>
      <c r="AC86" s="94">
        <f>IF($B86&gt;20,IF(EIOPA_RFR!AC47&lt;0%,EIOPA_RFR!AC47,EIOPA_RFR!AC47*(1+VLOOKUP($B$71,Int_Rate_Param,3,FALSE))),IF(EIOPA_RFR!AC47&lt;0%,EIOPA_RFR!AC47,EIOPA_RFR!AC47*(1+VLOOKUP($B86,Int_Rate_Param,3,FALSE))))</f>
        <v>3.1133499999999998E-2</v>
      </c>
      <c r="AD86" s="94">
        <f>IF($B86&gt;20,IF(EIOPA_RFR!AD47&lt;0%,EIOPA_RFR!AD47,EIOPA_RFR!AD47*(1+VLOOKUP($B$71,Int_Rate_Param,3,FALSE))),IF(EIOPA_RFR!AD47&lt;0%,EIOPA_RFR!AD47,EIOPA_RFR!AD47*(1+VLOOKUP($B86,Int_Rate_Param,3,FALSE))))</f>
        <v>4.15634E-2</v>
      </c>
      <c r="AE86" s="94">
        <f>IF($B86&gt;20,IF(EIOPA_RFR!AE47&lt;0%,EIOPA_RFR!AE47,EIOPA_RFR!AE47*(1+VLOOKUP($B$71,Int_Rate_Param,3,FALSE))),IF(EIOPA_RFR!AE47&lt;0%,EIOPA_RFR!AE47,EIOPA_RFR!AE47*(1+VLOOKUP($B86,Int_Rate_Param,3,FALSE))))</f>
        <v>1.5243699999999999E-2</v>
      </c>
      <c r="AF86" s="94">
        <f>IF($B86&gt;20,IF(EIOPA_RFR!AF47&lt;0%,EIOPA_RFR!AF47,EIOPA_RFR!AF47*(1+VLOOKUP($B$71,Int_Rate_Param,3,FALSE))),IF(EIOPA_RFR!AF47&lt;0%,EIOPA_RFR!AF47,EIOPA_RFR!AF47*(1+VLOOKUP($B86,Int_Rate_Param,3,FALSE))))</f>
        <v>1.5243699999999999E-2</v>
      </c>
      <c r="AG86" s="94">
        <f>IF($B86&gt;20,IF(EIOPA_RFR!AG47&lt;0%,EIOPA_RFR!AG47,EIOPA_RFR!AG47*(1+VLOOKUP($B$71,Int_Rate_Param,3,FALSE))),IF(EIOPA_RFR!AG47&lt;0%,EIOPA_RFR!AG47,EIOPA_RFR!AG47*(1+VLOOKUP($B86,Int_Rate_Param,3,FALSE))))</f>
        <v>1.5243699999999999E-2</v>
      </c>
      <c r="AH86" s="94">
        <f>IF($B86&gt;20,IF(EIOPA_RFR!AH47&lt;0%,EIOPA_RFR!AH47,EIOPA_RFR!AH47*(1+VLOOKUP($B$71,Int_Rate_Param,3,FALSE))),IF(EIOPA_RFR!AH47&lt;0%,EIOPA_RFR!AH47,EIOPA_RFR!AH47*(1+VLOOKUP($B86,Int_Rate_Param,3,FALSE))))</f>
        <v>2.2620599999999998E-2</v>
      </c>
      <c r="AI86" s="94">
        <f>IF($B86&gt;20,IF(EIOPA_RFR!AI47&lt;0%,EIOPA_RFR!AI47,EIOPA_RFR!AI47*(1+VLOOKUP($B$71,Int_Rate_Param,3,FALSE))),IF(EIOPA_RFR!AI47&lt;0%,EIOPA_RFR!AI47,EIOPA_RFR!AI47*(1+VLOOKUP($B86,Int_Rate_Param,3,FALSE))))</f>
        <v>6.7663000000000003E-3</v>
      </c>
      <c r="AJ86" s="94">
        <f>IF($B86&gt;20,IF(EIOPA_RFR!AJ47&lt;0%,EIOPA_RFR!AJ47,EIOPA_RFR!AJ47*(1+VLOOKUP($B$71,Int_Rate_Param,3,FALSE))),IF(EIOPA_RFR!AJ47&lt;0%,EIOPA_RFR!AJ47,EIOPA_RFR!AJ47*(1+VLOOKUP($B86,Int_Rate_Param,3,FALSE))))</f>
        <v>8.6619999999999996E-3</v>
      </c>
      <c r="AK86" s="94">
        <f>IF($B86&gt;20,IF(EIOPA_RFR!AK47&lt;0%,EIOPA_RFR!AK47,EIOPA_RFR!AK47*(1+VLOOKUP($B$71,Int_Rate_Param,3,FALSE))),IF(EIOPA_RFR!AK47&lt;0%,EIOPA_RFR!AK47,EIOPA_RFR!AK47*(1+VLOOKUP($B86,Int_Rate_Param,3,FALSE))))</f>
        <v>2.3820500000000001E-2</v>
      </c>
      <c r="AL86" s="94">
        <f>IF($B86&gt;20,IF(EIOPA_RFR!AL47&lt;0%,EIOPA_RFR!AL47,EIOPA_RFR!AL47*(1+VLOOKUP($B$71,Int_Rate_Param,3,FALSE))),IF(EIOPA_RFR!AL47&lt;0%,EIOPA_RFR!AL47,EIOPA_RFR!AL47*(1+VLOOKUP($B86,Int_Rate_Param,3,FALSE))))</f>
        <v>5.2774299999999989E-2</v>
      </c>
      <c r="AM86" s="94">
        <f>IF($B86&gt;20,IF(EIOPA_RFR!AM47&lt;0%,EIOPA_RFR!AM47,EIOPA_RFR!AM47*(1+VLOOKUP($B$71,Int_Rate_Param,3,FALSE))),IF(EIOPA_RFR!AM47&lt;0%,EIOPA_RFR!AM47,EIOPA_RFR!AM47*(1+VLOOKUP($B86,Int_Rate_Param,3,FALSE))))</f>
        <v>1.6677899999999999E-2</v>
      </c>
      <c r="AN86" s="94">
        <f>IF($B86&gt;20,IF(EIOPA_RFR!AN47&lt;0%,EIOPA_RFR!AN47,EIOPA_RFR!AN47*(1+VLOOKUP($B$71,Int_Rate_Param,3,FALSE))),IF(EIOPA_RFR!AN47&lt;0%,EIOPA_RFR!AN47,EIOPA_RFR!AN47*(1+VLOOKUP($B86,Int_Rate_Param,3,FALSE))))</f>
        <v>3.0224699999999997E-2</v>
      </c>
      <c r="AO86" s="94">
        <f>IF($B86&gt;20,IF(EIOPA_RFR!AO47&lt;0%,EIOPA_RFR!AO47,EIOPA_RFR!AO47*(1+VLOOKUP($B$71,Int_Rate_Param,3,FALSE))),IF(EIOPA_RFR!AO47&lt;0%,EIOPA_RFR!AO47,EIOPA_RFR!AO47*(1+VLOOKUP($B86,Int_Rate_Param,3,FALSE))))</f>
        <v>3.1232900000000001E-2</v>
      </c>
      <c r="AP86" s="94">
        <f>IF($B86&gt;20,IF(EIOPA_RFR!AP47&lt;0%,EIOPA_RFR!AP47,EIOPA_RFR!AP47*(1+VLOOKUP($B$71,Int_Rate_Param,3,FALSE))),IF(EIOPA_RFR!AP47&lt;0%,EIOPA_RFR!AP47,EIOPA_RFR!AP47*(1+VLOOKUP($B86,Int_Rate_Param,3,FALSE))))</f>
        <v>3.8808599999999999E-2</v>
      </c>
      <c r="AQ86" s="94">
        <f>IF($B86&gt;20,IF(EIOPA_RFR!AQ47&lt;0%,EIOPA_RFR!AQ47,EIOPA_RFR!AQ47*(1+VLOOKUP($B$71,Int_Rate_Param,3,FALSE))),IF(EIOPA_RFR!AQ47&lt;0%,EIOPA_RFR!AQ47,EIOPA_RFR!AQ47*(1+VLOOKUP($B86,Int_Rate_Param,3,FALSE))))</f>
        <v>2.2372100000000002E-2</v>
      </c>
      <c r="AR86" s="94">
        <f>IF($B86&gt;20,IF(EIOPA_RFR!AR47&lt;0%,EIOPA_RFR!AR47,EIOPA_RFR!AR47*(1+VLOOKUP($B$71,Int_Rate_Param,3,FALSE))),IF(EIOPA_RFR!AR47&lt;0%,EIOPA_RFR!AR47,EIOPA_RFR!AR47*(1+VLOOKUP($B86,Int_Rate_Param,3,FALSE))))</f>
        <v>4.4311099999999999E-2</v>
      </c>
      <c r="AS86" s="94">
        <f>IF($B86&gt;20,IF(EIOPA_RFR!AS47&lt;0%,EIOPA_RFR!AS47,EIOPA_RFR!AS47*(1+VLOOKUP($B$71,Int_Rate_Param,3,FALSE))),IF(EIOPA_RFR!AS47&lt;0%,EIOPA_RFR!AS47,EIOPA_RFR!AS47*(1+VLOOKUP($B86,Int_Rate_Param,3,FALSE))))</f>
        <v>6.5249000000000001E-3</v>
      </c>
      <c r="AT86" s="94">
        <f>IF($B86&gt;20,IF(EIOPA_RFR!AT47&lt;0%,EIOPA_RFR!AT47,EIOPA_RFR!AT47*(1+VLOOKUP($B$71,Int_Rate_Param,3,FALSE))),IF(EIOPA_RFR!AT47&lt;0%,EIOPA_RFR!AT47,EIOPA_RFR!AT47*(1+VLOOKUP($B86,Int_Rate_Param,3,FALSE))))</f>
        <v>3.0892099999999999E-2</v>
      </c>
      <c r="AU86" s="94">
        <f>IF($B86&gt;20,IF(EIOPA_RFR!AU47&lt;0%,EIOPA_RFR!AU47,EIOPA_RFR!AU47*(1+VLOOKUP($B$71,Int_Rate_Param,3,FALSE))),IF(EIOPA_RFR!AU47&lt;0%,EIOPA_RFR!AU47,EIOPA_RFR!AU47*(1+VLOOKUP($B86,Int_Rate_Param,3,FALSE))))</f>
        <v>5.1872599999999998E-2</v>
      </c>
      <c r="AV86" s="94">
        <f>IF($B86&gt;20,IF(EIOPA_RFR!AV47&lt;0%,EIOPA_RFR!AV47,EIOPA_RFR!AV47*(1+VLOOKUP($B$71,Int_Rate_Param,3,FALSE))),IF(EIOPA_RFR!AV47&lt;0%,EIOPA_RFR!AV47,EIOPA_RFR!AV47*(1+VLOOKUP($B86,Int_Rate_Param,3,FALSE))))</f>
        <v>2.9663799999999997E-2</v>
      </c>
      <c r="AW86" s="94">
        <f>IF($B86&gt;20,IF(EIOPA_RFR!AW47&lt;0%,EIOPA_RFR!AW47,EIOPA_RFR!AW47*(1+VLOOKUP($B$71,Int_Rate_Param,3,FALSE))),IF(EIOPA_RFR!AW47&lt;0%,EIOPA_RFR!AW47,EIOPA_RFR!AW47*(1+VLOOKUP($B86,Int_Rate_Param,3,FALSE))))</f>
        <v>2.2187499999999999E-2</v>
      </c>
      <c r="AX86" s="94">
        <f>IF($B86&gt;20,IF(EIOPA_RFR!AX47&lt;0%,EIOPA_RFR!AX47,EIOPA_RFR!AX47*(1+VLOOKUP($B$71,Int_Rate_Param,3,FALSE))),IF(EIOPA_RFR!AX47&lt;0%,EIOPA_RFR!AX47,EIOPA_RFR!AX47*(1+VLOOKUP($B86,Int_Rate_Param,3,FALSE))))</f>
        <v>5.1652499999999997E-2</v>
      </c>
      <c r="AY86" s="94">
        <f>IF($B86&gt;20,IF(EIOPA_RFR!AY47&lt;0%,EIOPA_RFR!AY47,EIOPA_RFR!AY47*(1+VLOOKUP($B$71,Int_Rate_Param,3,FALSE))),IF(EIOPA_RFR!AY47&lt;0%,EIOPA_RFR!AY47,EIOPA_RFR!AY47*(1+VLOOKUP($B86,Int_Rate_Param,3,FALSE))))</f>
        <v>1.7742899999999999E-2</v>
      </c>
      <c r="AZ86" s="94">
        <f>IF($B86&gt;20,IF(EIOPA_RFR!AZ47&lt;0%,EIOPA_RFR!AZ47,EIOPA_RFR!AZ47*(1+VLOOKUP($B$71,Int_Rate_Param,3,FALSE))),IF(EIOPA_RFR!AZ47&lt;0%,EIOPA_RFR!AZ47,EIOPA_RFR!AZ47*(1+VLOOKUP($B86,Int_Rate_Param,3,FALSE))))</f>
        <v>1.9468199999999998E-2</v>
      </c>
      <c r="BA86" s="94">
        <f>IF($B86&gt;20,IF(EIOPA_RFR!BA47&lt;0%,EIOPA_RFR!BA47,EIOPA_RFR!BA47*(1+VLOOKUP($B$71,Int_Rate_Param,3,FALSE))),IF(EIOPA_RFR!BA47&lt;0%,EIOPA_RFR!BA47,EIOPA_RFR!BA47*(1+VLOOKUP($B86,Int_Rate_Param,3,FALSE))))</f>
        <v>2.4210999999999996E-2</v>
      </c>
      <c r="BB86" s="94">
        <f>IF($B86&gt;20,IF(EIOPA_RFR!BB47&lt;0%,EIOPA_RFR!BB47,EIOPA_RFR!BB47*(1+VLOOKUP($B$71,Int_Rate_Param,3,FALSE))),IF(EIOPA_RFR!BB47&lt;0%,EIOPA_RFR!BB47,EIOPA_RFR!BB47*(1+VLOOKUP($B86,Int_Rate_Param,3,FALSE))))</f>
        <v>5.4520899999999997E-2</v>
      </c>
      <c r="BC86" s="94">
        <f>IF($B86&gt;20,IF(EIOPA_RFR!BC47&lt;0%,EIOPA_RFR!BC47,EIOPA_RFR!BC47*(1+VLOOKUP($B$71,Int_Rate_Param,3,FALSE))),IF(EIOPA_RFR!BC47&lt;0%,EIOPA_RFR!BC47,EIOPA_RFR!BC47*(1+VLOOKUP($B86,Int_Rate_Param,3,FALSE))))</f>
        <v>1.80127E-2</v>
      </c>
    </row>
    <row r="87" spans="1:55" x14ac:dyDescent="0.25">
      <c r="A87">
        <f t="shared" si="1"/>
        <v>38</v>
      </c>
      <c r="B87" s="95">
        <v>36</v>
      </c>
      <c r="C87" s="94">
        <f>IF($B87&gt;20,IF(EIOPA_RFR!C48&lt;0%,EIOPA_RFR!C48,EIOPA_RFR!C48*(1+VLOOKUP($B$71,Int_Rate_Param,3,FALSE))),IF(EIOPA_RFR!C48&lt;0%,EIOPA_RFR!C48,EIOPA_RFR!C48*(1+VLOOKUP($B87,Int_Rate_Param,3,FALSE))))</f>
        <v>1.5598699999999998E-2</v>
      </c>
      <c r="D87" s="94">
        <f>IF($B87&gt;20,IF(EIOPA_RFR!D48&lt;0%,EIOPA_RFR!D48,EIOPA_RFR!D48*(1+VLOOKUP($B$71,Int_Rate_Param,3,FALSE))),IF(EIOPA_RFR!D48&lt;0%,EIOPA_RFR!D48,EIOPA_RFR!D48*(1+VLOOKUP($B87,Int_Rate_Param,3,FALSE))))</f>
        <v>1.5598699999999998E-2</v>
      </c>
      <c r="E87" s="94">
        <f>IF($B87&gt;20,IF(EIOPA_RFR!E48&lt;0%,EIOPA_RFR!E48,EIOPA_RFR!E48*(1+VLOOKUP($B$71,Int_Rate_Param,3,FALSE))),IF(EIOPA_RFR!E48&lt;0%,EIOPA_RFR!E48,EIOPA_RFR!E48*(1+VLOOKUP($B87,Int_Rate_Param,3,FALSE))))</f>
        <v>1.5598699999999998E-2</v>
      </c>
      <c r="F87" s="94">
        <f>IF($B87&gt;20,IF(EIOPA_RFR!F48&lt;0%,EIOPA_RFR!F48,EIOPA_RFR!F48*(1+VLOOKUP($B$71,Int_Rate_Param,3,FALSE))),IF(EIOPA_RFR!F48&lt;0%,EIOPA_RFR!F48,EIOPA_RFR!F48*(1+VLOOKUP($B87,Int_Rate_Param,3,FALSE))))</f>
        <v>1.53431E-2</v>
      </c>
      <c r="G87" s="94">
        <f>IF($B87&gt;20,IF(EIOPA_RFR!G48&lt;0%,EIOPA_RFR!G48,EIOPA_RFR!G48*(1+VLOOKUP($B$71,Int_Rate_Param,3,FALSE))),IF(EIOPA_RFR!G48&lt;0%,EIOPA_RFR!G48,EIOPA_RFR!G48*(1+VLOOKUP($B87,Int_Rate_Param,3,FALSE))))</f>
        <v>2.6071199999999999E-2</v>
      </c>
      <c r="H87" s="94">
        <f>IF($B87&gt;20,IF(EIOPA_RFR!H48&lt;0%,EIOPA_RFR!H48,EIOPA_RFR!H48*(1+VLOOKUP($B$71,Int_Rate_Param,3,FALSE))),IF(EIOPA_RFR!H48&lt;0%,EIOPA_RFR!H48,EIOPA_RFR!H48*(1+VLOOKUP($B87,Int_Rate_Param,3,FALSE))))</f>
        <v>1.5598699999999998E-2</v>
      </c>
      <c r="I87" s="94">
        <f>IF($B87&gt;20,IF(EIOPA_RFR!I48&lt;0%,EIOPA_RFR!I48,EIOPA_RFR!I48*(1+VLOOKUP($B$71,Int_Rate_Param,3,FALSE))),IF(EIOPA_RFR!I48&lt;0%,EIOPA_RFR!I48,EIOPA_RFR!I48*(1+VLOOKUP($B87,Int_Rate_Param,3,FALSE))))</f>
        <v>1.8310899999999998E-2</v>
      </c>
      <c r="J87" s="94">
        <f>IF($B87&gt;20,IF(EIOPA_RFR!J48&lt;0%,EIOPA_RFR!J48,EIOPA_RFR!J48*(1+VLOOKUP($B$71,Int_Rate_Param,3,FALSE))),IF(EIOPA_RFR!J48&lt;0%,EIOPA_RFR!J48,EIOPA_RFR!J48*(1+VLOOKUP($B87,Int_Rate_Param,3,FALSE))))</f>
        <v>1.5548999999999999E-2</v>
      </c>
      <c r="K87" s="94">
        <f>IF($B87&gt;20,IF(EIOPA_RFR!K48&lt;0%,EIOPA_RFR!K48,EIOPA_RFR!K48*(1+VLOOKUP($B$71,Int_Rate_Param,3,FALSE))),IF(EIOPA_RFR!K48&lt;0%,EIOPA_RFR!K48,EIOPA_RFR!K48*(1+VLOOKUP($B87,Int_Rate_Param,3,FALSE))))</f>
        <v>1.5598699999999998E-2</v>
      </c>
      <c r="L87" s="94">
        <f>IF($B87&gt;20,IF(EIOPA_RFR!L48&lt;0%,EIOPA_RFR!L48,EIOPA_RFR!L48*(1+VLOOKUP($B$71,Int_Rate_Param,3,FALSE))),IF(EIOPA_RFR!L48&lt;0%,EIOPA_RFR!L48,EIOPA_RFR!L48*(1+VLOOKUP($B87,Int_Rate_Param,3,FALSE))))</f>
        <v>1.5598699999999998E-2</v>
      </c>
      <c r="M87" s="94">
        <f>IF($B87&gt;20,IF(EIOPA_RFR!M48&lt;0%,EIOPA_RFR!M48,EIOPA_RFR!M48*(1+VLOOKUP($B$71,Int_Rate_Param,3,FALSE))),IF(EIOPA_RFR!M48&lt;0%,EIOPA_RFR!M48,EIOPA_RFR!M48*(1+VLOOKUP($B87,Int_Rate_Param,3,FALSE))))</f>
        <v>1.5598699999999998E-2</v>
      </c>
      <c r="N87" s="94">
        <f>IF($B87&gt;20,IF(EIOPA_RFR!N48&lt;0%,EIOPA_RFR!N48,EIOPA_RFR!N48*(1+VLOOKUP($B$71,Int_Rate_Param,3,FALSE))),IF(EIOPA_RFR!N48&lt;0%,EIOPA_RFR!N48,EIOPA_RFR!N48*(1+VLOOKUP($B87,Int_Rate_Param,3,FALSE))))</f>
        <v>1.5598699999999998E-2</v>
      </c>
      <c r="O87" s="94">
        <f>IF($B87&gt;20,IF(EIOPA_RFR!O48&lt;0%,EIOPA_RFR!O48,EIOPA_RFR!O48*(1+VLOOKUP($B$71,Int_Rate_Param,3,FALSE))),IF(EIOPA_RFR!O48&lt;0%,EIOPA_RFR!O48,EIOPA_RFR!O48*(1+VLOOKUP($B87,Int_Rate_Param,3,FALSE))))</f>
        <v>1.5598699999999998E-2</v>
      </c>
      <c r="P87" s="94">
        <f>IF($B87&gt;20,IF(EIOPA_RFR!P48&lt;0%,EIOPA_RFR!P48,EIOPA_RFR!P48*(1+VLOOKUP($B$71,Int_Rate_Param,3,FALSE))),IF(EIOPA_RFR!P48&lt;0%,EIOPA_RFR!P48,EIOPA_RFR!P48*(1+VLOOKUP($B87,Int_Rate_Param,3,FALSE))))</f>
        <v>3.0856599999999998E-2</v>
      </c>
      <c r="Q87" s="94">
        <f>IF($B87&gt;20,IF(EIOPA_RFR!Q48&lt;0%,EIOPA_RFR!Q48,EIOPA_RFR!Q48*(1+VLOOKUP($B$71,Int_Rate_Param,3,FALSE))),IF(EIOPA_RFR!Q48&lt;0%,EIOPA_RFR!Q48,EIOPA_RFR!Q48*(1+VLOOKUP($B87,Int_Rate_Param,3,FALSE))))</f>
        <v>3.1964199999999998E-2</v>
      </c>
      <c r="R87" s="94">
        <f>IF($B87&gt;20,IF(EIOPA_RFR!R48&lt;0%,EIOPA_RFR!R48,EIOPA_RFR!R48*(1+VLOOKUP($B$71,Int_Rate_Param,3,FALSE))),IF(EIOPA_RFR!R48&lt;0%,EIOPA_RFR!R48,EIOPA_RFR!R48*(1+VLOOKUP($B87,Int_Rate_Param,3,FALSE))))</f>
        <v>1.5598699999999998E-2</v>
      </c>
      <c r="S87" s="94">
        <f>IF($B87&gt;20,IF(EIOPA_RFR!S48&lt;0%,EIOPA_RFR!S48,EIOPA_RFR!S48*(1+VLOOKUP($B$71,Int_Rate_Param,3,FALSE))),IF(EIOPA_RFR!S48&lt;0%,EIOPA_RFR!S48,EIOPA_RFR!S48*(1+VLOOKUP($B87,Int_Rate_Param,3,FALSE))))</f>
        <v>1.5598699999999998E-2</v>
      </c>
      <c r="T87" s="94">
        <f>IF($B87&gt;20,IF(EIOPA_RFR!T48&lt;0%,EIOPA_RFR!T48,EIOPA_RFR!T48*(1+VLOOKUP($B$71,Int_Rate_Param,3,FALSE))),IF(EIOPA_RFR!T48&lt;0%,EIOPA_RFR!T48,EIOPA_RFR!T48*(1+VLOOKUP($B87,Int_Rate_Param,3,FALSE))))</f>
        <v>1.5598699999999998E-2</v>
      </c>
      <c r="U87" s="94">
        <f>IF($B87&gt;20,IF(EIOPA_RFR!U48&lt;0%,EIOPA_RFR!U48,EIOPA_RFR!U48*(1+VLOOKUP($B$71,Int_Rate_Param,3,FALSE))),IF(EIOPA_RFR!U48&lt;0%,EIOPA_RFR!U48,EIOPA_RFR!U48*(1+VLOOKUP($B87,Int_Rate_Param,3,FALSE))))</f>
        <v>7.1141999999999993E-3</v>
      </c>
      <c r="V87" s="94">
        <f>IF($B87&gt;20,IF(EIOPA_RFR!V48&lt;0%,EIOPA_RFR!V48,EIOPA_RFR!V48*(1+VLOOKUP($B$71,Int_Rate_Param,3,FALSE))),IF(EIOPA_RFR!V48&lt;0%,EIOPA_RFR!V48,EIOPA_RFR!V48*(1+VLOOKUP($B87,Int_Rate_Param,3,FALSE))))</f>
        <v>1.5598699999999998E-2</v>
      </c>
      <c r="W87" s="94">
        <f>IF($B87&gt;20,IF(EIOPA_RFR!W48&lt;0%,EIOPA_RFR!W48,EIOPA_RFR!W48*(1+VLOOKUP($B$71,Int_Rate_Param,3,FALSE))),IF(EIOPA_RFR!W48&lt;0%,EIOPA_RFR!W48,EIOPA_RFR!W48*(1+VLOOKUP($B87,Int_Rate_Param,3,FALSE))))</f>
        <v>1.5598699999999998E-2</v>
      </c>
      <c r="X87" s="94">
        <f>IF($B87&gt;20,IF(EIOPA_RFR!X48&lt;0%,EIOPA_RFR!X48,EIOPA_RFR!X48*(1+VLOOKUP($B$71,Int_Rate_Param,3,FALSE))),IF(EIOPA_RFR!X48&lt;0%,EIOPA_RFR!X48,EIOPA_RFR!X48*(1+VLOOKUP($B87,Int_Rate_Param,3,FALSE))))</f>
        <v>1.5598699999999998E-2</v>
      </c>
      <c r="Y87" s="94">
        <f>IF($B87&gt;20,IF(EIOPA_RFR!Y48&lt;0%,EIOPA_RFR!Y48,EIOPA_RFR!Y48*(1+VLOOKUP($B$71,Int_Rate_Param,3,FALSE))),IF(EIOPA_RFR!Y48&lt;0%,EIOPA_RFR!Y48,EIOPA_RFR!Y48*(1+VLOOKUP($B87,Int_Rate_Param,3,FALSE))))</f>
        <v>1.5598699999999998E-2</v>
      </c>
      <c r="Z87" s="94">
        <f>IF($B87&gt;20,IF(EIOPA_RFR!Z48&lt;0%,EIOPA_RFR!Z48,EIOPA_RFR!Z48*(1+VLOOKUP($B$71,Int_Rate_Param,3,FALSE))),IF(EIOPA_RFR!Z48&lt;0%,EIOPA_RFR!Z48,EIOPA_RFR!Z48*(1+VLOOKUP($B87,Int_Rate_Param,3,FALSE))))</f>
        <v>2.2215899999999997E-2</v>
      </c>
      <c r="AA87" s="94">
        <f>IF($B87&gt;20,IF(EIOPA_RFR!AA48&lt;0%,EIOPA_RFR!AA48,EIOPA_RFR!AA48*(1+VLOOKUP($B$71,Int_Rate_Param,3,FALSE))),IF(EIOPA_RFR!AA48&lt;0%,EIOPA_RFR!AA48,EIOPA_RFR!AA48*(1+VLOOKUP($B87,Int_Rate_Param,3,FALSE))))</f>
        <v>2.8825999999999997E-2</v>
      </c>
      <c r="AB87" s="94">
        <f>IF($B87&gt;20,IF(EIOPA_RFR!AB48&lt;0%,EIOPA_RFR!AB48,EIOPA_RFR!AB48*(1+VLOOKUP($B$71,Int_Rate_Param,3,FALSE))),IF(EIOPA_RFR!AB48&lt;0%,EIOPA_RFR!AB48,EIOPA_RFR!AB48*(1+VLOOKUP($B87,Int_Rate_Param,3,FALSE))))</f>
        <v>1.5598699999999998E-2</v>
      </c>
      <c r="AC87" s="94">
        <f>IF($B87&gt;20,IF(EIOPA_RFR!AC48&lt;0%,EIOPA_RFR!AC48,EIOPA_RFR!AC48*(1+VLOOKUP($B$71,Int_Rate_Param,3,FALSE))),IF(EIOPA_RFR!AC48&lt;0%,EIOPA_RFR!AC48,EIOPA_RFR!AC48*(1+VLOOKUP($B87,Int_Rate_Param,3,FALSE))))</f>
        <v>3.1119299999999999E-2</v>
      </c>
      <c r="AD87" s="94">
        <f>IF($B87&gt;20,IF(EIOPA_RFR!AD48&lt;0%,EIOPA_RFR!AD48,EIOPA_RFR!AD48*(1+VLOOKUP($B$71,Int_Rate_Param,3,FALSE))),IF(EIOPA_RFR!AD48&lt;0%,EIOPA_RFR!AD48,EIOPA_RFR!AD48*(1+VLOOKUP($B87,Int_Rate_Param,3,FALSE))))</f>
        <v>4.1272299999999998E-2</v>
      </c>
      <c r="AE87" s="94">
        <f>IF($B87&gt;20,IF(EIOPA_RFR!AE48&lt;0%,EIOPA_RFR!AE48,EIOPA_RFR!AE48*(1+VLOOKUP($B$71,Int_Rate_Param,3,FALSE))),IF(EIOPA_RFR!AE48&lt;0%,EIOPA_RFR!AE48,EIOPA_RFR!AE48*(1+VLOOKUP($B87,Int_Rate_Param,3,FALSE))))</f>
        <v>1.5598699999999998E-2</v>
      </c>
      <c r="AF87" s="94">
        <f>IF($B87&gt;20,IF(EIOPA_RFR!AF48&lt;0%,EIOPA_RFR!AF48,EIOPA_RFR!AF48*(1+VLOOKUP($B$71,Int_Rate_Param,3,FALSE))),IF(EIOPA_RFR!AF48&lt;0%,EIOPA_RFR!AF48,EIOPA_RFR!AF48*(1+VLOOKUP($B87,Int_Rate_Param,3,FALSE))))</f>
        <v>1.5598699999999998E-2</v>
      </c>
      <c r="AG87" s="94">
        <f>IF($B87&gt;20,IF(EIOPA_RFR!AG48&lt;0%,EIOPA_RFR!AG48,EIOPA_RFR!AG48*(1+VLOOKUP($B$71,Int_Rate_Param,3,FALSE))),IF(EIOPA_RFR!AG48&lt;0%,EIOPA_RFR!AG48,EIOPA_RFR!AG48*(1+VLOOKUP($B87,Int_Rate_Param,3,FALSE))))</f>
        <v>1.5598699999999998E-2</v>
      </c>
      <c r="AH87" s="94">
        <f>IF($B87&gt;20,IF(EIOPA_RFR!AH48&lt;0%,EIOPA_RFR!AH48,EIOPA_RFR!AH48*(1+VLOOKUP($B$71,Int_Rate_Param,3,FALSE))),IF(EIOPA_RFR!AH48&lt;0%,EIOPA_RFR!AH48,EIOPA_RFR!AH48*(1+VLOOKUP($B87,Int_Rate_Param,3,FALSE))))</f>
        <v>2.28194E-2</v>
      </c>
      <c r="AI87" s="94">
        <f>IF($B87&gt;20,IF(EIOPA_RFR!AI48&lt;0%,EIOPA_RFR!AI48,EIOPA_RFR!AI48*(1+VLOOKUP($B$71,Int_Rate_Param,3,FALSE))),IF(EIOPA_RFR!AI48&lt;0%,EIOPA_RFR!AI48,EIOPA_RFR!AI48*(1+VLOOKUP($B87,Int_Rate_Param,3,FALSE))))</f>
        <v>7.1141999999999993E-3</v>
      </c>
      <c r="AJ87" s="94">
        <f>IF($B87&gt;20,IF(EIOPA_RFR!AJ48&lt;0%,EIOPA_RFR!AJ48,EIOPA_RFR!AJ48*(1+VLOOKUP($B$71,Int_Rate_Param,3,FALSE))),IF(EIOPA_RFR!AJ48&lt;0%,EIOPA_RFR!AJ48,EIOPA_RFR!AJ48*(1+VLOOKUP($B87,Int_Rate_Param,3,FALSE))))</f>
        <v>8.5626000000000001E-3</v>
      </c>
      <c r="AK87" s="94">
        <f>IF($B87&gt;20,IF(EIOPA_RFR!AK48&lt;0%,EIOPA_RFR!AK48,EIOPA_RFR!AK48*(1+VLOOKUP($B$71,Int_Rate_Param,3,FALSE))),IF(EIOPA_RFR!AK48&lt;0%,EIOPA_RFR!AK48,EIOPA_RFR!AK48*(1+VLOOKUP($B87,Int_Rate_Param,3,FALSE))))</f>
        <v>2.38915E-2</v>
      </c>
      <c r="AL87" s="94">
        <f>IF($B87&gt;20,IF(EIOPA_RFR!AL48&lt;0%,EIOPA_RFR!AL48,EIOPA_RFR!AL48*(1+VLOOKUP($B$71,Int_Rate_Param,3,FALSE))),IF(EIOPA_RFR!AL48&lt;0%,EIOPA_RFR!AL48,EIOPA_RFR!AL48*(1+VLOOKUP($B87,Int_Rate_Param,3,FALSE))))</f>
        <v>5.2376699999999998E-2</v>
      </c>
      <c r="AM87" s="94">
        <f>IF($B87&gt;20,IF(EIOPA_RFR!AM48&lt;0%,EIOPA_RFR!AM48,EIOPA_RFR!AM48*(1+VLOOKUP($B$71,Int_Rate_Param,3,FALSE))),IF(EIOPA_RFR!AM48&lt;0%,EIOPA_RFR!AM48,EIOPA_RFR!AM48*(1+VLOOKUP($B87,Int_Rate_Param,3,FALSE))))</f>
        <v>1.6898E-2</v>
      </c>
      <c r="AN87" s="94">
        <f>IF($B87&gt;20,IF(EIOPA_RFR!AN48&lt;0%,EIOPA_RFR!AN48,EIOPA_RFR!AN48*(1+VLOOKUP($B$71,Int_Rate_Param,3,FALSE))),IF(EIOPA_RFR!AN48&lt;0%,EIOPA_RFR!AN48,EIOPA_RFR!AN48*(1+VLOOKUP($B87,Int_Rate_Param,3,FALSE))))</f>
        <v>3.0224699999999997E-2</v>
      </c>
      <c r="AO87" s="94">
        <f>IF($B87&gt;20,IF(EIOPA_RFR!AO48&lt;0%,EIOPA_RFR!AO48,EIOPA_RFR!AO48*(1+VLOOKUP($B$71,Int_Rate_Param,3,FALSE))),IF(EIOPA_RFR!AO48&lt;0%,EIOPA_RFR!AO48,EIOPA_RFR!AO48*(1+VLOOKUP($B87,Int_Rate_Param,3,FALSE))))</f>
        <v>3.1211599999999999E-2</v>
      </c>
      <c r="AP87" s="94">
        <f>IF($B87&gt;20,IF(EIOPA_RFR!AP48&lt;0%,EIOPA_RFR!AP48,EIOPA_RFR!AP48*(1+VLOOKUP($B$71,Int_Rate_Param,3,FALSE))),IF(EIOPA_RFR!AP48&lt;0%,EIOPA_RFR!AP48,EIOPA_RFR!AP48*(1+VLOOKUP($B87,Int_Rate_Param,3,FALSE))))</f>
        <v>3.8595599999999994E-2</v>
      </c>
      <c r="AQ87" s="94">
        <f>IF($B87&gt;20,IF(EIOPA_RFR!AQ48&lt;0%,EIOPA_RFR!AQ48,EIOPA_RFR!AQ48*(1+VLOOKUP($B$71,Int_Rate_Param,3,FALSE))),IF(EIOPA_RFR!AQ48&lt;0%,EIOPA_RFR!AQ48,EIOPA_RFR!AQ48*(1+VLOOKUP($B87,Int_Rate_Param,3,FALSE))))</f>
        <v>2.2549599999999996E-2</v>
      </c>
      <c r="AR87" s="94">
        <f>IF($B87&gt;20,IF(EIOPA_RFR!AR48&lt;0%,EIOPA_RFR!AR48,EIOPA_RFR!AR48*(1+VLOOKUP($B$71,Int_Rate_Param,3,FALSE))),IF(EIOPA_RFR!AR48&lt;0%,EIOPA_RFR!AR48,EIOPA_RFR!AR48*(1+VLOOKUP($B87,Int_Rate_Param,3,FALSE))))</f>
        <v>4.4140699999999998E-2</v>
      </c>
      <c r="AS87" s="94">
        <f>IF($B87&gt;20,IF(EIOPA_RFR!AS48&lt;0%,EIOPA_RFR!AS48,EIOPA_RFR!AS48*(1+VLOOKUP($B$71,Int_Rate_Param,3,FALSE))),IF(EIOPA_RFR!AS48&lt;0%,EIOPA_RFR!AS48,EIOPA_RFR!AS48*(1+VLOOKUP($B87,Int_Rate_Param,3,FALSE))))</f>
        <v>6.8088999999999997E-3</v>
      </c>
      <c r="AT87" s="94">
        <f>IF($B87&gt;20,IF(EIOPA_RFR!AT48&lt;0%,EIOPA_RFR!AT48,EIOPA_RFR!AT48*(1+VLOOKUP($B$71,Int_Rate_Param,3,FALSE))),IF(EIOPA_RFR!AT48&lt;0%,EIOPA_RFR!AT48,EIOPA_RFR!AT48*(1+VLOOKUP($B87,Int_Rate_Param,3,FALSE))))</f>
        <v>3.08779E-2</v>
      </c>
      <c r="AU87" s="94">
        <f>IF($B87&gt;20,IF(EIOPA_RFR!AU48&lt;0%,EIOPA_RFR!AU48,EIOPA_RFR!AU48*(1+VLOOKUP($B$71,Int_Rate_Param,3,FALSE))),IF(EIOPA_RFR!AU48&lt;0%,EIOPA_RFR!AU48,EIOPA_RFR!AU48*(1+VLOOKUP($B87,Int_Rate_Param,3,FALSE))))</f>
        <v>5.1524699999999993E-2</v>
      </c>
      <c r="AV87" s="94">
        <f>IF($B87&gt;20,IF(EIOPA_RFR!AV48&lt;0%,EIOPA_RFR!AV48,EIOPA_RFR!AV48*(1+VLOOKUP($B$71,Int_Rate_Param,3,FALSE))),IF(EIOPA_RFR!AV48&lt;0%,EIOPA_RFR!AV48,EIOPA_RFR!AV48*(1+VLOOKUP($B87,Int_Rate_Param,3,FALSE))))</f>
        <v>2.9692200000000002E-2</v>
      </c>
      <c r="AW87" s="94">
        <f>IF($B87&gt;20,IF(EIOPA_RFR!AW48&lt;0%,EIOPA_RFR!AW48,EIOPA_RFR!AW48*(1+VLOOKUP($B$71,Int_Rate_Param,3,FALSE))),IF(EIOPA_RFR!AW48&lt;0%,EIOPA_RFR!AW48,EIOPA_RFR!AW48*(1+VLOOKUP($B87,Int_Rate_Param,3,FALSE))))</f>
        <v>2.2364999999999999E-2</v>
      </c>
      <c r="AX87" s="94">
        <f>IF($B87&gt;20,IF(EIOPA_RFR!AX48&lt;0%,EIOPA_RFR!AX48,EIOPA_RFR!AX48*(1+VLOOKUP($B$71,Int_Rate_Param,3,FALSE))),IF(EIOPA_RFR!AX48&lt;0%,EIOPA_RFR!AX48,EIOPA_RFR!AX48*(1+VLOOKUP($B87,Int_Rate_Param,3,FALSE))))</f>
        <v>5.12904E-2</v>
      </c>
      <c r="AY87" s="94">
        <f>IF($B87&gt;20,IF(EIOPA_RFR!AY48&lt;0%,EIOPA_RFR!AY48,EIOPA_RFR!AY48*(1+VLOOKUP($B$71,Int_Rate_Param,3,FALSE))),IF(EIOPA_RFR!AY48&lt;0%,EIOPA_RFR!AY48,EIOPA_RFR!AY48*(1+VLOOKUP($B87,Int_Rate_Param,3,FALSE))))</f>
        <v>1.8033999999999998E-2</v>
      </c>
      <c r="AZ87" s="94">
        <f>IF($B87&gt;20,IF(EIOPA_RFR!AZ48&lt;0%,EIOPA_RFR!AZ48,EIOPA_RFR!AZ48*(1+VLOOKUP($B$71,Int_Rate_Param,3,FALSE))),IF(EIOPA_RFR!AZ48&lt;0%,EIOPA_RFR!AZ48,EIOPA_RFR!AZ48*(1+VLOOKUP($B87,Int_Rate_Param,3,FALSE))))</f>
        <v>1.9730899999999999E-2</v>
      </c>
      <c r="BA87" s="94">
        <f>IF($B87&gt;20,IF(EIOPA_RFR!BA48&lt;0%,EIOPA_RFR!BA48,EIOPA_RFR!BA48*(1+VLOOKUP($B$71,Int_Rate_Param,3,FALSE))),IF(EIOPA_RFR!BA48&lt;0%,EIOPA_RFR!BA48,EIOPA_RFR!BA48*(1+VLOOKUP($B87,Int_Rate_Param,3,FALSE))))</f>
        <v>2.43459E-2</v>
      </c>
      <c r="BB87" s="94">
        <f>IF($B87&gt;20,IF(EIOPA_RFR!BB48&lt;0%,EIOPA_RFR!BB48,EIOPA_RFR!BB48*(1+VLOOKUP($B$71,Int_Rate_Param,3,FALSE))),IF(EIOPA_RFR!BB48&lt;0%,EIOPA_RFR!BB48,EIOPA_RFR!BB48*(1+VLOOKUP($B87,Int_Rate_Param,3,FALSE))))</f>
        <v>5.4073599999999999E-2</v>
      </c>
      <c r="BC87" s="94">
        <f>IF($B87&gt;20,IF(EIOPA_RFR!BC48&lt;0%,EIOPA_RFR!BC48,EIOPA_RFR!BC48*(1+VLOOKUP($B$71,Int_Rate_Param,3,FALSE))),IF(EIOPA_RFR!BC48&lt;0%,EIOPA_RFR!BC48,EIOPA_RFR!BC48*(1+VLOOKUP($B87,Int_Rate_Param,3,FALSE))))</f>
        <v>1.7991400000000001E-2</v>
      </c>
    </row>
    <row r="88" spans="1:55" x14ac:dyDescent="0.25">
      <c r="A88">
        <f t="shared" si="1"/>
        <v>39</v>
      </c>
      <c r="B88" s="95">
        <v>37</v>
      </c>
      <c r="C88" s="94">
        <f>IF($B88&gt;20,IF(EIOPA_RFR!C49&lt;0%,EIOPA_RFR!C49,EIOPA_RFR!C49*(1+VLOOKUP($B$71,Int_Rate_Param,3,FALSE))),IF(EIOPA_RFR!C49&lt;0%,EIOPA_RFR!C49,EIOPA_RFR!C49*(1+VLOOKUP($B88,Int_Rate_Param,3,FALSE))))</f>
        <v>1.5932399999999999E-2</v>
      </c>
      <c r="D88" s="94">
        <f>IF($B88&gt;20,IF(EIOPA_RFR!D49&lt;0%,EIOPA_RFR!D49,EIOPA_RFR!D49*(1+VLOOKUP($B$71,Int_Rate_Param,3,FALSE))),IF(EIOPA_RFR!D49&lt;0%,EIOPA_RFR!D49,EIOPA_RFR!D49*(1+VLOOKUP($B88,Int_Rate_Param,3,FALSE))))</f>
        <v>1.5932399999999999E-2</v>
      </c>
      <c r="E88" s="94">
        <f>IF($B88&gt;20,IF(EIOPA_RFR!E49&lt;0%,EIOPA_RFR!E49,EIOPA_RFR!E49*(1+VLOOKUP($B$71,Int_Rate_Param,3,FALSE))),IF(EIOPA_RFR!E49&lt;0%,EIOPA_RFR!E49,EIOPA_RFR!E49*(1+VLOOKUP($B88,Int_Rate_Param,3,FALSE))))</f>
        <v>1.5932399999999999E-2</v>
      </c>
      <c r="F88" s="94">
        <f>IF($B88&gt;20,IF(EIOPA_RFR!F49&lt;0%,EIOPA_RFR!F49,EIOPA_RFR!F49*(1+VLOOKUP($B$71,Int_Rate_Param,3,FALSE))),IF(EIOPA_RFR!F49&lt;0%,EIOPA_RFR!F49,EIOPA_RFR!F49*(1+VLOOKUP($B88,Int_Rate_Param,3,FALSE))))</f>
        <v>1.5691E-2</v>
      </c>
      <c r="G88" s="94">
        <f>IF($B88&gt;20,IF(EIOPA_RFR!G49&lt;0%,EIOPA_RFR!G49,EIOPA_RFR!G49*(1+VLOOKUP($B$71,Int_Rate_Param,3,FALSE))),IF(EIOPA_RFR!G49&lt;0%,EIOPA_RFR!G49,EIOPA_RFR!G49*(1+VLOOKUP($B88,Int_Rate_Param,3,FALSE))))</f>
        <v>2.6156399999999996E-2</v>
      </c>
      <c r="H88" s="94">
        <f>IF($B88&gt;20,IF(EIOPA_RFR!H49&lt;0%,EIOPA_RFR!H49,EIOPA_RFR!H49*(1+VLOOKUP($B$71,Int_Rate_Param,3,FALSE))),IF(EIOPA_RFR!H49&lt;0%,EIOPA_RFR!H49,EIOPA_RFR!H49*(1+VLOOKUP($B88,Int_Rate_Param,3,FALSE))))</f>
        <v>1.5932399999999999E-2</v>
      </c>
      <c r="I88" s="94">
        <f>IF($B88&gt;20,IF(EIOPA_RFR!I49&lt;0%,EIOPA_RFR!I49,EIOPA_RFR!I49*(1+VLOOKUP($B$71,Int_Rate_Param,3,FALSE))),IF(EIOPA_RFR!I49&lt;0%,EIOPA_RFR!I49,EIOPA_RFR!I49*(1+VLOOKUP($B88,Int_Rate_Param,3,FALSE))))</f>
        <v>1.8594900000000001E-2</v>
      </c>
      <c r="J88" s="94">
        <f>IF($B88&gt;20,IF(EIOPA_RFR!J49&lt;0%,EIOPA_RFR!J49,EIOPA_RFR!J49*(1+VLOOKUP($B$71,Int_Rate_Param,3,FALSE))),IF(EIOPA_RFR!J49&lt;0%,EIOPA_RFR!J49,EIOPA_RFR!J49*(1+VLOOKUP($B88,Int_Rate_Param,3,FALSE))))</f>
        <v>1.5889799999999999E-2</v>
      </c>
      <c r="K88" s="94">
        <f>IF($B88&gt;20,IF(EIOPA_RFR!K49&lt;0%,EIOPA_RFR!K49,EIOPA_RFR!K49*(1+VLOOKUP($B$71,Int_Rate_Param,3,FALSE))),IF(EIOPA_RFR!K49&lt;0%,EIOPA_RFR!K49,EIOPA_RFR!K49*(1+VLOOKUP($B88,Int_Rate_Param,3,FALSE))))</f>
        <v>1.5932399999999999E-2</v>
      </c>
      <c r="L88" s="94">
        <f>IF($B88&gt;20,IF(EIOPA_RFR!L49&lt;0%,EIOPA_RFR!L49,EIOPA_RFR!L49*(1+VLOOKUP($B$71,Int_Rate_Param,3,FALSE))),IF(EIOPA_RFR!L49&lt;0%,EIOPA_RFR!L49,EIOPA_RFR!L49*(1+VLOOKUP($B88,Int_Rate_Param,3,FALSE))))</f>
        <v>1.5932399999999999E-2</v>
      </c>
      <c r="M88" s="94">
        <f>IF($B88&gt;20,IF(EIOPA_RFR!M49&lt;0%,EIOPA_RFR!M49,EIOPA_RFR!M49*(1+VLOOKUP($B$71,Int_Rate_Param,3,FALSE))),IF(EIOPA_RFR!M49&lt;0%,EIOPA_RFR!M49,EIOPA_RFR!M49*(1+VLOOKUP($B88,Int_Rate_Param,3,FALSE))))</f>
        <v>1.5932399999999999E-2</v>
      </c>
      <c r="N88" s="94">
        <f>IF($B88&gt;20,IF(EIOPA_RFR!N49&lt;0%,EIOPA_RFR!N49,EIOPA_RFR!N49*(1+VLOOKUP($B$71,Int_Rate_Param,3,FALSE))),IF(EIOPA_RFR!N49&lt;0%,EIOPA_RFR!N49,EIOPA_RFR!N49*(1+VLOOKUP($B88,Int_Rate_Param,3,FALSE))))</f>
        <v>1.5932399999999999E-2</v>
      </c>
      <c r="O88" s="94">
        <f>IF($B88&gt;20,IF(EIOPA_RFR!O49&lt;0%,EIOPA_RFR!O49,EIOPA_RFR!O49*(1+VLOOKUP($B$71,Int_Rate_Param,3,FALSE))),IF(EIOPA_RFR!O49&lt;0%,EIOPA_RFR!O49,EIOPA_RFR!O49*(1+VLOOKUP($B88,Int_Rate_Param,3,FALSE))))</f>
        <v>1.5932399999999999E-2</v>
      </c>
      <c r="P88" s="94">
        <f>IF($B88&gt;20,IF(EIOPA_RFR!P49&lt;0%,EIOPA_RFR!P49,EIOPA_RFR!P49*(1+VLOOKUP($B$71,Int_Rate_Param,3,FALSE))),IF(EIOPA_RFR!P49&lt;0%,EIOPA_RFR!P49,EIOPA_RFR!P49*(1+VLOOKUP($B88,Int_Rate_Param,3,FALSE))))</f>
        <v>3.0856599999999998E-2</v>
      </c>
      <c r="Q88" s="94">
        <f>IF($B88&gt;20,IF(EIOPA_RFR!Q49&lt;0%,EIOPA_RFR!Q49,EIOPA_RFR!Q49*(1+VLOOKUP($B$71,Int_Rate_Param,3,FALSE))),IF(EIOPA_RFR!Q49&lt;0%,EIOPA_RFR!Q49,EIOPA_RFR!Q49*(1+VLOOKUP($B88,Int_Rate_Param,3,FALSE))))</f>
        <v>3.1914499999999998E-2</v>
      </c>
      <c r="R88" s="94">
        <f>IF($B88&gt;20,IF(EIOPA_RFR!R49&lt;0%,EIOPA_RFR!R49,EIOPA_RFR!R49*(1+VLOOKUP($B$71,Int_Rate_Param,3,FALSE))),IF(EIOPA_RFR!R49&lt;0%,EIOPA_RFR!R49,EIOPA_RFR!R49*(1+VLOOKUP($B88,Int_Rate_Param,3,FALSE))))</f>
        <v>1.5932399999999999E-2</v>
      </c>
      <c r="S88" s="94">
        <f>IF($B88&gt;20,IF(EIOPA_RFR!S49&lt;0%,EIOPA_RFR!S49,EIOPA_RFR!S49*(1+VLOOKUP($B$71,Int_Rate_Param,3,FALSE))),IF(EIOPA_RFR!S49&lt;0%,EIOPA_RFR!S49,EIOPA_RFR!S49*(1+VLOOKUP($B88,Int_Rate_Param,3,FALSE))))</f>
        <v>1.5932399999999999E-2</v>
      </c>
      <c r="T88" s="94">
        <f>IF($B88&gt;20,IF(EIOPA_RFR!T49&lt;0%,EIOPA_RFR!T49,EIOPA_RFR!T49*(1+VLOOKUP($B$71,Int_Rate_Param,3,FALSE))),IF(EIOPA_RFR!T49&lt;0%,EIOPA_RFR!T49,EIOPA_RFR!T49*(1+VLOOKUP($B88,Int_Rate_Param,3,FALSE))))</f>
        <v>1.5932399999999999E-2</v>
      </c>
      <c r="U88" s="94">
        <f>IF($B88&gt;20,IF(EIOPA_RFR!U49&lt;0%,EIOPA_RFR!U49,EIOPA_RFR!U49*(1+VLOOKUP($B$71,Int_Rate_Param,3,FALSE))),IF(EIOPA_RFR!U49&lt;0%,EIOPA_RFR!U49,EIOPA_RFR!U49*(1+VLOOKUP($B88,Int_Rate_Param,3,FALSE))))</f>
        <v>7.4549999999999998E-3</v>
      </c>
      <c r="V88" s="94">
        <f>IF($B88&gt;20,IF(EIOPA_RFR!V49&lt;0%,EIOPA_RFR!V49,EIOPA_RFR!V49*(1+VLOOKUP($B$71,Int_Rate_Param,3,FALSE))),IF(EIOPA_RFR!V49&lt;0%,EIOPA_RFR!V49,EIOPA_RFR!V49*(1+VLOOKUP($B88,Int_Rate_Param,3,FALSE))))</f>
        <v>1.5932399999999999E-2</v>
      </c>
      <c r="W88" s="94">
        <f>IF($B88&gt;20,IF(EIOPA_RFR!W49&lt;0%,EIOPA_RFR!W49,EIOPA_RFR!W49*(1+VLOOKUP($B$71,Int_Rate_Param,3,FALSE))),IF(EIOPA_RFR!W49&lt;0%,EIOPA_RFR!W49,EIOPA_RFR!W49*(1+VLOOKUP($B88,Int_Rate_Param,3,FALSE))))</f>
        <v>1.5932399999999999E-2</v>
      </c>
      <c r="X88" s="94">
        <f>IF($B88&gt;20,IF(EIOPA_RFR!X49&lt;0%,EIOPA_RFR!X49,EIOPA_RFR!X49*(1+VLOOKUP($B$71,Int_Rate_Param,3,FALSE))),IF(EIOPA_RFR!X49&lt;0%,EIOPA_RFR!X49,EIOPA_RFR!X49*(1+VLOOKUP($B88,Int_Rate_Param,3,FALSE))))</f>
        <v>1.5932399999999999E-2</v>
      </c>
      <c r="Y88" s="94">
        <f>IF($B88&gt;20,IF(EIOPA_RFR!Y49&lt;0%,EIOPA_RFR!Y49,EIOPA_RFR!Y49*(1+VLOOKUP($B$71,Int_Rate_Param,3,FALSE))),IF(EIOPA_RFR!Y49&lt;0%,EIOPA_RFR!Y49,EIOPA_RFR!Y49*(1+VLOOKUP($B88,Int_Rate_Param,3,FALSE))))</f>
        <v>1.5932399999999999E-2</v>
      </c>
      <c r="Z88" s="94">
        <f>IF($B88&gt;20,IF(EIOPA_RFR!Z49&lt;0%,EIOPA_RFR!Z49,EIOPA_RFR!Z49*(1+VLOOKUP($B$71,Int_Rate_Param,3,FALSE))),IF(EIOPA_RFR!Z49&lt;0%,EIOPA_RFR!Z49,EIOPA_RFR!Z49*(1+VLOOKUP($B88,Int_Rate_Param,3,FALSE))))</f>
        <v>2.24005E-2</v>
      </c>
      <c r="AA88" s="94">
        <f>IF($B88&gt;20,IF(EIOPA_RFR!AA49&lt;0%,EIOPA_RFR!AA49,EIOPA_RFR!AA49*(1+VLOOKUP($B$71,Int_Rate_Param,3,FALSE))),IF(EIOPA_RFR!AA49&lt;0%,EIOPA_RFR!AA49,EIOPA_RFR!AA49*(1+VLOOKUP($B88,Int_Rate_Param,3,FALSE))))</f>
        <v>2.8861499999999998E-2</v>
      </c>
      <c r="AB88" s="94">
        <f>IF($B88&gt;20,IF(EIOPA_RFR!AB49&lt;0%,EIOPA_RFR!AB49,EIOPA_RFR!AB49*(1+VLOOKUP($B$71,Int_Rate_Param,3,FALSE))),IF(EIOPA_RFR!AB49&lt;0%,EIOPA_RFR!AB49,EIOPA_RFR!AB49*(1+VLOOKUP($B88,Int_Rate_Param,3,FALSE))))</f>
        <v>1.5932399999999999E-2</v>
      </c>
      <c r="AC88" s="94">
        <f>IF($B88&gt;20,IF(EIOPA_RFR!AC49&lt;0%,EIOPA_RFR!AC49,EIOPA_RFR!AC49*(1+VLOOKUP($B$71,Int_Rate_Param,3,FALSE))),IF(EIOPA_RFR!AC49&lt;0%,EIOPA_RFR!AC49,EIOPA_RFR!AC49*(1+VLOOKUP($B88,Int_Rate_Param,3,FALSE))))</f>
        <v>3.1097999999999997E-2</v>
      </c>
      <c r="AD88" s="94">
        <f>IF($B88&gt;20,IF(EIOPA_RFR!AD49&lt;0%,EIOPA_RFR!AD49,EIOPA_RFR!AD49*(1+VLOOKUP($B$71,Int_Rate_Param,3,FALSE))),IF(EIOPA_RFR!AD49&lt;0%,EIOPA_RFR!AD49,EIOPA_RFR!AD49*(1+VLOOKUP($B88,Int_Rate_Param,3,FALSE))))</f>
        <v>4.0988299999999998E-2</v>
      </c>
      <c r="AE88" s="94">
        <f>IF($B88&gt;20,IF(EIOPA_RFR!AE49&lt;0%,EIOPA_RFR!AE49,EIOPA_RFR!AE49*(1+VLOOKUP($B$71,Int_Rate_Param,3,FALSE))),IF(EIOPA_RFR!AE49&lt;0%,EIOPA_RFR!AE49,EIOPA_RFR!AE49*(1+VLOOKUP($B88,Int_Rate_Param,3,FALSE))))</f>
        <v>1.5932399999999999E-2</v>
      </c>
      <c r="AF88" s="94">
        <f>IF($B88&gt;20,IF(EIOPA_RFR!AF49&lt;0%,EIOPA_RFR!AF49,EIOPA_RFR!AF49*(1+VLOOKUP($B$71,Int_Rate_Param,3,FALSE))),IF(EIOPA_RFR!AF49&lt;0%,EIOPA_RFR!AF49,EIOPA_RFR!AF49*(1+VLOOKUP($B88,Int_Rate_Param,3,FALSE))))</f>
        <v>1.5932399999999999E-2</v>
      </c>
      <c r="AG88" s="94">
        <f>IF($B88&gt;20,IF(EIOPA_RFR!AG49&lt;0%,EIOPA_RFR!AG49,EIOPA_RFR!AG49*(1+VLOOKUP($B$71,Int_Rate_Param,3,FALSE))),IF(EIOPA_RFR!AG49&lt;0%,EIOPA_RFR!AG49,EIOPA_RFR!AG49*(1+VLOOKUP($B88,Int_Rate_Param,3,FALSE))))</f>
        <v>1.5932399999999999E-2</v>
      </c>
      <c r="AH88" s="94">
        <f>IF($B88&gt;20,IF(EIOPA_RFR!AH49&lt;0%,EIOPA_RFR!AH49,EIOPA_RFR!AH49*(1+VLOOKUP($B$71,Int_Rate_Param,3,FALSE))),IF(EIOPA_RFR!AH49&lt;0%,EIOPA_RFR!AH49,EIOPA_RFR!AH49*(1+VLOOKUP($B88,Int_Rate_Param,3,FALSE))))</f>
        <v>2.3003999999999997E-2</v>
      </c>
      <c r="AI88" s="94">
        <f>IF($B88&gt;20,IF(EIOPA_RFR!AI49&lt;0%,EIOPA_RFR!AI49,EIOPA_RFR!AI49*(1+VLOOKUP($B$71,Int_Rate_Param,3,FALSE))),IF(EIOPA_RFR!AI49&lt;0%,EIOPA_RFR!AI49,EIOPA_RFR!AI49*(1+VLOOKUP($B88,Int_Rate_Param,3,FALSE))))</f>
        <v>7.4549999999999998E-3</v>
      </c>
      <c r="AJ88" s="94">
        <f>IF($B88&gt;20,IF(EIOPA_RFR!AJ49&lt;0%,EIOPA_RFR!AJ49,EIOPA_RFR!AJ49*(1+VLOOKUP($B$71,Int_Rate_Param,3,FALSE))),IF(EIOPA_RFR!AJ49&lt;0%,EIOPA_RFR!AJ49,EIOPA_RFR!AJ49*(1+VLOOKUP($B88,Int_Rate_Param,3,FALSE))))</f>
        <v>8.4489999999999999E-3</v>
      </c>
      <c r="AK88" s="94">
        <f>IF($B88&gt;20,IF(EIOPA_RFR!AK49&lt;0%,EIOPA_RFR!AK49,EIOPA_RFR!AK49*(1+VLOOKUP($B$71,Int_Rate_Param,3,FALSE))),IF(EIOPA_RFR!AK49&lt;0%,EIOPA_RFR!AK49,EIOPA_RFR!AK49*(1+VLOOKUP($B88,Int_Rate_Param,3,FALSE))))</f>
        <v>2.39767E-2</v>
      </c>
      <c r="AL88" s="94">
        <f>IF($B88&gt;20,IF(EIOPA_RFR!AL49&lt;0%,EIOPA_RFR!AL49,EIOPA_RFR!AL49*(1+VLOOKUP($B$71,Int_Rate_Param,3,FALSE))),IF(EIOPA_RFR!AL49&lt;0%,EIOPA_RFR!AL49,EIOPA_RFR!AL49*(1+VLOOKUP($B88,Int_Rate_Param,3,FALSE))))</f>
        <v>5.1993299999999999E-2</v>
      </c>
      <c r="AM88" s="94">
        <f>IF($B88&gt;20,IF(EIOPA_RFR!AM49&lt;0%,EIOPA_RFR!AM49,EIOPA_RFR!AM49*(1+VLOOKUP($B$71,Int_Rate_Param,3,FALSE))),IF(EIOPA_RFR!AM49&lt;0%,EIOPA_RFR!AM49,EIOPA_RFR!AM49*(1+VLOOKUP($B88,Int_Rate_Param,3,FALSE))))</f>
        <v>1.7118099999999997E-2</v>
      </c>
      <c r="AN88" s="94">
        <f>IF($B88&gt;20,IF(EIOPA_RFR!AN49&lt;0%,EIOPA_RFR!AN49,EIOPA_RFR!AN49*(1+VLOOKUP($B$71,Int_Rate_Param,3,FALSE))),IF(EIOPA_RFR!AN49&lt;0%,EIOPA_RFR!AN49,EIOPA_RFR!AN49*(1+VLOOKUP($B88,Int_Rate_Param,3,FALSE))))</f>
        <v>3.0224699999999997E-2</v>
      </c>
      <c r="AO88" s="94">
        <f>IF($B88&gt;20,IF(EIOPA_RFR!AO49&lt;0%,EIOPA_RFR!AO49,EIOPA_RFR!AO49*(1+VLOOKUP($B$71,Int_Rate_Param,3,FALSE))),IF(EIOPA_RFR!AO49&lt;0%,EIOPA_RFR!AO49,EIOPA_RFR!AO49*(1+VLOOKUP($B88,Int_Rate_Param,3,FALSE))))</f>
        <v>3.1190299999999997E-2</v>
      </c>
      <c r="AP88" s="94">
        <f>IF($B88&gt;20,IF(EIOPA_RFR!AP49&lt;0%,EIOPA_RFR!AP49,EIOPA_RFR!AP49*(1+VLOOKUP($B$71,Int_Rate_Param,3,FALSE))),IF(EIOPA_RFR!AP49&lt;0%,EIOPA_RFR!AP49,EIOPA_RFR!AP49*(1+VLOOKUP($B88,Int_Rate_Param,3,FALSE))))</f>
        <v>3.8382599999999996E-2</v>
      </c>
      <c r="AQ88" s="94">
        <f>IF($B88&gt;20,IF(EIOPA_RFR!AQ49&lt;0%,EIOPA_RFR!AQ49,EIOPA_RFR!AQ49*(1+VLOOKUP($B$71,Int_Rate_Param,3,FALSE))),IF(EIOPA_RFR!AQ49&lt;0%,EIOPA_RFR!AQ49,EIOPA_RFR!AQ49*(1+VLOOKUP($B88,Int_Rate_Param,3,FALSE))))</f>
        <v>2.2727099999999997E-2</v>
      </c>
      <c r="AR88" s="94">
        <f>IF($B88&gt;20,IF(EIOPA_RFR!AR49&lt;0%,EIOPA_RFR!AR49,EIOPA_RFR!AR49*(1+VLOOKUP($B$71,Int_Rate_Param,3,FALSE))),IF(EIOPA_RFR!AR49&lt;0%,EIOPA_RFR!AR49,EIOPA_RFR!AR49*(1+VLOOKUP($B88,Int_Rate_Param,3,FALSE))))</f>
        <v>4.3970299999999997E-2</v>
      </c>
      <c r="AS88" s="94">
        <f>IF($B88&gt;20,IF(EIOPA_RFR!AS49&lt;0%,EIOPA_RFR!AS49,EIOPA_RFR!AS49*(1+VLOOKUP($B$71,Int_Rate_Param,3,FALSE))),IF(EIOPA_RFR!AS49&lt;0%,EIOPA_RFR!AS49,EIOPA_RFR!AS49*(1+VLOOKUP($B88,Int_Rate_Param,3,FALSE))))</f>
        <v>7.0929000000000001E-3</v>
      </c>
      <c r="AT88" s="94">
        <f>IF($B88&gt;20,IF(EIOPA_RFR!AT49&lt;0%,EIOPA_RFR!AT49,EIOPA_RFR!AT49*(1+VLOOKUP($B$71,Int_Rate_Param,3,FALSE))),IF(EIOPA_RFR!AT49&lt;0%,EIOPA_RFR!AT49,EIOPA_RFR!AT49*(1+VLOOKUP($B88,Int_Rate_Param,3,FALSE))))</f>
        <v>3.0863700000000001E-2</v>
      </c>
      <c r="AU88" s="94">
        <f>IF($B88&gt;20,IF(EIOPA_RFR!AU49&lt;0%,EIOPA_RFR!AU49,EIOPA_RFR!AU49*(1+VLOOKUP($B$71,Int_Rate_Param,3,FALSE))),IF(EIOPA_RFR!AU49&lt;0%,EIOPA_RFR!AU49,EIOPA_RFR!AU49*(1+VLOOKUP($B88,Int_Rate_Param,3,FALSE))))</f>
        <v>5.1190999999999993E-2</v>
      </c>
      <c r="AV88" s="94">
        <f>IF($B88&gt;20,IF(EIOPA_RFR!AV49&lt;0%,EIOPA_RFR!AV49,EIOPA_RFR!AV49*(1+VLOOKUP($B$71,Int_Rate_Param,3,FALSE))),IF(EIOPA_RFR!AV49&lt;0%,EIOPA_RFR!AV49,EIOPA_RFR!AV49*(1+VLOOKUP($B88,Int_Rate_Param,3,FALSE))))</f>
        <v>2.9713499999999997E-2</v>
      </c>
      <c r="AW88" s="94">
        <f>IF($B88&gt;20,IF(EIOPA_RFR!AW49&lt;0%,EIOPA_RFR!AW49,EIOPA_RFR!AW49*(1+VLOOKUP($B$71,Int_Rate_Param,3,FALSE))),IF(EIOPA_RFR!AW49&lt;0%,EIOPA_RFR!AW49,EIOPA_RFR!AW49*(1+VLOOKUP($B88,Int_Rate_Param,3,FALSE))))</f>
        <v>2.2535399999999997E-2</v>
      </c>
      <c r="AX88" s="94">
        <f>IF($B88&gt;20,IF(EIOPA_RFR!AX49&lt;0%,EIOPA_RFR!AX49,EIOPA_RFR!AX49*(1+VLOOKUP($B$71,Int_Rate_Param,3,FALSE))),IF(EIOPA_RFR!AX49&lt;0%,EIOPA_RFR!AX49,EIOPA_RFR!AX49*(1+VLOOKUP($B88,Int_Rate_Param,3,FALSE))))</f>
        <v>5.0942499999999995E-2</v>
      </c>
      <c r="AY88" s="94">
        <f>IF($B88&gt;20,IF(EIOPA_RFR!AY49&lt;0%,EIOPA_RFR!AY49,EIOPA_RFR!AY49*(1+VLOOKUP($B$71,Int_Rate_Param,3,FALSE))),IF(EIOPA_RFR!AY49&lt;0%,EIOPA_RFR!AY49,EIOPA_RFR!AY49*(1+VLOOKUP($B88,Int_Rate_Param,3,FALSE))))</f>
        <v>1.8303799999999999E-2</v>
      </c>
      <c r="AZ88" s="94">
        <f>IF($B88&gt;20,IF(EIOPA_RFR!AZ49&lt;0%,EIOPA_RFR!AZ49,EIOPA_RFR!AZ49*(1+VLOOKUP($B$71,Int_Rate_Param,3,FALSE))),IF(EIOPA_RFR!AZ49&lt;0%,EIOPA_RFR!AZ49,EIOPA_RFR!AZ49*(1+VLOOKUP($B88,Int_Rate_Param,3,FALSE))))</f>
        <v>1.9979399999999998E-2</v>
      </c>
      <c r="BA88" s="94">
        <f>IF($B88&gt;20,IF(EIOPA_RFR!BA49&lt;0%,EIOPA_RFR!BA49,EIOPA_RFR!BA49*(1+VLOOKUP($B$71,Int_Rate_Param,3,FALSE))),IF(EIOPA_RFR!BA49&lt;0%,EIOPA_RFR!BA49,EIOPA_RFR!BA49*(1+VLOOKUP($B88,Int_Rate_Param,3,FALSE))))</f>
        <v>2.4473699999999998E-2</v>
      </c>
      <c r="BB88" s="94">
        <f>IF($B88&gt;20,IF(EIOPA_RFR!BB49&lt;0%,EIOPA_RFR!BB49,EIOPA_RFR!BB49*(1+VLOOKUP($B$71,Int_Rate_Param,3,FALSE))),IF(EIOPA_RFR!BB49&lt;0%,EIOPA_RFR!BB49,EIOPA_RFR!BB49*(1+VLOOKUP($B88,Int_Rate_Param,3,FALSE))))</f>
        <v>5.3640500000000001E-2</v>
      </c>
      <c r="BC88" s="94">
        <f>IF($B88&gt;20,IF(EIOPA_RFR!BC49&lt;0%,EIOPA_RFR!BC49,EIOPA_RFR!BC49*(1+VLOOKUP($B$71,Int_Rate_Param,3,FALSE))),IF(EIOPA_RFR!BC49&lt;0%,EIOPA_RFR!BC49,EIOPA_RFR!BC49*(1+VLOOKUP($B88,Int_Rate_Param,3,FALSE))))</f>
        <v>1.7963E-2</v>
      </c>
    </row>
    <row r="89" spans="1:55" x14ac:dyDescent="0.25">
      <c r="A89">
        <f t="shared" si="1"/>
        <v>40</v>
      </c>
      <c r="B89" s="95">
        <v>38</v>
      </c>
      <c r="C89" s="94">
        <f>IF($B89&gt;20,IF(EIOPA_RFR!C50&lt;0%,EIOPA_RFR!C50,EIOPA_RFR!C50*(1+VLOOKUP($B$71,Int_Rate_Param,3,FALSE))),IF(EIOPA_RFR!C50&lt;0%,EIOPA_RFR!C50,EIOPA_RFR!C50*(1+VLOOKUP($B89,Int_Rate_Param,3,FALSE))))</f>
        <v>1.6266099999999999E-2</v>
      </c>
      <c r="D89" s="94">
        <f>IF($B89&gt;20,IF(EIOPA_RFR!D50&lt;0%,EIOPA_RFR!D50,EIOPA_RFR!D50*(1+VLOOKUP($B$71,Int_Rate_Param,3,FALSE))),IF(EIOPA_RFR!D50&lt;0%,EIOPA_RFR!D50,EIOPA_RFR!D50*(1+VLOOKUP($B89,Int_Rate_Param,3,FALSE))))</f>
        <v>1.6266099999999999E-2</v>
      </c>
      <c r="E89" s="94">
        <f>IF($B89&gt;20,IF(EIOPA_RFR!E50&lt;0%,EIOPA_RFR!E50,EIOPA_RFR!E50*(1+VLOOKUP($B$71,Int_Rate_Param,3,FALSE))),IF(EIOPA_RFR!E50&lt;0%,EIOPA_RFR!E50,EIOPA_RFR!E50*(1+VLOOKUP($B89,Int_Rate_Param,3,FALSE))))</f>
        <v>1.6266099999999999E-2</v>
      </c>
      <c r="F89" s="94">
        <f>IF($B89&gt;20,IF(EIOPA_RFR!F50&lt;0%,EIOPA_RFR!F50,EIOPA_RFR!F50*(1+VLOOKUP($B$71,Int_Rate_Param,3,FALSE))),IF(EIOPA_RFR!F50&lt;0%,EIOPA_RFR!F50,EIOPA_RFR!F50*(1+VLOOKUP($B89,Int_Rate_Param,3,FALSE))))</f>
        <v>1.6024699999999999E-2</v>
      </c>
      <c r="G89" s="94">
        <f>IF($B89&gt;20,IF(EIOPA_RFR!G50&lt;0%,EIOPA_RFR!G50,EIOPA_RFR!G50*(1+VLOOKUP($B$71,Int_Rate_Param,3,FALSE))),IF(EIOPA_RFR!G50&lt;0%,EIOPA_RFR!G50,EIOPA_RFR!G50*(1+VLOOKUP($B89,Int_Rate_Param,3,FALSE))))</f>
        <v>2.6241599999999997E-2</v>
      </c>
      <c r="H89" s="94">
        <f>IF($B89&gt;20,IF(EIOPA_RFR!H50&lt;0%,EIOPA_RFR!H50,EIOPA_RFR!H50*(1+VLOOKUP($B$71,Int_Rate_Param,3,FALSE))),IF(EIOPA_RFR!H50&lt;0%,EIOPA_RFR!H50,EIOPA_RFR!H50*(1+VLOOKUP($B89,Int_Rate_Param,3,FALSE))))</f>
        <v>1.6266099999999999E-2</v>
      </c>
      <c r="I89" s="94">
        <f>IF($B89&gt;20,IF(EIOPA_RFR!I50&lt;0%,EIOPA_RFR!I50,EIOPA_RFR!I50*(1+VLOOKUP($B$71,Int_Rate_Param,3,FALSE))),IF(EIOPA_RFR!I50&lt;0%,EIOPA_RFR!I50,EIOPA_RFR!I50*(1+VLOOKUP($B89,Int_Rate_Param,3,FALSE))))</f>
        <v>1.8857599999999999E-2</v>
      </c>
      <c r="J89" s="94">
        <f>IF($B89&gt;20,IF(EIOPA_RFR!J50&lt;0%,EIOPA_RFR!J50,EIOPA_RFR!J50*(1+VLOOKUP($B$71,Int_Rate_Param,3,FALSE))),IF(EIOPA_RFR!J50&lt;0%,EIOPA_RFR!J50,EIOPA_RFR!J50*(1+VLOOKUP($B89,Int_Rate_Param,3,FALSE))))</f>
        <v>1.6216399999999999E-2</v>
      </c>
      <c r="K89" s="94">
        <f>IF($B89&gt;20,IF(EIOPA_RFR!K50&lt;0%,EIOPA_RFR!K50,EIOPA_RFR!K50*(1+VLOOKUP($B$71,Int_Rate_Param,3,FALSE))),IF(EIOPA_RFR!K50&lt;0%,EIOPA_RFR!K50,EIOPA_RFR!K50*(1+VLOOKUP($B89,Int_Rate_Param,3,FALSE))))</f>
        <v>1.6266099999999999E-2</v>
      </c>
      <c r="L89" s="94">
        <f>IF($B89&gt;20,IF(EIOPA_RFR!L50&lt;0%,EIOPA_RFR!L50,EIOPA_RFR!L50*(1+VLOOKUP($B$71,Int_Rate_Param,3,FALSE))),IF(EIOPA_RFR!L50&lt;0%,EIOPA_RFR!L50,EIOPA_RFR!L50*(1+VLOOKUP($B89,Int_Rate_Param,3,FALSE))))</f>
        <v>1.6266099999999999E-2</v>
      </c>
      <c r="M89" s="94">
        <f>IF($B89&gt;20,IF(EIOPA_RFR!M50&lt;0%,EIOPA_RFR!M50,EIOPA_RFR!M50*(1+VLOOKUP($B$71,Int_Rate_Param,3,FALSE))),IF(EIOPA_RFR!M50&lt;0%,EIOPA_RFR!M50,EIOPA_RFR!M50*(1+VLOOKUP($B89,Int_Rate_Param,3,FALSE))))</f>
        <v>1.6266099999999999E-2</v>
      </c>
      <c r="N89" s="94">
        <f>IF($B89&gt;20,IF(EIOPA_RFR!N50&lt;0%,EIOPA_RFR!N50,EIOPA_RFR!N50*(1+VLOOKUP($B$71,Int_Rate_Param,3,FALSE))),IF(EIOPA_RFR!N50&lt;0%,EIOPA_RFR!N50,EIOPA_RFR!N50*(1+VLOOKUP($B89,Int_Rate_Param,3,FALSE))))</f>
        <v>1.6266099999999999E-2</v>
      </c>
      <c r="O89" s="94">
        <f>IF($B89&gt;20,IF(EIOPA_RFR!O50&lt;0%,EIOPA_RFR!O50,EIOPA_RFR!O50*(1+VLOOKUP($B$71,Int_Rate_Param,3,FALSE))),IF(EIOPA_RFR!O50&lt;0%,EIOPA_RFR!O50,EIOPA_RFR!O50*(1+VLOOKUP($B89,Int_Rate_Param,3,FALSE))))</f>
        <v>1.6266099999999999E-2</v>
      </c>
      <c r="P89" s="94">
        <f>IF($B89&gt;20,IF(EIOPA_RFR!P50&lt;0%,EIOPA_RFR!P50,EIOPA_RFR!P50*(1+VLOOKUP($B$71,Int_Rate_Param,3,FALSE))),IF(EIOPA_RFR!P50&lt;0%,EIOPA_RFR!P50,EIOPA_RFR!P50*(1+VLOOKUP($B89,Int_Rate_Param,3,FALSE))))</f>
        <v>3.0849500000000002E-2</v>
      </c>
      <c r="Q89" s="94">
        <f>IF($B89&gt;20,IF(EIOPA_RFR!Q50&lt;0%,EIOPA_RFR!Q50,EIOPA_RFR!Q50*(1+VLOOKUP($B$71,Int_Rate_Param,3,FALSE))),IF(EIOPA_RFR!Q50&lt;0%,EIOPA_RFR!Q50,EIOPA_RFR!Q50*(1+VLOOKUP($B89,Int_Rate_Param,3,FALSE))))</f>
        <v>3.1871899999999995E-2</v>
      </c>
      <c r="R89" s="94">
        <f>IF($B89&gt;20,IF(EIOPA_RFR!R50&lt;0%,EIOPA_RFR!R50,EIOPA_RFR!R50*(1+VLOOKUP($B$71,Int_Rate_Param,3,FALSE))),IF(EIOPA_RFR!R50&lt;0%,EIOPA_RFR!R50,EIOPA_RFR!R50*(1+VLOOKUP($B89,Int_Rate_Param,3,FALSE))))</f>
        <v>1.6266099999999999E-2</v>
      </c>
      <c r="S89" s="94">
        <f>IF($B89&gt;20,IF(EIOPA_RFR!S50&lt;0%,EIOPA_RFR!S50,EIOPA_RFR!S50*(1+VLOOKUP($B$71,Int_Rate_Param,3,FALSE))),IF(EIOPA_RFR!S50&lt;0%,EIOPA_RFR!S50,EIOPA_RFR!S50*(1+VLOOKUP($B89,Int_Rate_Param,3,FALSE))))</f>
        <v>1.6266099999999999E-2</v>
      </c>
      <c r="T89" s="94">
        <f>IF($B89&gt;20,IF(EIOPA_RFR!T50&lt;0%,EIOPA_RFR!T50,EIOPA_RFR!T50*(1+VLOOKUP($B$71,Int_Rate_Param,3,FALSE))),IF(EIOPA_RFR!T50&lt;0%,EIOPA_RFR!T50,EIOPA_RFR!T50*(1+VLOOKUP($B89,Int_Rate_Param,3,FALSE))))</f>
        <v>1.6266099999999999E-2</v>
      </c>
      <c r="U89" s="94">
        <f>IF($B89&gt;20,IF(EIOPA_RFR!U50&lt;0%,EIOPA_RFR!U50,EIOPA_RFR!U50*(1+VLOOKUP($B$71,Int_Rate_Param,3,FALSE))),IF(EIOPA_RFR!U50&lt;0%,EIOPA_RFR!U50,EIOPA_RFR!U50*(1+VLOOKUP($B89,Int_Rate_Param,3,FALSE))))</f>
        <v>7.7887E-3</v>
      </c>
      <c r="V89" s="94">
        <f>IF($B89&gt;20,IF(EIOPA_RFR!V50&lt;0%,EIOPA_RFR!V50,EIOPA_RFR!V50*(1+VLOOKUP($B$71,Int_Rate_Param,3,FALSE))),IF(EIOPA_RFR!V50&lt;0%,EIOPA_RFR!V50,EIOPA_RFR!V50*(1+VLOOKUP($B89,Int_Rate_Param,3,FALSE))))</f>
        <v>1.6266099999999999E-2</v>
      </c>
      <c r="W89" s="94">
        <f>IF($B89&gt;20,IF(EIOPA_RFR!W50&lt;0%,EIOPA_RFR!W50,EIOPA_RFR!W50*(1+VLOOKUP($B$71,Int_Rate_Param,3,FALSE))),IF(EIOPA_RFR!W50&lt;0%,EIOPA_RFR!W50,EIOPA_RFR!W50*(1+VLOOKUP($B89,Int_Rate_Param,3,FALSE))))</f>
        <v>1.6266099999999999E-2</v>
      </c>
      <c r="X89" s="94">
        <f>IF($B89&gt;20,IF(EIOPA_RFR!X50&lt;0%,EIOPA_RFR!X50,EIOPA_RFR!X50*(1+VLOOKUP($B$71,Int_Rate_Param,3,FALSE))),IF(EIOPA_RFR!X50&lt;0%,EIOPA_RFR!X50,EIOPA_RFR!X50*(1+VLOOKUP($B89,Int_Rate_Param,3,FALSE))))</f>
        <v>1.6266099999999999E-2</v>
      </c>
      <c r="Y89" s="94">
        <f>IF($B89&gt;20,IF(EIOPA_RFR!Y50&lt;0%,EIOPA_RFR!Y50,EIOPA_RFR!Y50*(1+VLOOKUP($B$71,Int_Rate_Param,3,FALSE))),IF(EIOPA_RFR!Y50&lt;0%,EIOPA_RFR!Y50,EIOPA_RFR!Y50*(1+VLOOKUP($B89,Int_Rate_Param,3,FALSE))))</f>
        <v>1.6266099999999999E-2</v>
      </c>
      <c r="Z89" s="94">
        <f>IF($B89&gt;20,IF(EIOPA_RFR!Z50&lt;0%,EIOPA_RFR!Z50,EIOPA_RFR!Z50*(1+VLOOKUP($B$71,Int_Rate_Param,3,FALSE))),IF(EIOPA_RFR!Z50&lt;0%,EIOPA_RFR!Z50,EIOPA_RFR!Z50*(1+VLOOKUP($B89,Int_Rate_Param,3,FALSE))))</f>
        <v>2.2578000000000001E-2</v>
      </c>
      <c r="AA89" s="94">
        <f>IF($B89&gt;20,IF(EIOPA_RFR!AA50&lt;0%,EIOPA_RFR!AA50,EIOPA_RFR!AA50*(1+VLOOKUP($B$71,Int_Rate_Param,3,FALSE))),IF(EIOPA_RFR!AA50&lt;0%,EIOPA_RFR!AA50,EIOPA_RFR!AA50*(1+VLOOKUP($B89,Int_Rate_Param,3,FALSE))))</f>
        <v>2.8896999999999999E-2</v>
      </c>
      <c r="AB89" s="94">
        <f>IF($B89&gt;20,IF(EIOPA_RFR!AB50&lt;0%,EIOPA_RFR!AB50,EIOPA_RFR!AB50*(1+VLOOKUP($B$71,Int_Rate_Param,3,FALSE))),IF(EIOPA_RFR!AB50&lt;0%,EIOPA_RFR!AB50,EIOPA_RFR!AB50*(1+VLOOKUP($B89,Int_Rate_Param,3,FALSE))))</f>
        <v>1.6266099999999999E-2</v>
      </c>
      <c r="AC89" s="94">
        <f>IF($B89&gt;20,IF(EIOPA_RFR!AC50&lt;0%,EIOPA_RFR!AC50,EIOPA_RFR!AC50*(1+VLOOKUP($B$71,Int_Rate_Param,3,FALSE))),IF(EIOPA_RFR!AC50&lt;0%,EIOPA_RFR!AC50,EIOPA_RFR!AC50*(1+VLOOKUP($B89,Int_Rate_Param,3,FALSE))))</f>
        <v>3.1083799999999998E-2</v>
      </c>
      <c r="AD89" s="94">
        <f>IF($B89&gt;20,IF(EIOPA_RFR!AD50&lt;0%,EIOPA_RFR!AD50,EIOPA_RFR!AD50*(1+VLOOKUP($B$71,Int_Rate_Param,3,FALSE))),IF(EIOPA_RFR!AD50&lt;0%,EIOPA_RFR!AD50,EIOPA_RFR!AD50*(1+VLOOKUP($B89,Int_Rate_Param,3,FALSE))))</f>
        <v>4.0718499999999998E-2</v>
      </c>
      <c r="AE89" s="94">
        <f>IF($B89&gt;20,IF(EIOPA_RFR!AE50&lt;0%,EIOPA_RFR!AE50,EIOPA_RFR!AE50*(1+VLOOKUP($B$71,Int_Rate_Param,3,FALSE))),IF(EIOPA_RFR!AE50&lt;0%,EIOPA_RFR!AE50,EIOPA_RFR!AE50*(1+VLOOKUP($B89,Int_Rate_Param,3,FALSE))))</f>
        <v>1.6266099999999999E-2</v>
      </c>
      <c r="AF89" s="94">
        <f>IF($B89&gt;20,IF(EIOPA_RFR!AF50&lt;0%,EIOPA_RFR!AF50,EIOPA_RFR!AF50*(1+VLOOKUP($B$71,Int_Rate_Param,3,FALSE))),IF(EIOPA_RFR!AF50&lt;0%,EIOPA_RFR!AF50,EIOPA_RFR!AF50*(1+VLOOKUP($B89,Int_Rate_Param,3,FALSE))))</f>
        <v>1.6266099999999999E-2</v>
      </c>
      <c r="AG89" s="94">
        <f>IF($B89&gt;20,IF(EIOPA_RFR!AG50&lt;0%,EIOPA_RFR!AG50,EIOPA_RFR!AG50*(1+VLOOKUP($B$71,Int_Rate_Param,3,FALSE))),IF(EIOPA_RFR!AG50&lt;0%,EIOPA_RFR!AG50,EIOPA_RFR!AG50*(1+VLOOKUP($B89,Int_Rate_Param,3,FALSE))))</f>
        <v>1.6266099999999999E-2</v>
      </c>
      <c r="AH89" s="94">
        <f>IF($B89&gt;20,IF(EIOPA_RFR!AH50&lt;0%,EIOPA_RFR!AH50,EIOPA_RFR!AH50*(1+VLOOKUP($B$71,Int_Rate_Param,3,FALSE))),IF(EIOPA_RFR!AH50&lt;0%,EIOPA_RFR!AH50,EIOPA_RFR!AH50*(1+VLOOKUP($B89,Int_Rate_Param,3,FALSE))))</f>
        <v>2.3181499999999997E-2</v>
      </c>
      <c r="AI89" s="94">
        <f>IF($B89&gt;20,IF(EIOPA_RFR!AI50&lt;0%,EIOPA_RFR!AI50,EIOPA_RFR!AI50*(1+VLOOKUP($B$71,Int_Rate_Param,3,FALSE))),IF(EIOPA_RFR!AI50&lt;0%,EIOPA_RFR!AI50,EIOPA_RFR!AI50*(1+VLOOKUP($B89,Int_Rate_Param,3,FALSE))))</f>
        <v>7.7887E-3</v>
      </c>
      <c r="AJ89" s="94">
        <f>IF($B89&gt;20,IF(EIOPA_RFR!AJ50&lt;0%,EIOPA_RFR!AJ50,EIOPA_RFR!AJ50*(1+VLOOKUP($B$71,Int_Rate_Param,3,FALSE))),IF(EIOPA_RFR!AJ50&lt;0%,EIOPA_RFR!AJ50,EIOPA_RFR!AJ50*(1+VLOOKUP($B89,Int_Rate_Param,3,FALSE))))</f>
        <v>8.3353999999999998E-3</v>
      </c>
      <c r="AK89" s="94">
        <f>IF($B89&gt;20,IF(EIOPA_RFR!AK50&lt;0%,EIOPA_RFR!AK50,EIOPA_RFR!AK50*(1+VLOOKUP($B$71,Int_Rate_Param,3,FALSE))),IF(EIOPA_RFR!AK50&lt;0%,EIOPA_RFR!AK50,EIOPA_RFR!AK50*(1+VLOOKUP($B89,Int_Rate_Param,3,FALSE))))</f>
        <v>2.4061900000000001E-2</v>
      </c>
      <c r="AL89" s="94">
        <f>IF($B89&gt;20,IF(EIOPA_RFR!AL50&lt;0%,EIOPA_RFR!AL50,EIOPA_RFR!AL50*(1+VLOOKUP($B$71,Int_Rate_Param,3,FALSE))),IF(EIOPA_RFR!AL50&lt;0%,EIOPA_RFR!AL50,EIOPA_RFR!AL50*(1+VLOOKUP($B89,Int_Rate_Param,3,FALSE))))</f>
        <v>5.1631200000000002E-2</v>
      </c>
      <c r="AM89" s="94">
        <f>IF($B89&gt;20,IF(EIOPA_RFR!AM50&lt;0%,EIOPA_RFR!AM50,EIOPA_RFR!AM50*(1+VLOOKUP($B$71,Int_Rate_Param,3,FALSE))),IF(EIOPA_RFR!AM50&lt;0%,EIOPA_RFR!AM50,EIOPA_RFR!AM50*(1+VLOOKUP($B89,Int_Rate_Param,3,FALSE))))</f>
        <v>1.7345300000000001E-2</v>
      </c>
      <c r="AN89" s="94">
        <f>IF($B89&gt;20,IF(EIOPA_RFR!AN50&lt;0%,EIOPA_RFR!AN50,EIOPA_RFR!AN50*(1+VLOOKUP($B$71,Int_Rate_Param,3,FALSE))),IF(EIOPA_RFR!AN50&lt;0%,EIOPA_RFR!AN50,EIOPA_RFR!AN50*(1+VLOOKUP($B89,Int_Rate_Param,3,FALSE))))</f>
        <v>3.0224699999999997E-2</v>
      </c>
      <c r="AO89" s="94">
        <f>IF($B89&gt;20,IF(EIOPA_RFR!AO50&lt;0%,EIOPA_RFR!AO50,EIOPA_RFR!AO50*(1+VLOOKUP($B$71,Int_Rate_Param,3,FALSE))),IF(EIOPA_RFR!AO50&lt;0%,EIOPA_RFR!AO50,EIOPA_RFR!AO50*(1+VLOOKUP($B89,Int_Rate_Param,3,FALSE))))</f>
        <v>3.1161899999999996E-2</v>
      </c>
      <c r="AP89" s="94">
        <f>IF($B89&gt;20,IF(EIOPA_RFR!AP50&lt;0%,EIOPA_RFR!AP50,EIOPA_RFR!AP50*(1+VLOOKUP($B$71,Int_Rate_Param,3,FALSE))),IF(EIOPA_RFR!AP50&lt;0%,EIOPA_RFR!AP50,EIOPA_RFR!AP50*(1+VLOOKUP($B89,Int_Rate_Param,3,FALSE))))</f>
        <v>3.8183799999999997E-2</v>
      </c>
      <c r="AQ89" s="94">
        <f>IF($B89&gt;20,IF(EIOPA_RFR!AQ50&lt;0%,EIOPA_RFR!AQ50,EIOPA_RFR!AQ50*(1+VLOOKUP($B$71,Int_Rate_Param,3,FALSE))),IF(EIOPA_RFR!AQ50&lt;0%,EIOPA_RFR!AQ50,EIOPA_RFR!AQ50*(1+VLOOKUP($B89,Int_Rate_Param,3,FALSE))))</f>
        <v>2.2890399999999998E-2</v>
      </c>
      <c r="AR89" s="94">
        <f>IF($B89&gt;20,IF(EIOPA_RFR!AR50&lt;0%,EIOPA_RFR!AR50,EIOPA_RFR!AR50*(1+VLOOKUP($B$71,Int_Rate_Param,3,FALSE))),IF(EIOPA_RFR!AR50&lt;0%,EIOPA_RFR!AR50,EIOPA_RFR!AR50*(1+VLOOKUP($B89,Int_Rate_Param,3,FALSE))))</f>
        <v>4.3806999999999999E-2</v>
      </c>
      <c r="AS89" s="94">
        <f>IF($B89&gt;20,IF(EIOPA_RFR!AS50&lt;0%,EIOPA_RFR!AS50,EIOPA_RFR!AS50*(1+VLOOKUP($B$71,Int_Rate_Param,3,FALSE))),IF(EIOPA_RFR!AS50&lt;0%,EIOPA_RFR!AS50,EIOPA_RFR!AS50*(1+VLOOKUP($B89,Int_Rate_Param,3,FALSE))))</f>
        <v>7.3839999999999991E-3</v>
      </c>
      <c r="AT89" s="94">
        <f>IF($B89&gt;20,IF(EIOPA_RFR!AT50&lt;0%,EIOPA_RFR!AT50,EIOPA_RFR!AT50*(1+VLOOKUP($B$71,Int_Rate_Param,3,FALSE))),IF(EIOPA_RFR!AT50&lt;0%,EIOPA_RFR!AT50,EIOPA_RFR!AT50*(1+VLOOKUP($B89,Int_Rate_Param,3,FALSE))))</f>
        <v>3.0849500000000002E-2</v>
      </c>
      <c r="AU89" s="94">
        <f>IF($B89&gt;20,IF(EIOPA_RFR!AU50&lt;0%,EIOPA_RFR!AU50,EIOPA_RFR!AU50*(1+VLOOKUP($B$71,Int_Rate_Param,3,FALSE))),IF(EIOPA_RFR!AU50&lt;0%,EIOPA_RFR!AU50,EIOPA_RFR!AU50*(1+VLOOKUP($B89,Int_Rate_Param,3,FALSE))))</f>
        <v>5.0857299999999994E-2</v>
      </c>
      <c r="AV89" s="94">
        <f>IF($B89&gt;20,IF(EIOPA_RFR!AV50&lt;0%,EIOPA_RFR!AV50,EIOPA_RFR!AV50*(1+VLOOKUP($B$71,Int_Rate_Param,3,FALSE))),IF(EIOPA_RFR!AV50&lt;0%,EIOPA_RFR!AV50,EIOPA_RFR!AV50*(1+VLOOKUP($B89,Int_Rate_Param,3,FALSE))))</f>
        <v>2.9734799999999999E-2</v>
      </c>
      <c r="AW89" s="94">
        <f>IF($B89&gt;20,IF(EIOPA_RFR!AW50&lt;0%,EIOPA_RFR!AW50,EIOPA_RFR!AW50*(1+VLOOKUP($B$71,Int_Rate_Param,3,FALSE))),IF(EIOPA_RFR!AW50&lt;0%,EIOPA_RFR!AW50,EIOPA_RFR!AW50*(1+VLOOKUP($B89,Int_Rate_Param,3,FALSE))))</f>
        <v>2.2698699999999999E-2</v>
      </c>
      <c r="AX89" s="94">
        <f>IF($B89&gt;20,IF(EIOPA_RFR!AX50&lt;0%,EIOPA_RFR!AX50,EIOPA_RFR!AX50*(1+VLOOKUP($B$71,Int_Rate_Param,3,FALSE))),IF(EIOPA_RFR!AX50&lt;0%,EIOPA_RFR!AX50,EIOPA_RFR!AX50*(1+VLOOKUP($B89,Int_Rate_Param,3,FALSE))))</f>
        <v>5.0608799999999995E-2</v>
      </c>
      <c r="AY89" s="94">
        <f>IF($B89&gt;20,IF(EIOPA_RFR!AY50&lt;0%,EIOPA_RFR!AY50,EIOPA_RFR!AY50*(1+VLOOKUP($B$71,Int_Rate_Param,3,FALSE))),IF(EIOPA_RFR!AY50&lt;0%,EIOPA_RFR!AY50,EIOPA_RFR!AY50*(1+VLOOKUP($B89,Int_Rate_Param,3,FALSE))))</f>
        <v>1.8573599999999999E-2</v>
      </c>
      <c r="AZ89" s="94">
        <f>IF($B89&gt;20,IF(EIOPA_RFR!AZ50&lt;0%,EIOPA_RFR!AZ50,EIOPA_RFR!AZ50*(1+VLOOKUP($B$71,Int_Rate_Param,3,FALSE))),IF(EIOPA_RFR!AZ50&lt;0%,EIOPA_RFR!AZ50,EIOPA_RFR!AZ50*(1+VLOOKUP($B89,Int_Rate_Param,3,FALSE))))</f>
        <v>2.0213699999999998E-2</v>
      </c>
      <c r="BA89" s="94">
        <f>IF($B89&gt;20,IF(EIOPA_RFR!BA50&lt;0%,EIOPA_RFR!BA50,EIOPA_RFR!BA50*(1+VLOOKUP($B$71,Int_Rate_Param,3,FALSE))),IF(EIOPA_RFR!BA50&lt;0%,EIOPA_RFR!BA50,EIOPA_RFR!BA50*(1+VLOOKUP($B89,Int_Rate_Param,3,FALSE))))</f>
        <v>2.4601499999999998E-2</v>
      </c>
      <c r="BB89" s="94">
        <f>IF($B89&gt;20,IF(EIOPA_RFR!BB50&lt;0%,EIOPA_RFR!BB50,EIOPA_RFR!BB50*(1+VLOOKUP($B$71,Int_Rate_Param,3,FALSE))),IF(EIOPA_RFR!BB50&lt;0%,EIOPA_RFR!BB50,EIOPA_RFR!BB50*(1+VLOOKUP($B89,Int_Rate_Param,3,FALSE))))</f>
        <v>5.3228699999999997E-2</v>
      </c>
      <c r="BC89" s="94">
        <f>IF($B89&gt;20,IF(EIOPA_RFR!BC50&lt;0%,EIOPA_RFR!BC50,EIOPA_RFR!BC50*(1+VLOOKUP($B$71,Int_Rate_Param,3,FALSE))),IF(EIOPA_RFR!BC50&lt;0%,EIOPA_RFR!BC50,EIOPA_RFR!BC50*(1+VLOOKUP($B89,Int_Rate_Param,3,FALSE))))</f>
        <v>1.7927499999999999E-2</v>
      </c>
    </row>
    <row r="90" spans="1:55" x14ac:dyDescent="0.25">
      <c r="A90">
        <f t="shared" si="1"/>
        <v>41</v>
      </c>
      <c r="B90" s="95">
        <v>39</v>
      </c>
      <c r="C90" s="94">
        <f>IF($B90&gt;20,IF(EIOPA_RFR!C51&lt;0%,EIOPA_RFR!C51,EIOPA_RFR!C51*(1+VLOOKUP($B$71,Int_Rate_Param,3,FALSE))),IF(EIOPA_RFR!C51&lt;0%,EIOPA_RFR!C51,EIOPA_RFR!C51*(1+VLOOKUP($B90,Int_Rate_Param,3,FALSE))))</f>
        <v>1.6578499999999999E-2</v>
      </c>
      <c r="D90" s="94">
        <f>IF($B90&gt;20,IF(EIOPA_RFR!D51&lt;0%,EIOPA_RFR!D51,EIOPA_RFR!D51*(1+VLOOKUP($B$71,Int_Rate_Param,3,FALSE))),IF(EIOPA_RFR!D51&lt;0%,EIOPA_RFR!D51,EIOPA_RFR!D51*(1+VLOOKUP($B90,Int_Rate_Param,3,FALSE))))</f>
        <v>1.6578499999999999E-2</v>
      </c>
      <c r="E90" s="94">
        <f>IF($B90&gt;20,IF(EIOPA_RFR!E51&lt;0%,EIOPA_RFR!E51,EIOPA_RFR!E51*(1+VLOOKUP($B$71,Int_Rate_Param,3,FALSE))),IF(EIOPA_RFR!E51&lt;0%,EIOPA_RFR!E51,EIOPA_RFR!E51*(1+VLOOKUP($B90,Int_Rate_Param,3,FALSE))))</f>
        <v>1.6578499999999999E-2</v>
      </c>
      <c r="F90" s="94">
        <f>IF($B90&gt;20,IF(EIOPA_RFR!F51&lt;0%,EIOPA_RFR!F51,EIOPA_RFR!F51*(1+VLOOKUP($B$71,Int_Rate_Param,3,FALSE))),IF(EIOPA_RFR!F51&lt;0%,EIOPA_RFR!F51,EIOPA_RFR!F51*(1+VLOOKUP($B90,Int_Rate_Param,3,FALSE))))</f>
        <v>1.63442E-2</v>
      </c>
      <c r="G90" s="94">
        <f>IF($B90&gt;20,IF(EIOPA_RFR!G51&lt;0%,EIOPA_RFR!G51,EIOPA_RFR!G51*(1+VLOOKUP($B$71,Int_Rate_Param,3,FALSE))),IF(EIOPA_RFR!G51&lt;0%,EIOPA_RFR!G51,EIOPA_RFR!G51*(1+VLOOKUP($B90,Int_Rate_Param,3,FALSE))))</f>
        <v>2.6326800000000001E-2</v>
      </c>
      <c r="H90" s="94">
        <f>IF($B90&gt;20,IF(EIOPA_RFR!H51&lt;0%,EIOPA_RFR!H51,EIOPA_RFR!H51*(1+VLOOKUP($B$71,Int_Rate_Param,3,FALSE))),IF(EIOPA_RFR!H51&lt;0%,EIOPA_RFR!H51,EIOPA_RFR!H51*(1+VLOOKUP($B90,Int_Rate_Param,3,FALSE))))</f>
        <v>1.6578499999999999E-2</v>
      </c>
      <c r="I90" s="94">
        <f>IF($B90&gt;20,IF(EIOPA_RFR!I51&lt;0%,EIOPA_RFR!I51,EIOPA_RFR!I51*(1+VLOOKUP($B$71,Int_Rate_Param,3,FALSE))),IF(EIOPA_RFR!I51&lt;0%,EIOPA_RFR!I51,EIOPA_RFR!I51*(1+VLOOKUP($B90,Int_Rate_Param,3,FALSE))))</f>
        <v>1.91203E-2</v>
      </c>
      <c r="J90" s="94">
        <f>IF($B90&gt;20,IF(EIOPA_RFR!J51&lt;0%,EIOPA_RFR!J51,EIOPA_RFR!J51*(1+VLOOKUP($B$71,Int_Rate_Param,3,FALSE))),IF(EIOPA_RFR!J51&lt;0%,EIOPA_RFR!J51,EIOPA_RFR!J51*(1+VLOOKUP($B90,Int_Rate_Param,3,FALSE))))</f>
        <v>1.65288E-2</v>
      </c>
      <c r="K90" s="94">
        <f>IF($B90&gt;20,IF(EIOPA_RFR!K51&lt;0%,EIOPA_RFR!K51,EIOPA_RFR!K51*(1+VLOOKUP($B$71,Int_Rate_Param,3,FALSE))),IF(EIOPA_RFR!K51&lt;0%,EIOPA_RFR!K51,EIOPA_RFR!K51*(1+VLOOKUP($B90,Int_Rate_Param,3,FALSE))))</f>
        <v>1.6578499999999999E-2</v>
      </c>
      <c r="L90" s="94">
        <f>IF($B90&gt;20,IF(EIOPA_RFR!L51&lt;0%,EIOPA_RFR!L51,EIOPA_RFR!L51*(1+VLOOKUP($B$71,Int_Rate_Param,3,FALSE))),IF(EIOPA_RFR!L51&lt;0%,EIOPA_RFR!L51,EIOPA_RFR!L51*(1+VLOOKUP($B90,Int_Rate_Param,3,FALSE))))</f>
        <v>1.6578499999999999E-2</v>
      </c>
      <c r="M90" s="94">
        <f>IF($B90&gt;20,IF(EIOPA_RFR!M51&lt;0%,EIOPA_RFR!M51,EIOPA_RFR!M51*(1+VLOOKUP($B$71,Int_Rate_Param,3,FALSE))),IF(EIOPA_RFR!M51&lt;0%,EIOPA_RFR!M51,EIOPA_RFR!M51*(1+VLOOKUP($B90,Int_Rate_Param,3,FALSE))))</f>
        <v>1.6578499999999999E-2</v>
      </c>
      <c r="N90" s="94">
        <f>IF($B90&gt;20,IF(EIOPA_RFR!N51&lt;0%,EIOPA_RFR!N51,EIOPA_RFR!N51*(1+VLOOKUP($B$71,Int_Rate_Param,3,FALSE))),IF(EIOPA_RFR!N51&lt;0%,EIOPA_RFR!N51,EIOPA_RFR!N51*(1+VLOOKUP($B90,Int_Rate_Param,3,FALSE))))</f>
        <v>1.6578499999999999E-2</v>
      </c>
      <c r="O90" s="94">
        <f>IF($B90&gt;20,IF(EIOPA_RFR!O51&lt;0%,EIOPA_RFR!O51,EIOPA_RFR!O51*(1+VLOOKUP($B$71,Int_Rate_Param,3,FALSE))),IF(EIOPA_RFR!O51&lt;0%,EIOPA_RFR!O51,EIOPA_RFR!O51*(1+VLOOKUP($B90,Int_Rate_Param,3,FALSE))))</f>
        <v>1.6578499999999999E-2</v>
      </c>
      <c r="P90" s="94">
        <f>IF($B90&gt;20,IF(EIOPA_RFR!P51&lt;0%,EIOPA_RFR!P51,EIOPA_RFR!P51*(1+VLOOKUP($B$71,Int_Rate_Param,3,FALSE))),IF(EIOPA_RFR!P51&lt;0%,EIOPA_RFR!P51,EIOPA_RFR!P51*(1+VLOOKUP($B90,Int_Rate_Param,3,FALSE))))</f>
        <v>3.0842399999999999E-2</v>
      </c>
      <c r="Q90" s="94">
        <f>IF($B90&gt;20,IF(EIOPA_RFR!Q51&lt;0%,EIOPA_RFR!Q51,EIOPA_RFR!Q51*(1+VLOOKUP($B$71,Int_Rate_Param,3,FALSE))),IF(EIOPA_RFR!Q51&lt;0%,EIOPA_RFR!Q51,EIOPA_RFR!Q51*(1+VLOOKUP($B90,Int_Rate_Param,3,FALSE))))</f>
        <v>3.1829299999999998E-2</v>
      </c>
      <c r="R90" s="94">
        <f>IF($B90&gt;20,IF(EIOPA_RFR!R51&lt;0%,EIOPA_RFR!R51,EIOPA_RFR!R51*(1+VLOOKUP($B$71,Int_Rate_Param,3,FALSE))),IF(EIOPA_RFR!R51&lt;0%,EIOPA_RFR!R51,EIOPA_RFR!R51*(1+VLOOKUP($B90,Int_Rate_Param,3,FALSE))))</f>
        <v>1.6578499999999999E-2</v>
      </c>
      <c r="S90" s="94">
        <f>IF($B90&gt;20,IF(EIOPA_RFR!S51&lt;0%,EIOPA_RFR!S51,EIOPA_RFR!S51*(1+VLOOKUP($B$71,Int_Rate_Param,3,FALSE))),IF(EIOPA_RFR!S51&lt;0%,EIOPA_RFR!S51,EIOPA_RFR!S51*(1+VLOOKUP($B90,Int_Rate_Param,3,FALSE))))</f>
        <v>1.6578499999999999E-2</v>
      </c>
      <c r="T90" s="94">
        <f>IF($B90&gt;20,IF(EIOPA_RFR!T51&lt;0%,EIOPA_RFR!T51,EIOPA_RFR!T51*(1+VLOOKUP($B$71,Int_Rate_Param,3,FALSE))),IF(EIOPA_RFR!T51&lt;0%,EIOPA_RFR!T51,EIOPA_RFR!T51*(1+VLOOKUP($B90,Int_Rate_Param,3,FALSE))))</f>
        <v>1.6578499999999999E-2</v>
      </c>
      <c r="U90" s="94">
        <f>IF($B90&gt;20,IF(EIOPA_RFR!U51&lt;0%,EIOPA_RFR!U51,EIOPA_RFR!U51*(1+VLOOKUP($B$71,Int_Rate_Param,3,FALSE))),IF(EIOPA_RFR!U51&lt;0%,EIOPA_RFR!U51,EIOPA_RFR!U51*(1+VLOOKUP($B90,Int_Rate_Param,3,FALSE))))</f>
        <v>8.1081999999999994E-3</v>
      </c>
      <c r="V90" s="94">
        <f>IF($B90&gt;20,IF(EIOPA_RFR!V51&lt;0%,EIOPA_RFR!V51,EIOPA_RFR!V51*(1+VLOOKUP($B$71,Int_Rate_Param,3,FALSE))),IF(EIOPA_RFR!V51&lt;0%,EIOPA_RFR!V51,EIOPA_RFR!V51*(1+VLOOKUP($B90,Int_Rate_Param,3,FALSE))))</f>
        <v>1.6578499999999999E-2</v>
      </c>
      <c r="W90" s="94">
        <f>IF($B90&gt;20,IF(EIOPA_RFR!W51&lt;0%,EIOPA_RFR!W51,EIOPA_RFR!W51*(1+VLOOKUP($B$71,Int_Rate_Param,3,FALSE))),IF(EIOPA_RFR!W51&lt;0%,EIOPA_RFR!W51,EIOPA_RFR!W51*(1+VLOOKUP($B90,Int_Rate_Param,3,FALSE))))</f>
        <v>1.6578499999999999E-2</v>
      </c>
      <c r="X90" s="94">
        <f>IF($B90&gt;20,IF(EIOPA_RFR!X51&lt;0%,EIOPA_RFR!X51,EIOPA_RFR!X51*(1+VLOOKUP($B$71,Int_Rate_Param,3,FALSE))),IF(EIOPA_RFR!X51&lt;0%,EIOPA_RFR!X51,EIOPA_RFR!X51*(1+VLOOKUP($B90,Int_Rate_Param,3,FALSE))))</f>
        <v>1.6578499999999999E-2</v>
      </c>
      <c r="Y90" s="94">
        <f>IF($B90&gt;20,IF(EIOPA_RFR!Y51&lt;0%,EIOPA_RFR!Y51,EIOPA_RFR!Y51*(1+VLOOKUP($B$71,Int_Rate_Param,3,FALSE))),IF(EIOPA_RFR!Y51&lt;0%,EIOPA_RFR!Y51,EIOPA_RFR!Y51*(1+VLOOKUP($B90,Int_Rate_Param,3,FALSE))))</f>
        <v>1.6578499999999999E-2</v>
      </c>
      <c r="Z90" s="94">
        <f>IF($B90&gt;20,IF(EIOPA_RFR!Z51&lt;0%,EIOPA_RFR!Z51,EIOPA_RFR!Z51*(1+VLOOKUP($B$71,Int_Rate_Param,3,FALSE))),IF(EIOPA_RFR!Z51&lt;0%,EIOPA_RFR!Z51,EIOPA_RFR!Z51*(1+VLOOKUP($B90,Int_Rate_Param,3,FALSE))))</f>
        <v>2.2748399999999998E-2</v>
      </c>
      <c r="AA90" s="94">
        <f>IF($B90&gt;20,IF(EIOPA_RFR!AA51&lt;0%,EIOPA_RFR!AA51,EIOPA_RFR!AA51*(1+VLOOKUP($B$71,Int_Rate_Param,3,FALSE))),IF(EIOPA_RFR!AA51&lt;0%,EIOPA_RFR!AA51,EIOPA_RFR!AA51*(1+VLOOKUP($B90,Int_Rate_Param,3,FALSE))))</f>
        <v>2.8925399999999997E-2</v>
      </c>
      <c r="AB90" s="94">
        <f>IF($B90&gt;20,IF(EIOPA_RFR!AB51&lt;0%,EIOPA_RFR!AB51,EIOPA_RFR!AB51*(1+VLOOKUP($B$71,Int_Rate_Param,3,FALSE))),IF(EIOPA_RFR!AB51&lt;0%,EIOPA_RFR!AB51,EIOPA_RFR!AB51*(1+VLOOKUP($B90,Int_Rate_Param,3,FALSE))))</f>
        <v>1.6578499999999999E-2</v>
      </c>
      <c r="AC90" s="94">
        <f>IF($B90&gt;20,IF(EIOPA_RFR!AC51&lt;0%,EIOPA_RFR!AC51,EIOPA_RFR!AC51*(1+VLOOKUP($B$71,Int_Rate_Param,3,FALSE))),IF(EIOPA_RFR!AC51&lt;0%,EIOPA_RFR!AC51,EIOPA_RFR!AC51*(1+VLOOKUP($B90,Int_Rate_Param,3,FALSE))))</f>
        <v>3.1062499999999996E-2</v>
      </c>
      <c r="AD90" s="94">
        <f>IF($B90&gt;20,IF(EIOPA_RFR!AD51&lt;0%,EIOPA_RFR!AD51,EIOPA_RFR!AD51*(1+VLOOKUP($B$71,Int_Rate_Param,3,FALSE))),IF(EIOPA_RFR!AD51&lt;0%,EIOPA_RFR!AD51,EIOPA_RFR!AD51*(1+VLOOKUP($B90,Int_Rate_Param,3,FALSE))))</f>
        <v>4.04558E-2</v>
      </c>
      <c r="AE90" s="94">
        <f>IF($B90&gt;20,IF(EIOPA_RFR!AE51&lt;0%,EIOPA_RFR!AE51,EIOPA_RFR!AE51*(1+VLOOKUP($B$71,Int_Rate_Param,3,FALSE))),IF(EIOPA_RFR!AE51&lt;0%,EIOPA_RFR!AE51,EIOPA_RFR!AE51*(1+VLOOKUP($B90,Int_Rate_Param,3,FALSE))))</f>
        <v>1.6578499999999999E-2</v>
      </c>
      <c r="AF90" s="94">
        <f>IF($B90&gt;20,IF(EIOPA_RFR!AF51&lt;0%,EIOPA_RFR!AF51,EIOPA_RFR!AF51*(1+VLOOKUP($B$71,Int_Rate_Param,3,FALSE))),IF(EIOPA_RFR!AF51&lt;0%,EIOPA_RFR!AF51,EIOPA_RFR!AF51*(1+VLOOKUP($B90,Int_Rate_Param,3,FALSE))))</f>
        <v>1.6578499999999999E-2</v>
      </c>
      <c r="AG90" s="94">
        <f>IF($B90&gt;20,IF(EIOPA_RFR!AG51&lt;0%,EIOPA_RFR!AG51,EIOPA_RFR!AG51*(1+VLOOKUP($B$71,Int_Rate_Param,3,FALSE))),IF(EIOPA_RFR!AG51&lt;0%,EIOPA_RFR!AG51,EIOPA_RFR!AG51*(1+VLOOKUP($B90,Int_Rate_Param,3,FALSE))))</f>
        <v>1.6578499999999999E-2</v>
      </c>
      <c r="AH90" s="94">
        <f>IF($B90&gt;20,IF(EIOPA_RFR!AH51&lt;0%,EIOPA_RFR!AH51,EIOPA_RFR!AH51*(1+VLOOKUP($B$71,Int_Rate_Param,3,FALSE))),IF(EIOPA_RFR!AH51&lt;0%,EIOPA_RFR!AH51,EIOPA_RFR!AH51*(1+VLOOKUP($B90,Int_Rate_Param,3,FALSE))))</f>
        <v>2.3351900000000002E-2</v>
      </c>
      <c r="AI90" s="94">
        <f>IF($B90&gt;20,IF(EIOPA_RFR!AI51&lt;0%,EIOPA_RFR!AI51,EIOPA_RFR!AI51*(1+VLOOKUP($B$71,Int_Rate_Param,3,FALSE))),IF(EIOPA_RFR!AI51&lt;0%,EIOPA_RFR!AI51,EIOPA_RFR!AI51*(1+VLOOKUP($B90,Int_Rate_Param,3,FALSE))))</f>
        <v>8.1081999999999994E-3</v>
      </c>
      <c r="AJ90" s="94">
        <f>IF($B90&gt;20,IF(EIOPA_RFR!AJ51&lt;0%,EIOPA_RFR!AJ51,EIOPA_RFR!AJ51*(1+VLOOKUP($B$71,Int_Rate_Param,3,FALSE))),IF(EIOPA_RFR!AJ51&lt;0%,EIOPA_RFR!AJ51,EIOPA_RFR!AJ51*(1+VLOOKUP($B90,Int_Rate_Param,3,FALSE))))</f>
        <v>8.2359999999999985E-3</v>
      </c>
      <c r="AK90" s="94">
        <f>IF($B90&gt;20,IF(EIOPA_RFR!AK51&lt;0%,EIOPA_RFR!AK51,EIOPA_RFR!AK51*(1+VLOOKUP($B$71,Int_Rate_Param,3,FALSE))),IF(EIOPA_RFR!AK51&lt;0%,EIOPA_RFR!AK51,EIOPA_RFR!AK51*(1+VLOOKUP($B90,Int_Rate_Param,3,FALSE))))</f>
        <v>2.4147099999999998E-2</v>
      </c>
      <c r="AL90" s="94">
        <f>IF($B90&gt;20,IF(EIOPA_RFR!AL51&lt;0%,EIOPA_RFR!AL51,EIOPA_RFR!AL51*(1+VLOOKUP($B$71,Int_Rate_Param,3,FALSE))),IF(EIOPA_RFR!AL51&lt;0%,EIOPA_RFR!AL51,EIOPA_RFR!AL51*(1+VLOOKUP($B90,Int_Rate_Param,3,FALSE))))</f>
        <v>5.1276200000000001E-2</v>
      </c>
      <c r="AM90" s="94">
        <f>IF($B90&gt;20,IF(EIOPA_RFR!AM51&lt;0%,EIOPA_RFR!AM51,EIOPA_RFR!AM51*(1+VLOOKUP($B$71,Int_Rate_Param,3,FALSE))),IF(EIOPA_RFR!AM51&lt;0%,EIOPA_RFR!AM51,EIOPA_RFR!AM51*(1+VLOOKUP($B90,Int_Rate_Param,3,FALSE))))</f>
        <v>1.7565400000000002E-2</v>
      </c>
      <c r="AN90" s="94">
        <f>IF($B90&gt;20,IF(EIOPA_RFR!AN51&lt;0%,EIOPA_RFR!AN51,EIOPA_RFR!AN51*(1+VLOOKUP($B$71,Int_Rate_Param,3,FALSE))),IF(EIOPA_RFR!AN51&lt;0%,EIOPA_RFR!AN51,EIOPA_RFR!AN51*(1+VLOOKUP($B90,Int_Rate_Param,3,FALSE))))</f>
        <v>3.0224699999999997E-2</v>
      </c>
      <c r="AO90" s="94">
        <f>IF($B90&gt;20,IF(EIOPA_RFR!AO51&lt;0%,EIOPA_RFR!AO51,EIOPA_RFR!AO51*(1+VLOOKUP($B$71,Int_Rate_Param,3,FALSE))),IF(EIOPA_RFR!AO51&lt;0%,EIOPA_RFR!AO51,EIOPA_RFR!AO51*(1+VLOOKUP($B90,Int_Rate_Param,3,FALSE))))</f>
        <v>3.1140600000000001E-2</v>
      </c>
      <c r="AP90" s="94">
        <f>IF($B90&gt;20,IF(EIOPA_RFR!AP51&lt;0%,EIOPA_RFR!AP51,EIOPA_RFR!AP51*(1+VLOOKUP($B$71,Int_Rate_Param,3,FALSE))),IF(EIOPA_RFR!AP51&lt;0%,EIOPA_RFR!AP51,EIOPA_RFR!AP51*(1+VLOOKUP($B90,Int_Rate_Param,3,FALSE))))</f>
        <v>3.7992100000000001E-2</v>
      </c>
      <c r="AQ90" s="94">
        <f>IF($B90&gt;20,IF(EIOPA_RFR!AQ51&lt;0%,EIOPA_RFR!AQ51,EIOPA_RFR!AQ51*(1+VLOOKUP($B$71,Int_Rate_Param,3,FALSE))),IF(EIOPA_RFR!AQ51&lt;0%,EIOPA_RFR!AQ51,EIOPA_RFR!AQ51*(1+VLOOKUP($B90,Int_Rate_Param,3,FALSE))))</f>
        <v>2.30466E-2</v>
      </c>
      <c r="AR90" s="94">
        <f>IF($B90&gt;20,IF(EIOPA_RFR!AR51&lt;0%,EIOPA_RFR!AR51,EIOPA_RFR!AR51*(1+VLOOKUP($B$71,Int_Rate_Param,3,FALSE))),IF(EIOPA_RFR!AR51&lt;0%,EIOPA_RFR!AR51,EIOPA_RFR!AR51*(1+VLOOKUP($B90,Int_Rate_Param,3,FALSE))))</f>
        <v>4.3650799999999997E-2</v>
      </c>
      <c r="AS90" s="94">
        <f>IF($B90&gt;20,IF(EIOPA_RFR!AS51&lt;0%,EIOPA_RFR!AS51,EIOPA_RFR!AS51*(1+VLOOKUP($B$71,Int_Rate_Param,3,FALSE))),IF(EIOPA_RFR!AS51&lt;0%,EIOPA_RFR!AS51,EIOPA_RFR!AS51*(1+VLOOKUP($B90,Int_Rate_Param,3,FALSE))))</f>
        <v>7.6680000000000003E-3</v>
      </c>
      <c r="AT90" s="94">
        <f>IF($B90&gt;20,IF(EIOPA_RFR!AT51&lt;0%,EIOPA_RFR!AT51,EIOPA_RFR!AT51*(1+VLOOKUP($B$71,Int_Rate_Param,3,FALSE))),IF(EIOPA_RFR!AT51&lt;0%,EIOPA_RFR!AT51,EIOPA_RFR!AT51*(1+VLOOKUP($B90,Int_Rate_Param,3,FALSE))))</f>
        <v>3.08282E-2</v>
      </c>
      <c r="AU90" s="94">
        <f>IF($B90&gt;20,IF(EIOPA_RFR!AU51&lt;0%,EIOPA_RFR!AU51,EIOPA_RFR!AU51*(1+VLOOKUP($B$71,Int_Rate_Param,3,FALSE))),IF(EIOPA_RFR!AU51&lt;0%,EIOPA_RFR!AU51,EIOPA_RFR!AU51*(1+VLOOKUP($B90,Int_Rate_Param,3,FALSE))))</f>
        <v>5.0544899999999997E-2</v>
      </c>
      <c r="AV90" s="94">
        <f>IF($B90&gt;20,IF(EIOPA_RFR!AV51&lt;0%,EIOPA_RFR!AV51,EIOPA_RFR!AV51*(1+VLOOKUP($B$71,Int_Rate_Param,3,FALSE))),IF(EIOPA_RFR!AV51&lt;0%,EIOPA_RFR!AV51,EIOPA_RFR!AV51*(1+VLOOKUP($B90,Int_Rate_Param,3,FALSE))))</f>
        <v>2.9756100000000001E-2</v>
      </c>
      <c r="AW90" s="94">
        <f>IF($B90&gt;20,IF(EIOPA_RFR!AW51&lt;0%,EIOPA_RFR!AW51,EIOPA_RFR!AW51*(1+VLOOKUP($B$71,Int_Rate_Param,3,FALSE))),IF(EIOPA_RFR!AW51&lt;0%,EIOPA_RFR!AW51,EIOPA_RFR!AW51*(1+VLOOKUP($B90,Int_Rate_Param,3,FALSE))))</f>
        <v>2.2861999999999997E-2</v>
      </c>
      <c r="AX90" s="94">
        <f>IF($B90&gt;20,IF(EIOPA_RFR!AX51&lt;0%,EIOPA_RFR!AX51,EIOPA_RFR!AX51*(1+VLOOKUP($B$71,Int_Rate_Param,3,FALSE))),IF(EIOPA_RFR!AX51&lt;0%,EIOPA_RFR!AX51,EIOPA_RFR!AX51*(1+VLOOKUP($B90,Int_Rate_Param,3,FALSE))))</f>
        <v>5.0289300000000002E-2</v>
      </c>
      <c r="AY90" s="94">
        <f>IF($B90&gt;20,IF(EIOPA_RFR!AY51&lt;0%,EIOPA_RFR!AY51,EIOPA_RFR!AY51*(1+VLOOKUP($B$71,Int_Rate_Param,3,FALSE))),IF(EIOPA_RFR!AY51&lt;0%,EIOPA_RFR!AY51,EIOPA_RFR!AY51*(1+VLOOKUP($B90,Int_Rate_Param,3,FALSE))))</f>
        <v>1.8829199999999997E-2</v>
      </c>
      <c r="AZ90" s="94">
        <f>IF($B90&gt;20,IF(EIOPA_RFR!AZ51&lt;0%,EIOPA_RFR!AZ51,EIOPA_RFR!AZ51*(1+VLOOKUP($B$71,Int_Rate_Param,3,FALSE))),IF(EIOPA_RFR!AZ51&lt;0%,EIOPA_RFR!AZ51,EIOPA_RFR!AZ51*(1+VLOOKUP($B90,Int_Rate_Param,3,FALSE))))</f>
        <v>2.0440899999999998E-2</v>
      </c>
      <c r="BA90" s="94">
        <f>IF($B90&gt;20,IF(EIOPA_RFR!BA51&lt;0%,EIOPA_RFR!BA51,EIOPA_RFR!BA51*(1+VLOOKUP($B$71,Int_Rate_Param,3,FALSE))),IF(EIOPA_RFR!BA51&lt;0%,EIOPA_RFR!BA51,EIOPA_RFR!BA51*(1+VLOOKUP($B90,Int_Rate_Param,3,FALSE))))</f>
        <v>2.4722199999999996E-2</v>
      </c>
      <c r="BB90" s="94">
        <f>IF($B90&gt;20,IF(EIOPA_RFR!BB51&lt;0%,EIOPA_RFR!BB51,EIOPA_RFR!BB51*(1+VLOOKUP($B$71,Int_Rate_Param,3,FALSE))),IF(EIOPA_RFR!BB51&lt;0%,EIOPA_RFR!BB51,EIOPA_RFR!BB51*(1+VLOOKUP($B90,Int_Rate_Param,3,FALSE))))</f>
        <v>5.2838199999999995E-2</v>
      </c>
      <c r="BC90" s="94">
        <f>IF($B90&gt;20,IF(EIOPA_RFR!BC51&lt;0%,EIOPA_RFR!BC51,EIOPA_RFR!BC51*(1+VLOOKUP($B$71,Int_Rate_Param,3,FALSE))),IF(EIOPA_RFR!BC51&lt;0%,EIOPA_RFR!BC51,EIOPA_RFR!BC51*(1+VLOOKUP($B90,Int_Rate_Param,3,FALSE))))</f>
        <v>1.7877799999999999E-2</v>
      </c>
    </row>
    <row r="91" spans="1:55" x14ac:dyDescent="0.25">
      <c r="A91">
        <f t="shared" si="1"/>
        <v>42</v>
      </c>
      <c r="B91" s="95">
        <v>40</v>
      </c>
      <c r="C91" s="94">
        <f>IF($B91&gt;20,IF(EIOPA_RFR!C52&lt;0%,EIOPA_RFR!C52,EIOPA_RFR!C52*(1+VLOOKUP($B$71,Int_Rate_Param,3,FALSE))),IF(EIOPA_RFR!C52&lt;0%,EIOPA_RFR!C52,EIOPA_RFR!C52*(1+VLOOKUP($B91,Int_Rate_Param,3,FALSE))))</f>
        <v>1.6876699999999998E-2</v>
      </c>
      <c r="D91" s="94">
        <f>IF($B91&gt;20,IF(EIOPA_RFR!D52&lt;0%,EIOPA_RFR!D52,EIOPA_RFR!D52*(1+VLOOKUP($B$71,Int_Rate_Param,3,FALSE))),IF(EIOPA_RFR!D52&lt;0%,EIOPA_RFR!D52,EIOPA_RFR!D52*(1+VLOOKUP($B91,Int_Rate_Param,3,FALSE))))</f>
        <v>1.6876699999999998E-2</v>
      </c>
      <c r="E91" s="94">
        <f>IF($B91&gt;20,IF(EIOPA_RFR!E52&lt;0%,EIOPA_RFR!E52,EIOPA_RFR!E52*(1+VLOOKUP($B$71,Int_Rate_Param,3,FALSE))),IF(EIOPA_RFR!E52&lt;0%,EIOPA_RFR!E52,EIOPA_RFR!E52*(1+VLOOKUP($B91,Int_Rate_Param,3,FALSE))))</f>
        <v>1.6876699999999998E-2</v>
      </c>
      <c r="F91" s="94">
        <f>IF($B91&gt;20,IF(EIOPA_RFR!F52&lt;0%,EIOPA_RFR!F52,EIOPA_RFR!F52*(1+VLOOKUP($B$71,Int_Rate_Param,3,FALSE))),IF(EIOPA_RFR!F52&lt;0%,EIOPA_RFR!F52,EIOPA_RFR!F52*(1+VLOOKUP($B91,Int_Rate_Param,3,FALSE))))</f>
        <v>1.6656600000000001E-2</v>
      </c>
      <c r="G91" s="94">
        <f>IF($B91&gt;20,IF(EIOPA_RFR!G52&lt;0%,EIOPA_RFR!G52,EIOPA_RFR!G52*(1+VLOOKUP($B$71,Int_Rate_Param,3,FALSE))),IF(EIOPA_RFR!G52&lt;0%,EIOPA_RFR!G52,EIOPA_RFR!G52*(1+VLOOKUP($B91,Int_Rate_Param,3,FALSE))))</f>
        <v>2.6404899999999999E-2</v>
      </c>
      <c r="H91" s="94">
        <f>IF($B91&gt;20,IF(EIOPA_RFR!H52&lt;0%,EIOPA_RFR!H52,EIOPA_RFR!H52*(1+VLOOKUP($B$71,Int_Rate_Param,3,FALSE))),IF(EIOPA_RFR!H52&lt;0%,EIOPA_RFR!H52,EIOPA_RFR!H52*(1+VLOOKUP($B91,Int_Rate_Param,3,FALSE))))</f>
        <v>1.6876699999999998E-2</v>
      </c>
      <c r="I91" s="94">
        <f>IF($B91&gt;20,IF(EIOPA_RFR!I52&lt;0%,EIOPA_RFR!I52,EIOPA_RFR!I52*(1+VLOOKUP($B$71,Int_Rate_Param,3,FALSE))),IF(EIOPA_RFR!I52&lt;0%,EIOPA_RFR!I52,EIOPA_RFR!I52*(1+VLOOKUP($B91,Int_Rate_Param,3,FALSE))))</f>
        <v>1.9361699999999999E-2</v>
      </c>
      <c r="J91" s="94">
        <f>IF($B91&gt;20,IF(EIOPA_RFR!J52&lt;0%,EIOPA_RFR!J52,EIOPA_RFR!J52*(1+VLOOKUP($B$71,Int_Rate_Param,3,FALSE))),IF(EIOPA_RFR!J52&lt;0%,EIOPA_RFR!J52,EIOPA_RFR!J52*(1+VLOOKUP($B91,Int_Rate_Param,3,FALSE))))</f>
        <v>1.6834099999999998E-2</v>
      </c>
      <c r="K91" s="94">
        <f>IF($B91&gt;20,IF(EIOPA_RFR!K52&lt;0%,EIOPA_RFR!K52,EIOPA_RFR!K52*(1+VLOOKUP($B$71,Int_Rate_Param,3,FALSE))),IF(EIOPA_RFR!K52&lt;0%,EIOPA_RFR!K52,EIOPA_RFR!K52*(1+VLOOKUP($B91,Int_Rate_Param,3,FALSE))))</f>
        <v>1.6876699999999998E-2</v>
      </c>
      <c r="L91" s="94">
        <f>IF($B91&gt;20,IF(EIOPA_RFR!L52&lt;0%,EIOPA_RFR!L52,EIOPA_RFR!L52*(1+VLOOKUP($B$71,Int_Rate_Param,3,FALSE))),IF(EIOPA_RFR!L52&lt;0%,EIOPA_RFR!L52,EIOPA_RFR!L52*(1+VLOOKUP($B91,Int_Rate_Param,3,FALSE))))</f>
        <v>1.6876699999999998E-2</v>
      </c>
      <c r="M91" s="94">
        <f>IF($B91&gt;20,IF(EIOPA_RFR!M52&lt;0%,EIOPA_RFR!M52,EIOPA_RFR!M52*(1+VLOOKUP($B$71,Int_Rate_Param,3,FALSE))),IF(EIOPA_RFR!M52&lt;0%,EIOPA_RFR!M52,EIOPA_RFR!M52*(1+VLOOKUP($B91,Int_Rate_Param,3,FALSE))))</f>
        <v>1.6876699999999998E-2</v>
      </c>
      <c r="N91" s="94">
        <f>IF($B91&gt;20,IF(EIOPA_RFR!N52&lt;0%,EIOPA_RFR!N52,EIOPA_RFR!N52*(1+VLOOKUP($B$71,Int_Rate_Param,3,FALSE))),IF(EIOPA_RFR!N52&lt;0%,EIOPA_RFR!N52,EIOPA_RFR!N52*(1+VLOOKUP($B91,Int_Rate_Param,3,FALSE))))</f>
        <v>1.6876699999999998E-2</v>
      </c>
      <c r="O91" s="94">
        <f>IF($B91&gt;20,IF(EIOPA_RFR!O52&lt;0%,EIOPA_RFR!O52,EIOPA_RFR!O52*(1+VLOOKUP($B$71,Int_Rate_Param,3,FALSE))),IF(EIOPA_RFR!O52&lt;0%,EIOPA_RFR!O52,EIOPA_RFR!O52*(1+VLOOKUP($B91,Int_Rate_Param,3,FALSE))))</f>
        <v>1.6876699999999998E-2</v>
      </c>
      <c r="P91" s="94">
        <f>IF($B91&gt;20,IF(EIOPA_RFR!P52&lt;0%,EIOPA_RFR!P52,EIOPA_RFR!P52*(1+VLOOKUP($B$71,Int_Rate_Param,3,FALSE))),IF(EIOPA_RFR!P52&lt;0%,EIOPA_RFR!P52,EIOPA_RFR!P52*(1+VLOOKUP($B91,Int_Rate_Param,3,FALSE))))</f>
        <v>3.08353E-2</v>
      </c>
      <c r="Q91" s="94">
        <f>IF($B91&gt;20,IF(EIOPA_RFR!Q52&lt;0%,EIOPA_RFR!Q52,EIOPA_RFR!Q52*(1+VLOOKUP($B$71,Int_Rate_Param,3,FALSE))),IF(EIOPA_RFR!Q52&lt;0%,EIOPA_RFR!Q52,EIOPA_RFR!Q52*(1+VLOOKUP($B91,Int_Rate_Param,3,FALSE))))</f>
        <v>3.1786699999999994E-2</v>
      </c>
      <c r="R91" s="94">
        <f>IF($B91&gt;20,IF(EIOPA_RFR!R52&lt;0%,EIOPA_RFR!R52,EIOPA_RFR!R52*(1+VLOOKUP($B$71,Int_Rate_Param,3,FALSE))),IF(EIOPA_RFR!R52&lt;0%,EIOPA_RFR!R52,EIOPA_RFR!R52*(1+VLOOKUP($B91,Int_Rate_Param,3,FALSE))))</f>
        <v>1.6876699999999998E-2</v>
      </c>
      <c r="S91" s="94">
        <f>IF($B91&gt;20,IF(EIOPA_RFR!S52&lt;0%,EIOPA_RFR!S52,EIOPA_RFR!S52*(1+VLOOKUP($B$71,Int_Rate_Param,3,FALSE))),IF(EIOPA_RFR!S52&lt;0%,EIOPA_RFR!S52,EIOPA_RFR!S52*(1+VLOOKUP($B91,Int_Rate_Param,3,FALSE))))</f>
        <v>1.6876699999999998E-2</v>
      </c>
      <c r="T91" s="94">
        <f>IF($B91&gt;20,IF(EIOPA_RFR!T52&lt;0%,EIOPA_RFR!T52,EIOPA_RFR!T52*(1+VLOOKUP($B$71,Int_Rate_Param,3,FALSE))),IF(EIOPA_RFR!T52&lt;0%,EIOPA_RFR!T52,EIOPA_RFR!T52*(1+VLOOKUP($B91,Int_Rate_Param,3,FALSE))))</f>
        <v>1.6876699999999998E-2</v>
      </c>
      <c r="U91" s="94">
        <f>IF($B91&gt;20,IF(EIOPA_RFR!U52&lt;0%,EIOPA_RFR!U52,EIOPA_RFR!U52*(1+VLOOKUP($B$71,Int_Rate_Param,3,FALSE))),IF(EIOPA_RFR!U52&lt;0%,EIOPA_RFR!U52,EIOPA_RFR!U52*(1+VLOOKUP($B91,Int_Rate_Param,3,FALSE))))</f>
        <v>8.4206000000000003E-3</v>
      </c>
      <c r="V91" s="94">
        <f>IF($B91&gt;20,IF(EIOPA_RFR!V52&lt;0%,EIOPA_RFR!V52,EIOPA_RFR!V52*(1+VLOOKUP($B$71,Int_Rate_Param,3,FALSE))),IF(EIOPA_RFR!V52&lt;0%,EIOPA_RFR!V52,EIOPA_RFR!V52*(1+VLOOKUP($B91,Int_Rate_Param,3,FALSE))))</f>
        <v>1.6876699999999998E-2</v>
      </c>
      <c r="W91" s="94">
        <f>IF($B91&gt;20,IF(EIOPA_RFR!W52&lt;0%,EIOPA_RFR!W52,EIOPA_RFR!W52*(1+VLOOKUP($B$71,Int_Rate_Param,3,FALSE))),IF(EIOPA_RFR!W52&lt;0%,EIOPA_RFR!W52,EIOPA_RFR!W52*(1+VLOOKUP($B91,Int_Rate_Param,3,FALSE))))</f>
        <v>1.6876699999999998E-2</v>
      </c>
      <c r="X91" s="94">
        <f>IF($B91&gt;20,IF(EIOPA_RFR!X52&lt;0%,EIOPA_RFR!X52,EIOPA_RFR!X52*(1+VLOOKUP($B$71,Int_Rate_Param,3,FALSE))),IF(EIOPA_RFR!X52&lt;0%,EIOPA_RFR!X52,EIOPA_RFR!X52*(1+VLOOKUP($B91,Int_Rate_Param,3,FALSE))))</f>
        <v>1.6876699999999998E-2</v>
      </c>
      <c r="Y91" s="94">
        <f>IF($B91&gt;20,IF(EIOPA_RFR!Y52&lt;0%,EIOPA_RFR!Y52,EIOPA_RFR!Y52*(1+VLOOKUP($B$71,Int_Rate_Param,3,FALSE))),IF(EIOPA_RFR!Y52&lt;0%,EIOPA_RFR!Y52,EIOPA_RFR!Y52*(1+VLOOKUP($B91,Int_Rate_Param,3,FALSE))))</f>
        <v>1.6876699999999998E-2</v>
      </c>
      <c r="Z91" s="94">
        <f>IF($B91&gt;20,IF(EIOPA_RFR!Z52&lt;0%,EIOPA_RFR!Z52,EIOPA_RFR!Z52*(1+VLOOKUP($B$71,Int_Rate_Param,3,FALSE))),IF(EIOPA_RFR!Z52&lt;0%,EIOPA_RFR!Z52,EIOPA_RFR!Z52*(1+VLOOKUP($B91,Int_Rate_Param,3,FALSE))))</f>
        <v>2.2904599999999997E-2</v>
      </c>
      <c r="AA91" s="94">
        <f>IF($B91&gt;20,IF(EIOPA_RFR!AA52&lt;0%,EIOPA_RFR!AA52,EIOPA_RFR!AA52*(1+VLOOKUP($B$71,Int_Rate_Param,3,FALSE))),IF(EIOPA_RFR!AA52&lt;0%,EIOPA_RFR!AA52,EIOPA_RFR!AA52*(1+VLOOKUP($B91,Int_Rate_Param,3,FALSE))))</f>
        <v>2.8960899999999998E-2</v>
      </c>
      <c r="AB91" s="94">
        <f>IF($B91&gt;20,IF(EIOPA_RFR!AB52&lt;0%,EIOPA_RFR!AB52,EIOPA_RFR!AB52*(1+VLOOKUP($B$71,Int_Rate_Param,3,FALSE))),IF(EIOPA_RFR!AB52&lt;0%,EIOPA_RFR!AB52,EIOPA_RFR!AB52*(1+VLOOKUP($B91,Int_Rate_Param,3,FALSE))))</f>
        <v>1.6876699999999998E-2</v>
      </c>
      <c r="AC91" s="94">
        <f>IF($B91&gt;20,IF(EIOPA_RFR!AC52&lt;0%,EIOPA_RFR!AC52,EIOPA_RFR!AC52*(1+VLOOKUP($B$71,Int_Rate_Param,3,FALSE))),IF(EIOPA_RFR!AC52&lt;0%,EIOPA_RFR!AC52,EIOPA_RFR!AC52*(1+VLOOKUP($B91,Int_Rate_Param,3,FALSE))))</f>
        <v>3.1041200000000001E-2</v>
      </c>
      <c r="AD91" s="94">
        <f>IF($B91&gt;20,IF(EIOPA_RFR!AD52&lt;0%,EIOPA_RFR!AD52,EIOPA_RFR!AD52*(1+VLOOKUP($B$71,Int_Rate_Param,3,FALSE))),IF(EIOPA_RFR!AD52&lt;0%,EIOPA_RFR!AD52,EIOPA_RFR!AD52*(1+VLOOKUP($B91,Int_Rate_Param,3,FALSE))))</f>
        <v>4.0207299999999994E-2</v>
      </c>
      <c r="AE91" s="94">
        <f>IF($B91&gt;20,IF(EIOPA_RFR!AE52&lt;0%,EIOPA_RFR!AE52,EIOPA_RFR!AE52*(1+VLOOKUP($B$71,Int_Rate_Param,3,FALSE))),IF(EIOPA_RFR!AE52&lt;0%,EIOPA_RFR!AE52,EIOPA_RFR!AE52*(1+VLOOKUP($B91,Int_Rate_Param,3,FALSE))))</f>
        <v>1.6876699999999998E-2</v>
      </c>
      <c r="AF91" s="94">
        <f>IF($B91&gt;20,IF(EIOPA_RFR!AF52&lt;0%,EIOPA_RFR!AF52,EIOPA_RFR!AF52*(1+VLOOKUP($B$71,Int_Rate_Param,3,FALSE))),IF(EIOPA_RFR!AF52&lt;0%,EIOPA_RFR!AF52,EIOPA_RFR!AF52*(1+VLOOKUP($B91,Int_Rate_Param,3,FALSE))))</f>
        <v>1.6876699999999998E-2</v>
      </c>
      <c r="AG91" s="94">
        <f>IF($B91&gt;20,IF(EIOPA_RFR!AG52&lt;0%,EIOPA_RFR!AG52,EIOPA_RFR!AG52*(1+VLOOKUP($B$71,Int_Rate_Param,3,FALSE))),IF(EIOPA_RFR!AG52&lt;0%,EIOPA_RFR!AG52,EIOPA_RFR!AG52*(1+VLOOKUP($B91,Int_Rate_Param,3,FALSE))))</f>
        <v>1.6876699999999998E-2</v>
      </c>
      <c r="AH91" s="94">
        <f>IF($B91&gt;20,IF(EIOPA_RFR!AH52&lt;0%,EIOPA_RFR!AH52,EIOPA_RFR!AH52*(1+VLOOKUP($B$71,Int_Rate_Param,3,FALSE))),IF(EIOPA_RFR!AH52&lt;0%,EIOPA_RFR!AH52,EIOPA_RFR!AH52*(1+VLOOKUP($B91,Int_Rate_Param,3,FALSE))))</f>
        <v>2.3515199999999997E-2</v>
      </c>
      <c r="AI91" s="94">
        <f>IF($B91&gt;20,IF(EIOPA_RFR!AI52&lt;0%,EIOPA_RFR!AI52,EIOPA_RFR!AI52*(1+VLOOKUP($B$71,Int_Rate_Param,3,FALSE))),IF(EIOPA_RFR!AI52&lt;0%,EIOPA_RFR!AI52,EIOPA_RFR!AI52*(1+VLOOKUP($B91,Int_Rate_Param,3,FALSE))))</f>
        <v>8.4206000000000003E-3</v>
      </c>
      <c r="AJ91" s="94">
        <f>IF($B91&gt;20,IF(EIOPA_RFR!AJ52&lt;0%,EIOPA_RFR!AJ52,EIOPA_RFR!AJ52*(1+VLOOKUP($B$71,Int_Rate_Param,3,FALSE))),IF(EIOPA_RFR!AJ52&lt;0%,EIOPA_RFR!AJ52,EIOPA_RFR!AJ52*(1+VLOOKUP($B91,Int_Rate_Param,3,FALSE))))</f>
        <v>8.1436999999999985E-3</v>
      </c>
      <c r="AK91" s="94">
        <f>IF($B91&gt;20,IF(EIOPA_RFR!AK52&lt;0%,EIOPA_RFR!AK52,EIOPA_RFR!AK52*(1+VLOOKUP($B$71,Int_Rate_Param,3,FALSE))),IF(EIOPA_RFR!AK52&lt;0%,EIOPA_RFR!AK52,EIOPA_RFR!AK52*(1+VLOOKUP($B91,Int_Rate_Param,3,FALSE))))</f>
        <v>2.4239399999999998E-2</v>
      </c>
      <c r="AL91" s="94">
        <f>IF($B91&gt;20,IF(EIOPA_RFR!AL52&lt;0%,EIOPA_RFR!AL52,EIOPA_RFR!AL52*(1+VLOOKUP($B$71,Int_Rate_Param,3,FALSE))),IF(EIOPA_RFR!AL52&lt;0%,EIOPA_RFR!AL52,EIOPA_RFR!AL52*(1+VLOOKUP($B91,Int_Rate_Param,3,FALSE))))</f>
        <v>5.0942499999999995E-2</v>
      </c>
      <c r="AM91" s="94">
        <f>IF($B91&gt;20,IF(EIOPA_RFR!AM52&lt;0%,EIOPA_RFR!AM52,EIOPA_RFR!AM52*(1+VLOOKUP($B$71,Int_Rate_Param,3,FALSE))),IF(EIOPA_RFR!AM52&lt;0%,EIOPA_RFR!AM52,EIOPA_RFR!AM52*(1+VLOOKUP($B91,Int_Rate_Param,3,FALSE))))</f>
        <v>1.7792599999999999E-2</v>
      </c>
      <c r="AN91" s="94">
        <f>IF($B91&gt;20,IF(EIOPA_RFR!AN52&lt;0%,EIOPA_RFR!AN52,EIOPA_RFR!AN52*(1+VLOOKUP($B$71,Int_Rate_Param,3,FALSE))),IF(EIOPA_RFR!AN52&lt;0%,EIOPA_RFR!AN52,EIOPA_RFR!AN52*(1+VLOOKUP($B91,Int_Rate_Param,3,FALSE))))</f>
        <v>3.0217599999999997E-2</v>
      </c>
      <c r="AO91" s="94">
        <f>IF($B91&gt;20,IF(EIOPA_RFR!AO52&lt;0%,EIOPA_RFR!AO52,EIOPA_RFR!AO52*(1+VLOOKUP($B$71,Int_Rate_Param,3,FALSE))),IF(EIOPA_RFR!AO52&lt;0%,EIOPA_RFR!AO52,EIOPA_RFR!AO52*(1+VLOOKUP($B91,Int_Rate_Param,3,FALSE))))</f>
        <v>3.1119299999999999E-2</v>
      </c>
      <c r="AP91" s="94">
        <f>IF($B91&gt;20,IF(EIOPA_RFR!AP52&lt;0%,EIOPA_RFR!AP52,EIOPA_RFR!AP52*(1+VLOOKUP($B$71,Int_Rate_Param,3,FALSE))),IF(EIOPA_RFR!AP52&lt;0%,EIOPA_RFR!AP52,EIOPA_RFR!AP52*(1+VLOOKUP($B91,Int_Rate_Param,3,FALSE))))</f>
        <v>3.7807499999999994E-2</v>
      </c>
      <c r="AQ91" s="94">
        <f>IF($B91&gt;20,IF(EIOPA_RFR!AQ52&lt;0%,EIOPA_RFR!AQ52,EIOPA_RFR!AQ52*(1+VLOOKUP($B$71,Int_Rate_Param,3,FALSE))),IF(EIOPA_RFR!AQ52&lt;0%,EIOPA_RFR!AQ52,EIOPA_RFR!AQ52*(1+VLOOKUP($B91,Int_Rate_Param,3,FALSE))))</f>
        <v>2.3202799999999999E-2</v>
      </c>
      <c r="AR91" s="94">
        <f>IF($B91&gt;20,IF(EIOPA_RFR!AR52&lt;0%,EIOPA_RFR!AR52,EIOPA_RFR!AR52*(1+VLOOKUP($B$71,Int_Rate_Param,3,FALSE))),IF(EIOPA_RFR!AR52&lt;0%,EIOPA_RFR!AR52,EIOPA_RFR!AR52*(1+VLOOKUP($B91,Int_Rate_Param,3,FALSE))))</f>
        <v>4.3501699999999997E-2</v>
      </c>
      <c r="AS91" s="94">
        <f>IF($B91&gt;20,IF(EIOPA_RFR!AS52&lt;0%,EIOPA_RFR!AS52,EIOPA_RFR!AS52*(1+VLOOKUP($B$71,Int_Rate_Param,3,FALSE))),IF(EIOPA_RFR!AS52&lt;0%,EIOPA_RFR!AS52,EIOPA_RFR!AS52*(1+VLOOKUP($B91,Int_Rate_Param,3,FALSE))))</f>
        <v>7.951999999999999E-3</v>
      </c>
      <c r="AT91" s="94">
        <f>IF($B91&gt;20,IF(EIOPA_RFR!AT52&lt;0%,EIOPA_RFR!AT52,EIOPA_RFR!AT52*(1+VLOOKUP($B$71,Int_Rate_Param,3,FALSE))),IF(EIOPA_RFR!AT52&lt;0%,EIOPA_RFR!AT52,EIOPA_RFR!AT52*(1+VLOOKUP($B91,Int_Rate_Param,3,FALSE))))</f>
        <v>3.0813999999999998E-2</v>
      </c>
      <c r="AU91" s="94">
        <f>IF($B91&gt;20,IF(EIOPA_RFR!AU52&lt;0%,EIOPA_RFR!AU52,EIOPA_RFR!AU52*(1+VLOOKUP($B$71,Int_Rate_Param,3,FALSE))),IF(EIOPA_RFR!AU52&lt;0%,EIOPA_RFR!AU52,EIOPA_RFR!AU52*(1+VLOOKUP($B91,Int_Rate_Param,3,FALSE))))</f>
        <v>5.0239600000000002E-2</v>
      </c>
      <c r="AV91" s="94">
        <f>IF($B91&gt;20,IF(EIOPA_RFR!AV52&lt;0%,EIOPA_RFR!AV52,EIOPA_RFR!AV52*(1+VLOOKUP($B$71,Int_Rate_Param,3,FALSE))),IF(EIOPA_RFR!AV52&lt;0%,EIOPA_RFR!AV52,EIOPA_RFR!AV52*(1+VLOOKUP($B91,Int_Rate_Param,3,FALSE))))</f>
        <v>2.97703E-2</v>
      </c>
      <c r="AW91" s="94">
        <f>IF($B91&gt;20,IF(EIOPA_RFR!AW52&lt;0%,EIOPA_RFR!AW52,EIOPA_RFR!AW52*(1+VLOOKUP($B$71,Int_Rate_Param,3,FALSE))),IF(EIOPA_RFR!AW52&lt;0%,EIOPA_RFR!AW52,EIOPA_RFR!AW52*(1+VLOOKUP($B91,Int_Rate_Param,3,FALSE))))</f>
        <v>2.30111E-2</v>
      </c>
      <c r="AX91" s="94">
        <f>IF($B91&gt;20,IF(EIOPA_RFR!AX52&lt;0%,EIOPA_RFR!AX52,EIOPA_RFR!AX52*(1+VLOOKUP($B$71,Int_Rate_Param,3,FALSE))),IF(EIOPA_RFR!AX52&lt;0%,EIOPA_RFR!AX52,EIOPA_RFR!AX52*(1+VLOOKUP($B91,Int_Rate_Param,3,FALSE))))</f>
        <v>4.9976899999999991E-2</v>
      </c>
      <c r="AY91" s="94">
        <f>IF($B91&gt;20,IF(EIOPA_RFR!AY52&lt;0%,EIOPA_RFR!AY52,EIOPA_RFR!AY52*(1+VLOOKUP($B$71,Int_Rate_Param,3,FALSE))),IF(EIOPA_RFR!AY52&lt;0%,EIOPA_RFR!AY52,EIOPA_RFR!AY52*(1+VLOOKUP($B91,Int_Rate_Param,3,FALSE))))</f>
        <v>1.90777E-2</v>
      </c>
      <c r="AZ91" s="94">
        <f>IF($B91&gt;20,IF(EIOPA_RFR!AZ52&lt;0%,EIOPA_RFR!AZ52,EIOPA_RFR!AZ52*(1+VLOOKUP($B$71,Int_Rate_Param,3,FALSE))),IF(EIOPA_RFR!AZ52&lt;0%,EIOPA_RFR!AZ52,EIOPA_RFR!AZ52*(1+VLOOKUP($B91,Int_Rate_Param,3,FALSE))))</f>
        <v>2.0653899999999999E-2</v>
      </c>
      <c r="BA91" s="94">
        <f>IF($B91&gt;20,IF(EIOPA_RFR!BA52&lt;0%,EIOPA_RFR!BA52,EIOPA_RFR!BA52*(1+VLOOKUP($B$71,Int_Rate_Param,3,FALSE))),IF(EIOPA_RFR!BA52&lt;0%,EIOPA_RFR!BA52,EIOPA_RFR!BA52*(1+VLOOKUP($B91,Int_Rate_Param,3,FALSE))))</f>
        <v>2.4835799999999998E-2</v>
      </c>
      <c r="BB91" s="94">
        <f>IF($B91&gt;20,IF(EIOPA_RFR!BB52&lt;0%,EIOPA_RFR!BB52,EIOPA_RFR!BB52*(1+VLOOKUP($B$71,Int_Rate_Param,3,FALSE))),IF(EIOPA_RFR!BB52&lt;0%,EIOPA_RFR!BB52,EIOPA_RFR!BB52*(1+VLOOKUP($B91,Int_Rate_Param,3,FALSE))))</f>
        <v>5.2454799999999996E-2</v>
      </c>
      <c r="BC91" s="94">
        <f>IF($B91&gt;20,IF(EIOPA_RFR!BC52&lt;0%,EIOPA_RFR!BC52,EIOPA_RFR!BC52*(1+VLOOKUP($B$71,Int_Rate_Param,3,FALSE))),IF(EIOPA_RFR!BC52&lt;0%,EIOPA_RFR!BC52,EIOPA_RFR!BC52*(1+VLOOKUP($B91,Int_Rate_Param,3,FALSE))))</f>
        <v>1.7813900000000001E-2</v>
      </c>
    </row>
    <row r="92" spans="1:55" x14ac:dyDescent="0.25">
      <c r="B92" s="96"/>
      <c r="C92" s="96"/>
      <c r="D92" s="96"/>
      <c r="E92" s="96"/>
      <c r="F92" s="96"/>
      <c r="G92" s="96"/>
      <c r="H92" s="96"/>
      <c r="I92" s="96"/>
      <c r="J92" s="96"/>
      <c r="K92" s="96"/>
      <c r="L92" s="96"/>
      <c r="M92" s="96"/>
      <c r="N92" s="96"/>
      <c r="O92" s="96"/>
      <c r="P92" s="96"/>
      <c r="Q92" s="96"/>
      <c r="R92" s="96"/>
      <c r="S92" s="96"/>
      <c r="T92" s="96"/>
      <c r="U92" s="96"/>
      <c r="V92" s="96"/>
      <c r="W92" s="96"/>
      <c r="X92" s="96"/>
      <c r="Y92" s="96"/>
      <c r="Z92" s="96"/>
      <c r="AA92" s="96"/>
      <c r="AB92" s="96"/>
      <c r="AC92" s="96"/>
      <c r="AD92" s="96"/>
      <c r="AE92" s="96"/>
      <c r="AF92" s="96"/>
      <c r="AG92" s="96"/>
      <c r="AH92" s="96"/>
      <c r="AI92" s="96"/>
      <c r="AJ92" s="96"/>
      <c r="AK92" s="96"/>
      <c r="AL92" s="96"/>
      <c r="AM92" s="96"/>
      <c r="AN92" s="96"/>
      <c r="AO92" s="96"/>
      <c r="AP92" s="96"/>
      <c r="AQ92" s="96"/>
      <c r="AR92" s="96"/>
      <c r="AS92" s="96"/>
      <c r="AT92" s="96"/>
      <c r="AU92" s="96"/>
      <c r="AV92" s="96"/>
      <c r="AW92" s="96"/>
      <c r="AX92" s="96"/>
      <c r="AY92" s="96"/>
      <c r="AZ92" s="96"/>
      <c r="BA92" s="96"/>
      <c r="BB92" s="96"/>
    </row>
    <row r="93" spans="1:55" x14ac:dyDescent="0.25">
      <c r="B93" s="96"/>
      <c r="C93" s="96"/>
      <c r="D93" s="96"/>
      <c r="E93" s="96"/>
      <c r="F93" s="96"/>
      <c r="G93" s="96"/>
      <c r="H93" s="96"/>
      <c r="I93" s="96"/>
      <c r="J93" s="96"/>
      <c r="K93" s="96"/>
      <c r="L93" s="96"/>
      <c r="M93" s="96"/>
      <c r="N93" s="96"/>
      <c r="O93" s="96"/>
      <c r="P93" s="96"/>
      <c r="Q93" s="96"/>
      <c r="R93" s="96"/>
      <c r="S93" s="96"/>
      <c r="T93" s="96"/>
      <c r="U93" s="96"/>
      <c r="V93" s="96"/>
      <c r="W93" s="96"/>
      <c r="X93" s="96"/>
      <c r="Y93" s="96"/>
      <c r="Z93" s="96"/>
      <c r="AA93" s="96"/>
      <c r="AB93" s="96"/>
      <c r="AC93" s="96"/>
      <c r="AD93" s="96"/>
      <c r="AE93" s="96"/>
      <c r="AF93" s="96"/>
      <c r="AG93" s="96"/>
      <c r="AH93" s="96"/>
      <c r="AI93" s="96"/>
      <c r="AJ93" s="96"/>
      <c r="AK93" s="96"/>
      <c r="AL93" s="96"/>
      <c r="AM93" s="96"/>
      <c r="AN93" s="96"/>
      <c r="AO93" s="96"/>
      <c r="AP93" s="96"/>
      <c r="AQ93" s="96"/>
      <c r="AR93" s="96"/>
      <c r="AS93" s="96"/>
      <c r="AT93" s="96"/>
      <c r="AU93" s="96"/>
      <c r="AV93" s="96"/>
      <c r="AW93" s="96"/>
      <c r="AX93" s="96"/>
      <c r="AY93" s="96"/>
      <c r="AZ93" s="96"/>
      <c r="BA93" s="96"/>
      <c r="BB93" s="96"/>
    </row>
    <row r="94" spans="1:55" x14ac:dyDescent="0.25">
      <c r="B94" s="96"/>
      <c r="C94" s="96"/>
      <c r="D94" s="96"/>
      <c r="E94" s="96"/>
      <c r="F94" s="96"/>
      <c r="G94" s="96"/>
      <c r="H94" s="96"/>
      <c r="I94" s="96"/>
      <c r="J94" s="96"/>
      <c r="K94" s="96"/>
      <c r="L94" s="96"/>
      <c r="M94" s="96"/>
      <c r="N94" s="96"/>
      <c r="O94" s="96"/>
      <c r="P94" s="96"/>
      <c r="Q94" s="96"/>
      <c r="R94" s="96"/>
      <c r="S94" s="96"/>
      <c r="T94" s="96"/>
      <c r="U94" s="96"/>
      <c r="V94" s="96"/>
      <c r="W94" s="96"/>
      <c r="X94" s="96"/>
      <c r="Y94" s="96"/>
      <c r="Z94" s="96"/>
      <c r="AA94" s="96"/>
      <c r="AB94" s="96"/>
      <c r="AC94" s="96"/>
      <c r="AD94" s="96"/>
      <c r="AE94" s="96"/>
      <c r="AF94" s="96"/>
      <c r="AG94" s="96"/>
      <c r="AH94" s="96"/>
      <c r="AI94" s="96"/>
      <c r="AJ94" s="96"/>
      <c r="AK94" s="96"/>
      <c r="AL94" s="96"/>
      <c r="AM94" s="96"/>
      <c r="AN94" s="96"/>
      <c r="AO94" s="96"/>
      <c r="AP94" s="96"/>
      <c r="AQ94" s="96"/>
      <c r="AR94" s="96"/>
      <c r="AS94" s="96"/>
      <c r="AT94" s="96"/>
      <c r="AU94" s="96"/>
      <c r="AV94" s="96"/>
      <c r="AW94" s="96"/>
      <c r="AX94" s="96"/>
      <c r="AY94" s="96"/>
      <c r="AZ94" s="96"/>
      <c r="BA94" s="96"/>
      <c r="BB94" s="96"/>
    </row>
    <row r="95" spans="1:55" x14ac:dyDescent="0.25">
      <c r="B95" s="96"/>
      <c r="C95" s="96"/>
      <c r="D95" s="96"/>
      <c r="E95" s="96"/>
      <c r="F95" s="96"/>
      <c r="G95" s="96"/>
      <c r="H95" s="96"/>
      <c r="I95" s="96"/>
      <c r="J95" s="96"/>
      <c r="K95" s="96"/>
      <c r="L95" s="96"/>
      <c r="M95" s="96"/>
      <c r="N95" s="96"/>
      <c r="O95" s="96"/>
      <c r="P95" s="96"/>
      <c r="Q95" s="96"/>
      <c r="R95" s="96"/>
      <c r="S95" s="96"/>
      <c r="T95" s="96"/>
      <c r="U95" s="96"/>
      <c r="V95" s="96"/>
      <c r="W95" s="96"/>
      <c r="X95" s="96"/>
      <c r="Y95" s="96"/>
      <c r="Z95" s="96"/>
      <c r="AA95" s="96"/>
      <c r="AB95" s="96"/>
      <c r="AC95" s="96"/>
      <c r="AD95" s="96"/>
      <c r="AE95" s="96"/>
      <c r="AF95" s="96"/>
      <c r="AG95" s="96"/>
      <c r="AH95" s="96"/>
      <c r="AI95" s="96"/>
      <c r="AJ95" s="96"/>
      <c r="AK95" s="96"/>
      <c r="AL95" s="96"/>
      <c r="AM95" s="96"/>
      <c r="AN95" s="96"/>
      <c r="AO95" s="96"/>
      <c r="AP95" s="96"/>
      <c r="AQ95" s="96"/>
      <c r="AR95" s="96"/>
      <c r="AS95" s="96"/>
      <c r="AT95" s="96"/>
      <c r="AU95" s="96"/>
      <c r="AV95" s="96"/>
      <c r="AW95" s="96"/>
      <c r="AX95" s="96"/>
      <c r="AY95" s="96"/>
      <c r="AZ95" s="96"/>
      <c r="BA95" s="96"/>
      <c r="BB95" s="96"/>
    </row>
    <row r="96" spans="1:55" x14ac:dyDescent="0.25">
      <c r="B96" s="96"/>
      <c r="C96" s="96"/>
      <c r="D96" s="96"/>
      <c r="E96" s="96"/>
      <c r="F96" s="96"/>
      <c r="G96" s="96"/>
      <c r="H96" s="96"/>
      <c r="I96" s="96"/>
      <c r="J96" s="96"/>
      <c r="K96" s="96"/>
      <c r="L96" s="96"/>
      <c r="M96" s="96"/>
      <c r="N96" s="96"/>
      <c r="O96" s="96"/>
      <c r="P96" s="96"/>
      <c r="Q96" s="96"/>
      <c r="R96" s="96"/>
      <c r="S96" s="96"/>
      <c r="T96" s="96"/>
      <c r="U96" s="96"/>
      <c r="V96" s="96"/>
      <c r="W96" s="96"/>
      <c r="X96" s="96"/>
      <c r="Y96" s="96"/>
      <c r="Z96" s="96"/>
      <c r="AA96" s="96"/>
      <c r="AB96" s="96"/>
      <c r="AC96" s="96"/>
      <c r="AD96" s="96"/>
      <c r="AE96" s="96"/>
      <c r="AF96" s="96"/>
      <c r="AG96" s="96"/>
      <c r="AH96" s="96"/>
      <c r="AI96" s="96"/>
      <c r="AJ96" s="96"/>
      <c r="AK96" s="96"/>
      <c r="AL96" s="96"/>
      <c r="AM96" s="96"/>
      <c r="AN96" s="96"/>
      <c r="AO96" s="96"/>
      <c r="AP96" s="96"/>
      <c r="AQ96" s="96"/>
      <c r="AR96" s="96"/>
      <c r="AS96" s="96"/>
      <c r="AT96" s="96"/>
      <c r="AU96" s="96"/>
      <c r="AV96" s="96"/>
      <c r="AW96" s="96"/>
      <c r="AX96" s="96"/>
      <c r="AY96" s="96"/>
      <c r="AZ96" s="96"/>
      <c r="BA96" s="96"/>
      <c r="BB96" s="96"/>
    </row>
    <row r="97" spans="2:54" x14ac:dyDescent="0.25">
      <c r="B97" s="96"/>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96"/>
      <c r="AE97" s="96"/>
      <c r="AF97" s="96"/>
      <c r="AG97" s="96"/>
      <c r="AH97" s="96"/>
      <c r="AI97" s="96"/>
      <c r="AJ97" s="96"/>
      <c r="AK97" s="96"/>
      <c r="AL97" s="96"/>
      <c r="AM97" s="96"/>
      <c r="AN97" s="96"/>
      <c r="AO97" s="96"/>
      <c r="AP97" s="96"/>
      <c r="AQ97" s="96"/>
      <c r="AR97" s="96"/>
      <c r="AS97" s="96"/>
      <c r="AT97" s="96"/>
      <c r="AU97" s="96"/>
      <c r="AV97" s="96"/>
      <c r="AW97" s="96"/>
      <c r="AX97" s="96"/>
      <c r="AY97" s="96"/>
      <c r="AZ97" s="96"/>
      <c r="BA97" s="96"/>
      <c r="BB97" s="96"/>
    </row>
    <row r="98" spans="2:54" x14ac:dyDescent="0.25">
      <c r="B98" s="96"/>
      <c r="C98" s="96"/>
      <c r="D98" s="96"/>
      <c r="E98" s="96"/>
      <c r="F98" s="96"/>
      <c r="G98" s="96"/>
      <c r="H98" s="96"/>
      <c r="I98" s="96"/>
      <c r="J98" s="96"/>
      <c r="K98" s="96"/>
      <c r="L98" s="96"/>
      <c r="M98" s="96"/>
      <c r="N98" s="96"/>
      <c r="O98" s="96"/>
      <c r="P98" s="96"/>
      <c r="Q98" s="96"/>
      <c r="R98" s="96"/>
      <c r="S98" s="96"/>
      <c r="T98" s="96"/>
      <c r="U98" s="96"/>
      <c r="V98" s="96"/>
      <c r="W98" s="96"/>
      <c r="X98" s="96"/>
      <c r="Y98" s="96"/>
      <c r="Z98" s="96"/>
      <c r="AA98" s="96"/>
      <c r="AB98" s="96"/>
      <c r="AC98" s="96"/>
      <c r="AD98" s="96"/>
      <c r="AE98" s="96"/>
      <c r="AF98" s="96"/>
      <c r="AG98" s="96"/>
      <c r="AH98" s="96"/>
      <c r="AI98" s="96"/>
      <c r="AJ98" s="96"/>
      <c r="AK98" s="96"/>
      <c r="AL98" s="96"/>
      <c r="AM98" s="96"/>
      <c r="AN98" s="96"/>
      <c r="AO98" s="96"/>
      <c r="AP98" s="96"/>
      <c r="AQ98" s="96"/>
      <c r="AR98" s="96"/>
      <c r="AS98" s="96"/>
      <c r="AT98" s="96"/>
      <c r="AU98" s="96"/>
      <c r="AV98" s="96"/>
      <c r="AW98" s="96"/>
      <c r="AX98" s="96"/>
      <c r="AY98" s="96"/>
      <c r="AZ98" s="96"/>
      <c r="BA98" s="96"/>
      <c r="BB98" s="96"/>
    </row>
    <row r="99" spans="2:54" x14ac:dyDescent="0.25">
      <c r="B99" s="96"/>
      <c r="C99" s="96"/>
      <c r="D99" s="96"/>
      <c r="E99" s="96"/>
      <c r="F99" s="96"/>
      <c r="G99" s="96"/>
      <c r="H99" s="96"/>
      <c r="I99" s="96"/>
      <c r="J99" s="96"/>
      <c r="K99" s="96"/>
      <c r="L99" s="96"/>
      <c r="M99" s="96"/>
      <c r="N99" s="96"/>
      <c r="O99" s="96"/>
      <c r="P99" s="96"/>
      <c r="Q99" s="96"/>
      <c r="R99" s="96"/>
      <c r="S99" s="96"/>
      <c r="T99" s="96"/>
      <c r="U99" s="96"/>
      <c r="V99" s="96"/>
      <c r="W99" s="96"/>
      <c r="X99" s="96"/>
      <c r="Y99" s="96"/>
      <c r="Z99" s="96"/>
      <c r="AA99" s="96"/>
      <c r="AB99" s="96"/>
      <c r="AC99" s="96"/>
      <c r="AD99" s="96"/>
      <c r="AE99" s="96"/>
      <c r="AF99" s="96"/>
      <c r="AG99" s="96"/>
      <c r="AH99" s="96"/>
      <c r="AI99" s="96"/>
      <c r="AJ99" s="96"/>
      <c r="AK99" s="96"/>
      <c r="AL99" s="96"/>
      <c r="AM99" s="96"/>
      <c r="AN99" s="96"/>
      <c r="AO99" s="96"/>
      <c r="AP99" s="96"/>
      <c r="AQ99" s="96"/>
      <c r="AR99" s="96"/>
      <c r="AS99" s="96"/>
      <c r="AT99" s="96"/>
      <c r="AU99" s="96"/>
      <c r="AV99" s="96"/>
      <c r="AW99" s="96"/>
      <c r="AX99" s="96"/>
      <c r="AY99" s="96"/>
      <c r="AZ99" s="96"/>
      <c r="BA99" s="96"/>
      <c r="BB99" s="96"/>
    </row>
    <row r="100" spans="2:54" x14ac:dyDescent="0.25">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96"/>
      <c r="AE100" s="96"/>
      <c r="AF100" s="96"/>
      <c r="AG100" s="96"/>
      <c r="AH100" s="96"/>
      <c r="AI100" s="96"/>
      <c r="AJ100" s="96"/>
      <c r="AK100" s="96"/>
      <c r="AL100" s="96"/>
      <c r="AM100" s="96"/>
      <c r="AN100" s="96"/>
      <c r="AO100" s="96"/>
      <c r="AP100" s="96"/>
      <c r="AQ100" s="96"/>
      <c r="AR100" s="96"/>
      <c r="AS100" s="96"/>
      <c r="AT100" s="96"/>
      <c r="AU100" s="96"/>
      <c r="AV100" s="96"/>
      <c r="AW100" s="96"/>
      <c r="AX100" s="96"/>
      <c r="AY100" s="96"/>
      <c r="AZ100" s="96"/>
      <c r="BA100" s="96"/>
      <c r="BB100" s="96"/>
    </row>
    <row r="101" spans="2:54" x14ac:dyDescent="0.25">
      <c r="B101" s="96"/>
      <c r="C101" s="96"/>
      <c r="D101" s="96"/>
      <c r="E101" s="96"/>
      <c r="F101" s="96"/>
      <c r="G101" s="96"/>
      <c r="H101" s="96"/>
      <c r="I101" s="96"/>
      <c r="J101" s="96"/>
      <c r="K101" s="96"/>
      <c r="L101" s="96"/>
      <c r="M101" s="96"/>
      <c r="N101" s="96"/>
      <c r="O101" s="96"/>
      <c r="P101" s="96"/>
      <c r="Q101" s="96"/>
      <c r="R101" s="96"/>
      <c r="S101" s="96"/>
      <c r="T101" s="96"/>
      <c r="U101" s="96"/>
      <c r="V101" s="96"/>
      <c r="W101" s="96"/>
      <c r="X101" s="96"/>
      <c r="Y101" s="96"/>
      <c r="Z101" s="96"/>
      <c r="AA101" s="96"/>
      <c r="AB101" s="96"/>
      <c r="AC101" s="96"/>
      <c r="AD101" s="96"/>
      <c r="AE101" s="96"/>
      <c r="AF101" s="96"/>
      <c r="AG101" s="96"/>
      <c r="AH101" s="96"/>
      <c r="AI101" s="96"/>
      <c r="AJ101" s="96"/>
      <c r="AK101" s="96"/>
      <c r="AL101" s="96"/>
      <c r="AM101" s="96"/>
      <c r="AN101" s="96"/>
      <c r="AO101" s="96"/>
      <c r="AP101" s="96"/>
      <c r="AQ101" s="96"/>
      <c r="AR101" s="96"/>
      <c r="AS101" s="96"/>
      <c r="AT101" s="96"/>
      <c r="AU101" s="96"/>
      <c r="AV101" s="96"/>
      <c r="AW101" s="96"/>
      <c r="AX101" s="96"/>
      <c r="AY101" s="96"/>
      <c r="AZ101" s="96"/>
      <c r="BA101" s="96"/>
      <c r="BB101" s="96"/>
    </row>
    <row r="102" spans="2:54" x14ac:dyDescent="0.25">
      <c r="B102" s="96"/>
      <c r="C102" s="96"/>
      <c r="D102" s="96"/>
      <c r="E102" s="96"/>
      <c r="F102" s="96"/>
      <c r="G102" s="96"/>
      <c r="H102" s="96"/>
      <c r="I102" s="96"/>
      <c r="J102" s="96"/>
      <c r="K102" s="96"/>
      <c r="L102" s="96"/>
      <c r="M102" s="96"/>
      <c r="N102" s="96"/>
      <c r="O102" s="96"/>
      <c r="P102" s="96"/>
      <c r="Q102" s="96"/>
      <c r="R102" s="96"/>
      <c r="S102" s="96"/>
      <c r="T102" s="96"/>
      <c r="U102" s="96"/>
      <c r="V102" s="96"/>
      <c r="W102" s="96"/>
      <c r="X102" s="96"/>
      <c r="Y102" s="96"/>
      <c r="Z102" s="96"/>
      <c r="AA102" s="96"/>
      <c r="AB102" s="96"/>
      <c r="AC102" s="96"/>
      <c r="AD102" s="96"/>
      <c r="AE102" s="96"/>
      <c r="AF102" s="96"/>
      <c r="AG102" s="96"/>
      <c r="AH102" s="96"/>
      <c r="AI102" s="96"/>
      <c r="AJ102" s="96"/>
      <c r="AK102" s="96"/>
      <c r="AL102" s="96"/>
      <c r="AM102" s="96"/>
      <c r="AN102" s="96"/>
      <c r="AO102" s="96"/>
      <c r="AP102" s="96"/>
      <c r="AQ102" s="96"/>
      <c r="AR102" s="96"/>
      <c r="AS102" s="96"/>
      <c r="AT102" s="96"/>
      <c r="AU102" s="96"/>
      <c r="AV102" s="96"/>
      <c r="AW102" s="96"/>
      <c r="AX102" s="96"/>
      <c r="AY102" s="96"/>
      <c r="AZ102" s="96"/>
      <c r="BA102" s="96"/>
      <c r="BB102" s="96"/>
    </row>
    <row r="103" spans="2:54" x14ac:dyDescent="0.25">
      <c r="B103" s="96"/>
      <c r="C103" s="96"/>
      <c r="D103" s="96"/>
      <c r="E103" s="96"/>
      <c r="F103" s="96"/>
      <c r="G103" s="96"/>
      <c r="H103" s="96"/>
      <c r="I103" s="96"/>
      <c r="J103" s="96"/>
      <c r="K103" s="96"/>
      <c r="L103" s="96"/>
      <c r="M103" s="96"/>
      <c r="N103" s="96"/>
      <c r="O103" s="96"/>
      <c r="P103" s="96"/>
      <c r="Q103" s="96"/>
      <c r="R103" s="96"/>
      <c r="S103" s="96"/>
      <c r="T103" s="96"/>
      <c r="U103" s="96"/>
      <c r="V103" s="96"/>
      <c r="W103" s="96"/>
      <c r="X103" s="96"/>
      <c r="Y103" s="96"/>
      <c r="Z103" s="96"/>
      <c r="AA103" s="96"/>
      <c r="AB103" s="96"/>
      <c r="AC103" s="96"/>
      <c r="AD103" s="96"/>
      <c r="AE103" s="96"/>
      <c r="AF103" s="96"/>
      <c r="AG103" s="96"/>
      <c r="AH103" s="96"/>
      <c r="AI103" s="96"/>
      <c r="AJ103" s="96"/>
      <c r="AK103" s="96"/>
      <c r="AL103" s="96"/>
      <c r="AM103" s="96"/>
      <c r="AN103" s="96"/>
      <c r="AO103" s="96"/>
      <c r="AP103" s="96"/>
      <c r="AQ103" s="96"/>
      <c r="AR103" s="96"/>
      <c r="AS103" s="96"/>
      <c r="AT103" s="96"/>
      <c r="AU103" s="96"/>
      <c r="AV103" s="96"/>
      <c r="AW103" s="96"/>
      <c r="AX103" s="96"/>
      <c r="AY103" s="96"/>
      <c r="AZ103" s="96"/>
      <c r="BA103" s="96"/>
      <c r="BB103" s="96"/>
    </row>
    <row r="104" spans="2:54" x14ac:dyDescent="0.25">
      <c r="B104" s="96"/>
      <c r="C104" s="96"/>
      <c r="D104" s="96"/>
      <c r="E104" s="96"/>
      <c r="F104" s="96"/>
      <c r="G104" s="96"/>
      <c r="H104" s="96"/>
      <c r="I104" s="96"/>
      <c r="J104" s="96"/>
      <c r="K104" s="96"/>
      <c r="L104" s="96"/>
      <c r="M104" s="96"/>
      <c r="N104" s="96"/>
      <c r="O104" s="96"/>
      <c r="P104" s="96"/>
      <c r="Q104" s="96"/>
      <c r="R104" s="96"/>
      <c r="S104" s="96"/>
      <c r="T104" s="96"/>
      <c r="U104" s="96"/>
      <c r="V104" s="96"/>
      <c r="W104" s="96"/>
      <c r="X104" s="96"/>
      <c r="Y104" s="96"/>
      <c r="Z104" s="96"/>
      <c r="AA104" s="96"/>
      <c r="AB104" s="96"/>
      <c r="AC104" s="96"/>
      <c r="AD104" s="96"/>
      <c r="AE104" s="96"/>
      <c r="AF104" s="96"/>
      <c r="AG104" s="96"/>
      <c r="AH104" s="96"/>
      <c r="AI104" s="96"/>
      <c r="AJ104" s="96"/>
      <c r="AK104" s="96"/>
      <c r="AL104" s="96"/>
      <c r="AM104" s="96"/>
      <c r="AN104" s="96"/>
      <c r="AO104" s="96"/>
      <c r="AP104" s="96"/>
      <c r="AQ104" s="96"/>
      <c r="AR104" s="96"/>
      <c r="AS104" s="96"/>
      <c r="AT104" s="96"/>
      <c r="AU104" s="96"/>
      <c r="AV104" s="96"/>
      <c r="AW104" s="96"/>
      <c r="AX104" s="96"/>
      <c r="AY104" s="96"/>
      <c r="AZ104" s="96"/>
      <c r="BA104" s="96"/>
      <c r="BB104" s="96"/>
    </row>
    <row r="105" spans="2:54" x14ac:dyDescent="0.25">
      <c r="B105" s="96"/>
      <c r="C105" s="96"/>
      <c r="D105" s="96"/>
      <c r="E105" s="96"/>
      <c r="F105" s="96"/>
      <c r="G105" s="96"/>
      <c r="H105" s="96"/>
      <c r="I105" s="96"/>
      <c r="J105" s="96"/>
      <c r="K105" s="96"/>
      <c r="L105" s="96"/>
      <c r="M105" s="96"/>
      <c r="N105" s="96"/>
      <c r="O105" s="96"/>
      <c r="P105" s="96"/>
      <c r="Q105" s="96"/>
      <c r="R105" s="96"/>
      <c r="S105" s="96"/>
      <c r="T105" s="96"/>
      <c r="U105" s="96"/>
      <c r="V105" s="96"/>
      <c r="W105" s="96"/>
      <c r="X105" s="96"/>
      <c r="Y105" s="96"/>
      <c r="Z105" s="96"/>
      <c r="AA105" s="96"/>
      <c r="AB105" s="96"/>
      <c r="AC105" s="96"/>
      <c r="AD105" s="96"/>
      <c r="AE105" s="96"/>
      <c r="AF105" s="96"/>
      <c r="AG105" s="96"/>
      <c r="AH105" s="96"/>
      <c r="AI105" s="96"/>
      <c r="AJ105" s="96"/>
      <c r="AK105" s="96"/>
      <c r="AL105" s="96"/>
      <c r="AM105" s="96"/>
      <c r="AN105" s="96"/>
      <c r="AO105" s="96"/>
      <c r="AP105" s="96"/>
      <c r="AQ105" s="96"/>
      <c r="AR105" s="96"/>
      <c r="AS105" s="96"/>
      <c r="AT105" s="96"/>
      <c r="AU105" s="96"/>
      <c r="AV105" s="96"/>
      <c r="AW105" s="96"/>
      <c r="AX105" s="96"/>
      <c r="AY105" s="96"/>
      <c r="AZ105" s="96"/>
      <c r="BA105" s="96"/>
      <c r="BB105" s="96"/>
    </row>
    <row r="106" spans="2:54" x14ac:dyDescent="0.25">
      <c r="B106" s="96"/>
      <c r="C106" s="96"/>
      <c r="D106" s="96"/>
      <c r="E106" s="96"/>
      <c r="F106" s="96"/>
      <c r="G106" s="96"/>
      <c r="H106" s="96"/>
      <c r="I106" s="96"/>
      <c r="J106" s="96"/>
      <c r="K106" s="96"/>
      <c r="L106" s="96"/>
      <c r="M106" s="96"/>
      <c r="N106" s="96"/>
      <c r="O106" s="96"/>
      <c r="P106" s="96"/>
      <c r="Q106" s="96"/>
      <c r="R106" s="96"/>
      <c r="S106" s="96"/>
      <c r="T106" s="96"/>
      <c r="U106" s="96"/>
      <c r="V106" s="96"/>
      <c r="W106" s="96"/>
      <c r="X106" s="96"/>
      <c r="Y106" s="96"/>
      <c r="Z106" s="96"/>
      <c r="AA106" s="96"/>
      <c r="AB106" s="96"/>
      <c r="AC106" s="96"/>
      <c r="AD106" s="96"/>
      <c r="AE106" s="96"/>
      <c r="AF106" s="96"/>
      <c r="AG106" s="96"/>
      <c r="AH106" s="96"/>
      <c r="AI106" s="96"/>
      <c r="AJ106" s="96"/>
      <c r="AK106" s="96"/>
      <c r="AL106" s="96"/>
      <c r="AM106" s="96"/>
      <c r="AN106" s="96"/>
      <c r="AO106" s="96"/>
      <c r="AP106" s="96"/>
      <c r="AQ106" s="96"/>
      <c r="AR106" s="96"/>
      <c r="AS106" s="96"/>
      <c r="AT106" s="96"/>
      <c r="AU106" s="96"/>
      <c r="AV106" s="96"/>
      <c r="AW106" s="96"/>
      <c r="AX106" s="96"/>
      <c r="AY106" s="96"/>
      <c r="AZ106" s="96"/>
      <c r="BA106" s="96"/>
      <c r="BB106" s="96"/>
    </row>
    <row r="107" spans="2:54" x14ac:dyDescent="0.25">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96"/>
      <c r="AE107" s="96"/>
      <c r="AF107" s="96"/>
      <c r="AG107" s="96"/>
      <c r="AH107" s="96"/>
      <c r="AI107" s="96"/>
      <c r="AJ107" s="96"/>
      <c r="AK107" s="96"/>
      <c r="AL107" s="96"/>
      <c r="AM107" s="96"/>
      <c r="AN107" s="96"/>
      <c r="AO107" s="96"/>
      <c r="AP107" s="96"/>
      <c r="AQ107" s="96"/>
      <c r="AR107" s="96"/>
      <c r="AS107" s="96"/>
      <c r="AT107" s="96"/>
      <c r="AU107" s="96"/>
      <c r="AV107" s="96"/>
      <c r="AW107" s="96"/>
      <c r="AX107" s="96"/>
      <c r="AY107" s="96"/>
      <c r="AZ107" s="96"/>
      <c r="BA107" s="96"/>
      <c r="BB107" s="96"/>
    </row>
    <row r="108" spans="2:54" x14ac:dyDescent="0.25">
      <c r="B108" s="96"/>
      <c r="C108" s="96"/>
      <c r="D108" s="96"/>
      <c r="E108" s="96"/>
      <c r="F108" s="96"/>
      <c r="G108" s="96"/>
      <c r="H108" s="96"/>
      <c r="I108" s="96"/>
      <c r="J108" s="96"/>
      <c r="K108" s="96"/>
      <c r="L108" s="96"/>
      <c r="M108" s="96"/>
      <c r="N108" s="96"/>
      <c r="O108" s="96"/>
      <c r="P108" s="96"/>
      <c r="Q108" s="96"/>
      <c r="R108" s="96"/>
      <c r="S108" s="96"/>
      <c r="T108" s="96"/>
      <c r="U108" s="96"/>
      <c r="V108" s="96"/>
      <c r="W108" s="96"/>
      <c r="X108" s="96"/>
      <c r="Y108" s="96"/>
      <c r="Z108" s="96"/>
      <c r="AA108" s="96"/>
      <c r="AB108" s="96"/>
      <c r="AC108" s="96"/>
      <c r="AD108" s="96"/>
      <c r="AE108" s="96"/>
      <c r="AF108" s="96"/>
      <c r="AG108" s="96"/>
      <c r="AH108" s="96"/>
      <c r="AI108" s="96"/>
      <c r="AJ108" s="96"/>
      <c r="AK108" s="96"/>
      <c r="AL108" s="96"/>
      <c r="AM108" s="96"/>
      <c r="AN108" s="96"/>
      <c r="AO108" s="96"/>
      <c r="AP108" s="96"/>
      <c r="AQ108" s="96"/>
      <c r="AR108" s="96"/>
      <c r="AS108" s="96"/>
      <c r="AT108" s="96"/>
      <c r="AU108" s="96"/>
      <c r="AV108" s="96"/>
      <c r="AW108" s="96"/>
      <c r="AX108" s="96"/>
      <c r="AY108" s="96"/>
      <c r="AZ108" s="96"/>
      <c r="BA108" s="96"/>
      <c r="BB108" s="96"/>
    </row>
    <row r="109" spans="2:54" x14ac:dyDescent="0.25">
      <c r="B109" s="96"/>
      <c r="C109" s="96"/>
      <c r="D109" s="96"/>
      <c r="E109" s="96"/>
      <c r="F109" s="96"/>
      <c r="G109" s="96"/>
      <c r="H109" s="96"/>
      <c r="I109" s="96"/>
      <c r="J109" s="96"/>
      <c r="K109" s="96"/>
      <c r="L109" s="96"/>
      <c r="M109" s="96"/>
      <c r="N109" s="96"/>
      <c r="O109" s="96"/>
      <c r="P109" s="96"/>
      <c r="Q109" s="96"/>
      <c r="R109" s="96"/>
      <c r="S109" s="96"/>
      <c r="T109" s="96"/>
      <c r="U109" s="96"/>
      <c r="V109" s="96"/>
      <c r="W109" s="96"/>
      <c r="X109" s="96"/>
      <c r="Y109" s="96"/>
      <c r="Z109" s="96"/>
      <c r="AA109" s="96"/>
      <c r="AB109" s="96"/>
      <c r="AC109" s="96"/>
      <c r="AD109" s="96"/>
      <c r="AE109" s="96"/>
      <c r="AF109" s="96"/>
      <c r="AG109" s="96"/>
      <c r="AH109" s="96"/>
      <c r="AI109" s="96"/>
      <c r="AJ109" s="96"/>
      <c r="AK109" s="96"/>
      <c r="AL109" s="96"/>
      <c r="AM109" s="96"/>
      <c r="AN109" s="96"/>
      <c r="AO109" s="96"/>
      <c r="AP109" s="96"/>
      <c r="AQ109" s="96"/>
      <c r="AR109" s="96"/>
      <c r="AS109" s="96"/>
      <c r="AT109" s="96"/>
      <c r="AU109" s="96"/>
      <c r="AV109" s="96"/>
      <c r="AW109" s="96"/>
      <c r="AX109" s="96"/>
      <c r="AY109" s="96"/>
      <c r="AZ109" s="96"/>
      <c r="BA109" s="96"/>
      <c r="BB109" s="96"/>
    </row>
    <row r="110" spans="2:54" x14ac:dyDescent="0.25">
      <c r="B110" s="96"/>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96"/>
      <c r="AE110" s="96"/>
      <c r="AF110" s="96"/>
      <c r="AG110" s="96"/>
      <c r="AH110" s="96"/>
      <c r="AI110" s="96"/>
      <c r="AJ110" s="96"/>
      <c r="AK110" s="96"/>
      <c r="AL110" s="96"/>
      <c r="AM110" s="96"/>
      <c r="AN110" s="96"/>
      <c r="AO110" s="96"/>
      <c r="AP110" s="96"/>
      <c r="AQ110" s="96"/>
      <c r="AR110" s="96"/>
      <c r="AS110" s="96"/>
      <c r="AT110" s="96"/>
      <c r="AU110" s="96"/>
      <c r="AV110" s="96"/>
      <c r="AW110" s="96"/>
      <c r="AX110" s="96"/>
      <c r="AY110" s="96"/>
      <c r="AZ110" s="96"/>
      <c r="BA110" s="96"/>
      <c r="BB110" s="96"/>
    </row>
    <row r="111" spans="2:54" x14ac:dyDescent="0.25">
      <c r="B111" s="96"/>
      <c r="C111" s="96"/>
      <c r="D111" s="96"/>
      <c r="E111" s="96"/>
      <c r="F111" s="96"/>
      <c r="G111" s="96"/>
      <c r="H111" s="96"/>
      <c r="I111" s="96"/>
      <c r="J111" s="96"/>
      <c r="K111" s="96"/>
      <c r="L111" s="96"/>
      <c r="M111" s="96"/>
      <c r="N111" s="96"/>
      <c r="O111" s="96"/>
      <c r="P111" s="96"/>
      <c r="Q111" s="96"/>
      <c r="R111" s="96"/>
      <c r="S111" s="96"/>
      <c r="T111" s="96"/>
      <c r="U111" s="96"/>
      <c r="V111" s="96"/>
      <c r="W111" s="96"/>
      <c r="X111" s="96"/>
      <c r="Y111" s="96"/>
      <c r="Z111" s="96"/>
      <c r="AA111" s="96"/>
      <c r="AB111" s="96"/>
      <c r="AC111" s="96"/>
      <c r="AD111" s="96"/>
      <c r="AE111" s="96"/>
      <c r="AF111" s="96"/>
      <c r="AG111" s="96"/>
      <c r="AH111" s="96"/>
      <c r="AI111" s="96"/>
      <c r="AJ111" s="96"/>
      <c r="AK111" s="96"/>
      <c r="AL111" s="96"/>
      <c r="AM111" s="96"/>
      <c r="AN111" s="96"/>
      <c r="AO111" s="96"/>
      <c r="AP111" s="96"/>
      <c r="AQ111" s="96"/>
      <c r="AR111" s="96"/>
      <c r="AS111" s="96"/>
      <c r="AT111" s="96"/>
      <c r="AU111" s="96"/>
      <c r="AV111" s="96"/>
      <c r="AW111" s="96"/>
      <c r="AX111" s="96"/>
      <c r="AY111" s="96"/>
      <c r="AZ111" s="96"/>
      <c r="BA111" s="96"/>
      <c r="BB111" s="96"/>
    </row>
    <row r="112" spans="2:54" x14ac:dyDescent="0.25">
      <c r="B112" s="96"/>
      <c r="C112" s="96"/>
      <c r="D112" s="96"/>
      <c r="E112" s="96"/>
      <c r="F112" s="96"/>
      <c r="G112" s="96"/>
      <c r="H112" s="96"/>
      <c r="I112" s="96"/>
      <c r="J112" s="96"/>
      <c r="K112" s="96"/>
      <c r="L112" s="96"/>
      <c r="M112" s="96"/>
      <c r="N112" s="96"/>
      <c r="O112" s="96"/>
      <c r="P112" s="96"/>
      <c r="Q112" s="96"/>
      <c r="R112" s="96"/>
      <c r="S112" s="96"/>
      <c r="T112" s="96"/>
      <c r="U112" s="96"/>
      <c r="V112" s="96"/>
      <c r="W112" s="96"/>
      <c r="X112" s="96"/>
      <c r="Y112" s="96"/>
      <c r="Z112" s="96"/>
      <c r="AA112" s="96"/>
      <c r="AB112" s="96"/>
      <c r="AC112" s="96"/>
      <c r="AD112" s="96"/>
      <c r="AE112" s="96"/>
      <c r="AF112" s="96"/>
      <c r="AG112" s="96"/>
      <c r="AH112" s="96"/>
      <c r="AI112" s="96"/>
      <c r="AJ112" s="96"/>
      <c r="AK112" s="96"/>
      <c r="AL112" s="96"/>
      <c r="AM112" s="96"/>
      <c r="AN112" s="96"/>
      <c r="AO112" s="96"/>
      <c r="AP112" s="96"/>
      <c r="AQ112" s="96"/>
      <c r="AR112" s="96"/>
      <c r="AS112" s="96"/>
      <c r="AT112" s="96"/>
      <c r="AU112" s="96"/>
      <c r="AV112" s="96"/>
      <c r="AW112" s="96"/>
      <c r="AX112" s="96"/>
      <c r="AY112" s="96"/>
      <c r="AZ112" s="96"/>
      <c r="BA112" s="96"/>
      <c r="BB112" s="96"/>
    </row>
    <row r="113" spans="2:54" x14ac:dyDescent="0.25">
      <c r="B113" s="96"/>
      <c r="C113" s="96"/>
      <c r="D113" s="96"/>
      <c r="E113" s="96"/>
      <c r="F113" s="96"/>
      <c r="G113" s="96"/>
      <c r="H113" s="96"/>
      <c r="I113" s="96"/>
      <c r="J113" s="96"/>
      <c r="K113" s="96"/>
      <c r="L113" s="96"/>
      <c r="M113" s="96"/>
      <c r="N113" s="96"/>
      <c r="O113" s="96"/>
      <c r="P113" s="96"/>
      <c r="Q113" s="96"/>
      <c r="R113" s="96"/>
      <c r="S113" s="96"/>
      <c r="T113" s="96"/>
      <c r="U113" s="96"/>
      <c r="V113" s="96"/>
      <c r="W113" s="96"/>
      <c r="X113" s="96"/>
      <c r="Y113" s="96"/>
      <c r="Z113" s="96"/>
      <c r="AA113" s="96"/>
      <c r="AB113" s="96"/>
      <c r="AC113" s="96"/>
      <c r="AD113" s="96"/>
      <c r="AE113" s="96"/>
      <c r="AF113" s="96"/>
      <c r="AG113" s="96"/>
      <c r="AH113" s="96"/>
      <c r="AI113" s="96"/>
      <c r="AJ113" s="96"/>
      <c r="AK113" s="96"/>
      <c r="AL113" s="96"/>
      <c r="AM113" s="96"/>
      <c r="AN113" s="96"/>
      <c r="AO113" s="96"/>
      <c r="AP113" s="96"/>
      <c r="AQ113" s="96"/>
      <c r="AR113" s="96"/>
      <c r="AS113" s="96"/>
      <c r="AT113" s="96"/>
      <c r="AU113" s="96"/>
      <c r="AV113" s="96"/>
      <c r="AW113" s="96"/>
      <c r="AX113" s="96"/>
      <c r="AY113" s="96"/>
      <c r="AZ113" s="96"/>
      <c r="BA113" s="96"/>
      <c r="BB113" s="96"/>
    </row>
    <row r="114" spans="2:54" x14ac:dyDescent="0.25">
      <c r="B114" s="96"/>
      <c r="C114" s="96"/>
      <c r="D114" s="96"/>
      <c r="E114" s="96"/>
      <c r="F114" s="96"/>
      <c r="G114" s="96"/>
      <c r="H114" s="96"/>
      <c r="I114" s="96"/>
      <c r="J114" s="96"/>
      <c r="K114" s="96"/>
      <c r="L114" s="96"/>
      <c r="M114" s="96"/>
      <c r="N114" s="96"/>
      <c r="O114" s="96"/>
      <c r="P114" s="96"/>
      <c r="Q114" s="96"/>
      <c r="R114" s="96"/>
      <c r="S114" s="96"/>
      <c r="T114" s="96"/>
      <c r="U114" s="96"/>
      <c r="V114" s="96"/>
      <c r="W114" s="96"/>
      <c r="X114" s="96"/>
      <c r="Y114" s="96"/>
      <c r="Z114" s="96"/>
      <c r="AA114" s="96"/>
      <c r="AB114" s="96"/>
      <c r="AC114" s="96"/>
      <c r="AD114" s="96"/>
      <c r="AE114" s="96"/>
      <c r="AF114" s="96"/>
      <c r="AG114" s="96"/>
      <c r="AH114" s="96"/>
      <c r="AI114" s="96"/>
      <c r="AJ114" s="96"/>
      <c r="AK114" s="96"/>
      <c r="AL114" s="96"/>
      <c r="AM114" s="96"/>
      <c r="AN114" s="96"/>
      <c r="AO114" s="96"/>
      <c r="AP114" s="96"/>
      <c r="AQ114" s="96"/>
      <c r="AR114" s="96"/>
      <c r="AS114" s="96"/>
      <c r="AT114" s="96"/>
      <c r="AU114" s="96"/>
      <c r="AV114" s="96"/>
      <c r="AW114" s="96"/>
      <c r="AX114" s="96"/>
      <c r="AY114" s="96"/>
      <c r="AZ114" s="96"/>
      <c r="BA114" s="96"/>
      <c r="BB114" s="96"/>
    </row>
    <row r="115" spans="2:54" x14ac:dyDescent="0.25">
      <c r="B115" s="96"/>
      <c r="C115" s="96"/>
      <c r="D115" s="96"/>
      <c r="E115" s="96"/>
      <c r="F115" s="96"/>
      <c r="G115" s="96"/>
      <c r="H115" s="96"/>
      <c r="I115" s="96"/>
      <c r="J115" s="96"/>
      <c r="K115" s="96"/>
      <c r="L115" s="96"/>
      <c r="M115" s="96"/>
      <c r="N115" s="96"/>
      <c r="O115" s="96"/>
      <c r="P115" s="96"/>
      <c r="Q115" s="96"/>
      <c r="R115" s="96"/>
      <c r="S115" s="96"/>
      <c r="T115" s="96"/>
      <c r="U115" s="96"/>
      <c r="V115" s="96"/>
      <c r="W115" s="96"/>
      <c r="X115" s="96"/>
      <c r="Y115" s="96"/>
      <c r="Z115" s="96"/>
      <c r="AA115" s="96"/>
      <c r="AB115" s="96"/>
      <c r="AC115" s="96"/>
      <c r="AD115" s="96"/>
      <c r="AE115" s="96"/>
      <c r="AF115" s="96"/>
      <c r="AG115" s="96"/>
      <c r="AH115" s="96"/>
      <c r="AI115" s="96"/>
      <c r="AJ115" s="96"/>
      <c r="AK115" s="96"/>
      <c r="AL115" s="96"/>
      <c r="AM115" s="96"/>
      <c r="AN115" s="96"/>
      <c r="AO115" s="96"/>
      <c r="AP115" s="96"/>
      <c r="AQ115" s="96"/>
      <c r="AR115" s="96"/>
      <c r="AS115" s="96"/>
      <c r="AT115" s="96"/>
      <c r="AU115" s="96"/>
      <c r="AV115" s="96"/>
      <c r="AW115" s="96"/>
      <c r="AX115" s="96"/>
      <c r="AY115" s="96"/>
      <c r="AZ115" s="96"/>
      <c r="BA115" s="96"/>
      <c r="BB115" s="96"/>
    </row>
    <row r="116" spans="2:54" x14ac:dyDescent="0.25">
      <c r="B116" s="96"/>
      <c r="C116" s="96"/>
      <c r="D116" s="96"/>
      <c r="E116" s="96"/>
      <c r="F116" s="96"/>
      <c r="G116" s="96"/>
      <c r="H116" s="96"/>
      <c r="I116" s="96"/>
      <c r="J116" s="96"/>
      <c r="K116" s="96"/>
      <c r="L116" s="96"/>
      <c r="M116" s="96"/>
      <c r="N116" s="96"/>
      <c r="O116" s="96"/>
      <c r="P116" s="96"/>
      <c r="Q116" s="96"/>
      <c r="R116" s="96"/>
      <c r="S116" s="96"/>
      <c r="T116" s="96"/>
      <c r="U116" s="96"/>
      <c r="V116" s="96"/>
      <c r="W116" s="96"/>
      <c r="X116" s="96"/>
      <c r="Y116" s="96"/>
      <c r="Z116" s="96"/>
      <c r="AA116" s="96"/>
      <c r="AB116" s="96"/>
      <c r="AC116" s="96"/>
      <c r="AD116" s="96"/>
      <c r="AE116" s="96"/>
      <c r="AF116" s="96"/>
      <c r="AG116" s="96"/>
      <c r="AH116" s="96"/>
      <c r="AI116" s="96"/>
      <c r="AJ116" s="96"/>
      <c r="AK116" s="96"/>
      <c r="AL116" s="96"/>
      <c r="AM116" s="96"/>
      <c r="AN116" s="96"/>
      <c r="AO116" s="96"/>
      <c r="AP116" s="96"/>
      <c r="AQ116" s="96"/>
      <c r="AR116" s="96"/>
      <c r="AS116" s="96"/>
      <c r="AT116" s="96"/>
      <c r="AU116" s="96"/>
      <c r="AV116" s="96"/>
      <c r="AW116" s="96"/>
      <c r="AX116" s="96"/>
      <c r="AY116" s="96"/>
      <c r="AZ116" s="96"/>
      <c r="BA116" s="96"/>
      <c r="BB116" s="96"/>
    </row>
    <row r="117" spans="2:54" x14ac:dyDescent="0.25">
      <c r="B117" s="96"/>
      <c r="C117" s="96"/>
      <c r="D117" s="96"/>
      <c r="E117" s="96"/>
      <c r="F117" s="96"/>
      <c r="G117" s="96"/>
      <c r="H117" s="96"/>
      <c r="I117" s="96"/>
      <c r="J117" s="96"/>
      <c r="K117" s="96"/>
      <c r="L117" s="96"/>
      <c r="M117" s="96"/>
      <c r="N117" s="96"/>
      <c r="O117" s="96"/>
      <c r="P117" s="96"/>
      <c r="Q117" s="96"/>
      <c r="R117" s="96"/>
      <c r="S117" s="96"/>
      <c r="T117" s="96"/>
      <c r="U117" s="96"/>
      <c r="V117" s="96"/>
      <c r="W117" s="96"/>
      <c r="X117" s="96"/>
      <c r="Y117" s="96"/>
      <c r="Z117" s="96"/>
      <c r="AA117" s="96"/>
      <c r="AB117" s="96"/>
      <c r="AC117" s="96"/>
      <c r="AD117" s="96"/>
      <c r="AE117" s="96"/>
      <c r="AF117" s="96"/>
      <c r="AG117" s="96"/>
      <c r="AH117" s="96"/>
      <c r="AI117" s="96"/>
      <c r="AJ117" s="96"/>
      <c r="AK117" s="96"/>
      <c r="AL117" s="96"/>
      <c r="AM117" s="96"/>
      <c r="AN117" s="96"/>
      <c r="AO117" s="96"/>
      <c r="AP117" s="96"/>
      <c r="AQ117" s="96"/>
      <c r="AR117" s="96"/>
      <c r="AS117" s="96"/>
      <c r="AT117" s="96"/>
      <c r="AU117" s="96"/>
      <c r="AV117" s="96"/>
      <c r="AW117" s="96"/>
      <c r="AX117" s="96"/>
      <c r="AY117" s="96"/>
      <c r="AZ117" s="96"/>
      <c r="BA117" s="96"/>
      <c r="BB117" s="96"/>
    </row>
    <row r="118" spans="2:54" x14ac:dyDescent="0.25">
      <c r="B118" s="96"/>
      <c r="C118" s="96"/>
      <c r="D118" s="96"/>
      <c r="E118" s="96"/>
      <c r="F118" s="96"/>
      <c r="G118" s="96"/>
      <c r="H118" s="96"/>
      <c r="I118" s="96"/>
      <c r="J118" s="96"/>
      <c r="K118" s="96"/>
      <c r="L118" s="96"/>
      <c r="M118" s="96"/>
      <c r="N118" s="96"/>
      <c r="O118" s="96"/>
      <c r="P118" s="96"/>
      <c r="Q118" s="96"/>
      <c r="R118" s="96"/>
      <c r="S118" s="96"/>
      <c r="T118" s="96"/>
      <c r="U118" s="96"/>
      <c r="V118" s="96"/>
      <c r="W118" s="96"/>
      <c r="X118" s="96"/>
      <c r="Y118" s="96"/>
      <c r="Z118" s="96"/>
      <c r="AA118" s="96"/>
      <c r="AB118" s="96"/>
      <c r="AC118" s="96"/>
      <c r="AD118" s="96"/>
      <c r="AE118" s="96"/>
      <c r="AF118" s="96"/>
      <c r="AG118" s="96"/>
      <c r="AH118" s="96"/>
      <c r="AI118" s="96"/>
      <c r="AJ118" s="96"/>
      <c r="AK118" s="96"/>
      <c r="AL118" s="96"/>
      <c r="AM118" s="96"/>
      <c r="AN118" s="96"/>
      <c r="AO118" s="96"/>
      <c r="AP118" s="96"/>
      <c r="AQ118" s="96"/>
      <c r="AR118" s="96"/>
      <c r="AS118" s="96"/>
      <c r="AT118" s="96"/>
      <c r="AU118" s="96"/>
      <c r="AV118" s="96"/>
      <c r="AW118" s="96"/>
      <c r="AX118" s="96"/>
      <c r="AY118" s="96"/>
      <c r="AZ118" s="96"/>
      <c r="BA118" s="96"/>
      <c r="BB118" s="96"/>
    </row>
    <row r="119" spans="2:54" x14ac:dyDescent="0.25">
      <c r="B119" s="96"/>
      <c r="C119" s="96"/>
      <c r="D119" s="96"/>
      <c r="E119" s="96"/>
      <c r="F119" s="96"/>
      <c r="G119" s="96"/>
      <c r="H119" s="96"/>
      <c r="I119" s="96"/>
      <c r="J119" s="96"/>
      <c r="K119" s="96"/>
      <c r="L119" s="96"/>
      <c r="M119" s="96"/>
      <c r="N119" s="96"/>
      <c r="O119" s="96"/>
      <c r="P119" s="96"/>
      <c r="Q119" s="96"/>
      <c r="R119" s="96"/>
      <c r="S119" s="96"/>
      <c r="T119" s="96"/>
      <c r="U119" s="96"/>
      <c r="V119" s="96"/>
      <c r="W119" s="96"/>
      <c r="X119" s="96"/>
      <c r="Y119" s="96"/>
      <c r="Z119" s="96"/>
      <c r="AA119" s="96"/>
      <c r="AB119" s="96"/>
      <c r="AC119" s="96"/>
      <c r="AD119" s="96"/>
      <c r="AE119" s="96"/>
      <c r="AF119" s="96"/>
      <c r="AG119" s="96"/>
      <c r="AH119" s="96"/>
      <c r="AI119" s="96"/>
      <c r="AJ119" s="96"/>
      <c r="AK119" s="96"/>
      <c r="AL119" s="96"/>
      <c r="AM119" s="96"/>
      <c r="AN119" s="96"/>
      <c r="AO119" s="96"/>
      <c r="AP119" s="96"/>
      <c r="AQ119" s="96"/>
      <c r="AR119" s="96"/>
      <c r="AS119" s="96"/>
      <c r="AT119" s="96"/>
      <c r="AU119" s="96"/>
      <c r="AV119" s="96"/>
      <c r="AW119" s="96"/>
      <c r="AX119" s="96"/>
      <c r="AY119" s="96"/>
      <c r="AZ119" s="96"/>
      <c r="BA119" s="96"/>
      <c r="BB119" s="96"/>
    </row>
    <row r="120" spans="2:54" x14ac:dyDescent="0.25">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96"/>
      <c r="AE120" s="96"/>
      <c r="AF120" s="96"/>
      <c r="AG120" s="96"/>
      <c r="AH120" s="96"/>
      <c r="AI120" s="96"/>
      <c r="AJ120" s="96"/>
      <c r="AK120" s="96"/>
      <c r="AL120" s="96"/>
      <c r="AM120" s="96"/>
      <c r="AN120" s="96"/>
      <c r="AO120" s="96"/>
      <c r="AP120" s="96"/>
      <c r="AQ120" s="96"/>
      <c r="AR120" s="96"/>
      <c r="AS120" s="96"/>
      <c r="AT120" s="96"/>
      <c r="AU120" s="96"/>
      <c r="AV120" s="96"/>
      <c r="AW120" s="96"/>
      <c r="AX120" s="96"/>
      <c r="AY120" s="96"/>
      <c r="AZ120" s="96"/>
      <c r="BA120" s="96"/>
      <c r="BB120" s="96"/>
    </row>
    <row r="121" spans="2:54" x14ac:dyDescent="0.25">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96"/>
      <c r="AE121" s="96"/>
      <c r="AF121" s="96"/>
      <c r="AG121" s="96"/>
      <c r="AH121" s="96"/>
      <c r="AI121" s="96"/>
      <c r="AJ121" s="96"/>
      <c r="AK121" s="96"/>
      <c r="AL121" s="96"/>
      <c r="AM121" s="96"/>
      <c r="AN121" s="96"/>
      <c r="AO121" s="96"/>
      <c r="AP121" s="96"/>
      <c r="AQ121" s="96"/>
      <c r="AR121" s="96"/>
      <c r="AS121" s="96"/>
      <c r="AT121" s="96"/>
      <c r="AU121" s="96"/>
      <c r="AV121" s="96"/>
      <c r="AW121" s="96"/>
      <c r="AX121" s="96"/>
      <c r="AY121" s="96"/>
      <c r="AZ121" s="96"/>
      <c r="BA121" s="96"/>
      <c r="BB121" s="96"/>
    </row>
    <row r="122" spans="2:54" x14ac:dyDescent="0.25">
      <c r="B122" s="96"/>
      <c r="C122" s="96"/>
      <c r="D122" s="96"/>
      <c r="E122" s="96"/>
      <c r="F122" s="96"/>
      <c r="G122" s="96"/>
      <c r="H122" s="96"/>
      <c r="I122" s="96"/>
      <c r="J122" s="96"/>
      <c r="K122" s="96"/>
      <c r="L122" s="96"/>
      <c r="M122" s="96"/>
      <c r="N122" s="96"/>
      <c r="O122" s="96"/>
      <c r="P122" s="96"/>
      <c r="Q122" s="96"/>
      <c r="R122" s="96"/>
      <c r="S122" s="96"/>
      <c r="T122" s="96"/>
      <c r="U122" s="96"/>
      <c r="V122" s="96"/>
      <c r="W122" s="96"/>
      <c r="X122" s="96"/>
      <c r="Y122" s="96"/>
      <c r="Z122" s="96"/>
      <c r="AA122" s="96"/>
      <c r="AB122" s="96"/>
      <c r="AC122" s="96"/>
      <c r="AD122" s="96"/>
      <c r="AE122" s="96"/>
      <c r="AF122" s="96"/>
      <c r="AG122" s="96"/>
      <c r="AH122" s="96"/>
      <c r="AI122" s="96"/>
      <c r="AJ122" s="96"/>
      <c r="AK122" s="96"/>
      <c r="AL122" s="96"/>
      <c r="AM122" s="96"/>
      <c r="AN122" s="96"/>
      <c r="AO122" s="96"/>
      <c r="AP122" s="96"/>
      <c r="AQ122" s="96"/>
      <c r="AR122" s="96"/>
      <c r="AS122" s="96"/>
      <c r="AT122" s="96"/>
      <c r="AU122" s="96"/>
      <c r="AV122" s="96"/>
      <c r="AW122" s="96"/>
      <c r="AX122" s="96"/>
      <c r="AY122" s="96"/>
      <c r="AZ122" s="96"/>
      <c r="BA122" s="96"/>
      <c r="BB122" s="96"/>
    </row>
    <row r="123" spans="2:54" x14ac:dyDescent="0.25">
      <c r="B123" s="96"/>
      <c r="C123" s="96"/>
      <c r="D123" s="96"/>
      <c r="E123" s="96"/>
      <c r="F123" s="96"/>
      <c r="G123" s="96"/>
      <c r="H123" s="96"/>
      <c r="I123" s="96"/>
      <c r="J123" s="96"/>
      <c r="K123" s="96"/>
      <c r="L123" s="96"/>
      <c r="M123" s="96"/>
      <c r="N123" s="96"/>
      <c r="O123" s="96"/>
      <c r="P123" s="96"/>
      <c r="Q123" s="96"/>
      <c r="R123" s="96"/>
      <c r="S123" s="96"/>
      <c r="T123" s="96"/>
      <c r="U123" s="96"/>
      <c r="V123" s="96"/>
      <c r="W123" s="96"/>
      <c r="X123" s="96"/>
      <c r="Y123" s="96"/>
      <c r="Z123" s="96"/>
      <c r="AA123" s="96"/>
      <c r="AB123" s="96"/>
      <c r="AC123" s="96"/>
      <c r="AD123" s="96"/>
      <c r="AE123" s="96"/>
      <c r="AF123" s="96"/>
      <c r="AG123" s="96"/>
      <c r="AH123" s="96"/>
      <c r="AI123" s="96"/>
      <c r="AJ123" s="96"/>
      <c r="AK123" s="96"/>
      <c r="AL123" s="96"/>
      <c r="AM123" s="96"/>
      <c r="AN123" s="96"/>
      <c r="AO123" s="96"/>
      <c r="AP123" s="96"/>
      <c r="AQ123" s="96"/>
      <c r="AR123" s="96"/>
      <c r="AS123" s="96"/>
      <c r="AT123" s="96"/>
      <c r="AU123" s="96"/>
      <c r="AV123" s="96"/>
      <c r="AW123" s="96"/>
      <c r="AX123" s="96"/>
      <c r="AY123" s="96"/>
      <c r="AZ123" s="96"/>
      <c r="BA123" s="96"/>
      <c r="BB123" s="96"/>
    </row>
    <row r="124" spans="2:54" x14ac:dyDescent="0.25">
      <c r="B124" s="96"/>
      <c r="C124" s="96"/>
      <c r="D124" s="96"/>
      <c r="E124" s="96"/>
      <c r="F124" s="96"/>
      <c r="G124" s="96"/>
      <c r="H124" s="96"/>
      <c r="I124" s="96"/>
      <c r="J124" s="96"/>
      <c r="K124" s="96"/>
      <c r="L124" s="96"/>
      <c r="M124" s="96"/>
      <c r="N124" s="96"/>
      <c r="O124" s="96"/>
      <c r="P124" s="96"/>
      <c r="Q124" s="96"/>
      <c r="R124" s="96"/>
      <c r="S124" s="96"/>
      <c r="T124" s="96"/>
      <c r="U124" s="96"/>
      <c r="V124" s="96"/>
      <c r="W124" s="96"/>
      <c r="X124" s="96"/>
      <c r="Y124" s="96"/>
      <c r="Z124" s="96"/>
      <c r="AA124" s="96"/>
      <c r="AB124" s="96"/>
      <c r="AC124" s="96"/>
      <c r="AD124" s="96"/>
      <c r="AE124" s="96"/>
      <c r="AF124" s="96"/>
      <c r="AG124" s="96"/>
      <c r="AH124" s="96"/>
      <c r="AI124" s="96"/>
      <c r="AJ124" s="96"/>
      <c r="AK124" s="96"/>
      <c r="AL124" s="96"/>
      <c r="AM124" s="96"/>
      <c r="AN124" s="96"/>
      <c r="AO124" s="96"/>
      <c r="AP124" s="96"/>
      <c r="AQ124" s="96"/>
      <c r="AR124" s="96"/>
      <c r="AS124" s="96"/>
      <c r="AT124" s="96"/>
      <c r="AU124" s="96"/>
      <c r="AV124" s="96"/>
      <c r="AW124" s="96"/>
      <c r="AX124" s="96"/>
      <c r="AY124" s="96"/>
      <c r="AZ124" s="96"/>
      <c r="BA124" s="96"/>
      <c r="BB124" s="96"/>
    </row>
    <row r="125" spans="2:54" x14ac:dyDescent="0.25">
      <c r="B125" s="96"/>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96"/>
      <c r="AE125" s="96"/>
      <c r="AF125" s="96"/>
      <c r="AG125" s="96"/>
      <c r="AH125" s="96"/>
      <c r="AI125" s="96"/>
      <c r="AJ125" s="96"/>
      <c r="AK125" s="96"/>
      <c r="AL125" s="96"/>
      <c r="AM125" s="96"/>
      <c r="AN125" s="96"/>
      <c r="AO125" s="96"/>
      <c r="AP125" s="96"/>
      <c r="AQ125" s="96"/>
      <c r="AR125" s="96"/>
      <c r="AS125" s="96"/>
      <c r="AT125" s="96"/>
      <c r="AU125" s="96"/>
      <c r="AV125" s="96"/>
      <c r="AW125" s="96"/>
      <c r="AX125" s="96"/>
      <c r="AY125" s="96"/>
      <c r="AZ125" s="96"/>
      <c r="BA125" s="96"/>
      <c r="BB125" s="96"/>
    </row>
    <row r="126" spans="2:54" x14ac:dyDescent="0.25">
      <c r="B126" s="96"/>
      <c r="C126" s="96"/>
      <c r="D126" s="96"/>
      <c r="E126" s="96"/>
      <c r="F126" s="96"/>
      <c r="G126" s="96"/>
      <c r="H126" s="96"/>
      <c r="I126" s="96"/>
      <c r="J126" s="96"/>
      <c r="K126" s="96"/>
      <c r="L126" s="96"/>
      <c r="M126" s="96"/>
      <c r="N126" s="96"/>
      <c r="O126" s="96"/>
      <c r="P126" s="96"/>
      <c r="Q126" s="96"/>
      <c r="R126" s="96"/>
      <c r="S126" s="96"/>
      <c r="T126" s="96"/>
      <c r="U126" s="96"/>
      <c r="V126" s="96"/>
      <c r="W126" s="96"/>
      <c r="X126" s="96"/>
      <c r="Y126" s="96"/>
      <c r="Z126" s="96"/>
      <c r="AA126" s="96"/>
      <c r="AB126" s="96"/>
      <c r="AC126" s="96"/>
      <c r="AD126" s="96"/>
      <c r="AE126" s="96"/>
      <c r="AF126" s="96"/>
      <c r="AG126" s="96"/>
      <c r="AH126" s="96"/>
      <c r="AI126" s="96"/>
      <c r="AJ126" s="96"/>
      <c r="AK126" s="96"/>
      <c r="AL126" s="96"/>
      <c r="AM126" s="96"/>
      <c r="AN126" s="96"/>
      <c r="AO126" s="96"/>
      <c r="AP126" s="96"/>
      <c r="AQ126" s="96"/>
      <c r="AR126" s="96"/>
      <c r="AS126" s="96"/>
      <c r="AT126" s="96"/>
      <c r="AU126" s="96"/>
      <c r="AV126" s="96"/>
      <c r="AW126" s="96"/>
      <c r="AX126" s="96"/>
      <c r="AY126" s="96"/>
      <c r="AZ126" s="96"/>
      <c r="BA126" s="96"/>
      <c r="BB126" s="96"/>
    </row>
    <row r="127" spans="2:54" x14ac:dyDescent="0.25">
      <c r="B127" s="96"/>
      <c r="C127" s="96"/>
      <c r="D127" s="96"/>
      <c r="E127" s="96"/>
      <c r="F127" s="96"/>
      <c r="G127" s="96"/>
      <c r="H127" s="96"/>
      <c r="I127" s="96"/>
      <c r="J127" s="96"/>
      <c r="K127" s="96"/>
      <c r="L127" s="96"/>
      <c r="M127" s="96"/>
      <c r="N127" s="96"/>
      <c r="O127" s="96"/>
      <c r="P127" s="96"/>
      <c r="Q127" s="96"/>
      <c r="R127" s="96"/>
      <c r="S127" s="96"/>
      <c r="T127" s="96"/>
      <c r="U127" s="96"/>
      <c r="V127" s="96"/>
      <c r="W127" s="96"/>
      <c r="X127" s="96"/>
      <c r="Y127" s="96"/>
      <c r="Z127" s="96"/>
      <c r="AA127" s="96"/>
      <c r="AB127" s="96"/>
      <c r="AC127" s="96"/>
      <c r="AD127" s="96"/>
      <c r="AE127" s="96"/>
      <c r="AF127" s="96"/>
      <c r="AG127" s="96"/>
      <c r="AH127" s="96"/>
      <c r="AI127" s="96"/>
      <c r="AJ127" s="96"/>
      <c r="AK127" s="96"/>
      <c r="AL127" s="96"/>
      <c r="AM127" s="96"/>
      <c r="AN127" s="96"/>
      <c r="AO127" s="96"/>
      <c r="AP127" s="96"/>
      <c r="AQ127" s="96"/>
      <c r="AR127" s="96"/>
      <c r="AS127" s="96"/>
      <c r="AT127" s="96"/>
      <c r="AU127" s="96"/>
      <c r="AV127" s="96"/>
      <c r="AW127" s="96"/>
      <c r="AX127" s="96"/>
      <c r="AY127" s="96"/>
      <c r="AZ127" s="96"/>
      <c r="BA127" s="96"/>
      <c r="BB127" s="96"/>
    </row>
    <row r="128" spans="2:54" x14ac:dyDescent="0.25">
      <c r="B128" s="96"/>
      <c r="C128" s="96"/>
      <c r="D128" s="96"/>
      <c r="E128" s="96"/>
      <c r="F128" s="96"/>
      <c r="G128" s="96"/>
      <c r="H128" s="96"/>
      <c r="I128" s="96"/>
      <c r="J128" s="96"/>
      <c r="K128" s="96"/>
      <c r="L128" s="96"/>
      <c r="M128" s="96"/>
      <c r="N128" s="96"/>
      <c r="O128" s="96"/>
      <c r="P128" s="96"/>
      <c r="Q128" s="96"/>
      <c r="R128" s="96"/>
      <c r="S128" s="96"/>
      <c r="T128" s="96"/>
      <c r="U128" s="96"/>
      <c r="V128" s="96"/>
      <c r="W128" s="96"/>
      <c r="X128" s="96"/>
      <c r="Y128" s="96"/>
      <c r="Z128" s="96"/>
      <c r="AA128" s="96"/>
      <c r="AB128" s="96"/>
      <c r="AC128" s="96"/>
      <c r="AD128" s="96"/>
      <c r="AE128" s="96"/>
      <c r="AF128" s="96"/>
      <c r="AG128" s="96"/>
      <c r="AH128" s="96"/>
      <c r="AI128" s="96"/>
      <c r="AJ128" s="96"/>
      <c r="AK128" s="96"/>
      <c r="AL128" s="96"/>
      <c r="AM128" s="96"/>
      <c r="AN128" s="96"/>
      <c r="AO128" s="96"/>
      <c r="AP128" s="96"/>
      <c r="AQ128" s="96"/>
      <c r="AR128" s="96"/>
      <c r="AS128" s="96"/>
      <c r="AT128" s="96"/>
      <c r="AU128" s="96"/>
      <c r="AV128" s="96"/>
      <c r="AW128" s="96"/>
      <c r="AX128" s="96"/>
      <c r="AY128" s="96"/>
      <c r="AZ128" s="96"/>
      <c r="BA128" s="96"/>
      <c r="BB128" s="96"/>
    </row>
    <row r="129" spans="2:54" x14ac:dyDescent="0.25">
      <c r="B129" s="96"/>
      <c r="C129" s="96"/>
      <c r="D129" s="96"/>
      <c r="E129" s="96"/>
      <c r="F129" s="96"/>
      <c r="G129" s="96"/>
      <c r="H129" s="96"/>
      <c r="I129" s="96"/>
      <c r="J129" s="96"/>
      <c r="K129" s="96"/>
      <c r="L129" s="96"/>
      <c r="M129" s="96"/>
      <c r="N129" s="96"/>
      <c r="O129" s="96"/>
      <c r="P129" s="96"/>
      <c r="Q129" s="96"/>
      <c r="R129" s="96"/>
      <c r="S129" s="96"/>
      <c r="T129" s="96"/>
      <c r="U129" s="96"/>
      <c r="V129" s="96"/>
      <c r="W129" s="96"/>
      <c r="X129" s="96"/>
      <c r="Y129" s="96"/>
      <c r="Z129" s="96"/>
      <c r="AA129" s="96"/>
      <c r="AB129" s="96"/>
      <c r="AC129" s="96"/>
      <c r="AD129" s="96"/>
      <c r="AE129" s="96"/>
      <c r="AF129" s="96"/>
      <c r="AG129" s="96"/>
      <c r="AH129" s="96"/>
      <c r="AI129" s="96"/>
      <c r="AJ129" s="96"/>
      <c r="AK129" s="96"/>
      <c r="AL129" s="96"/>
      <c r="AM129" s="96"/>
      <c r="AN129" s="96"/>
      <c r="AO129" s="96"/>
      <c r="AP129" s="96"/>
      <c r="AQ129" s="96"/>
      <c r="AR129" s="96"/>
      <c r="AS129" s="96"/>
      <c r="AT129" s="96"/>
      <c r="AU129" s="96"/>
      <c r="AV129" s="96"/>
      <c r="AW129" s="96"/>
      <c r="AX129" s="96"/>
      <c r="AY129" s="96"/>
      <c r="AZ129" s="96"/>
      <c r="BA129" s="96"/>
      <c r="BB129" s="96"/>
    </row>
    <row r="130" spans="2:54" x14ac:dyDescent="0.25">
      <c r="B130" s="96"/>
      <c r="C130" s="96"/>
      <c r="D130" s="96"/>
      <c r="E130" s="96"/>
      <c r="F130" s="96"/>
      <c r="G130" s="96"/>
      <c r="H130" s="96"/>
      <c r="I130" s="96"/>
      <c r="J130" s="96"/>
      <c r="K130" s="96"/>
      <c r="L130" s="96"/>
      <c r="M130" s="96"/>
      <c r="N130" s="96"/>
      <c r="O130" s="96"/>
      <c r="P130" s="96"/>
      <c r="Q130" s="96"/>
      <c r="R130" s="96"/>
      <c r="S130" s="96"/>
      <c r="T130" s="96"/>
      <c r="U130" s="96"/>
      <c r="V130" s="96"/>
      <c r="W130" s="96"/>
      <c r="X130" s="96"/>
      <c r="Y130" s="96"/>
      <c r="Z130" s="96"/>
      <c r="AA130" s="96"/>
      <c r="AB130" s="96"/>
      <c r="AC130" s="96"/>
      <c r="AD130" s="96"/>
      <c r="AE130" s="96"/>
      <c r="AF130" s="96"/>
      <c r="AG130" s="96"/>
      <c r="AH130" s="96"/>
      <c r="AI130" s="96"/>
      <c r="AJ130" s="96"/>
      <c r="AK130" s="96"/>
      <c r="AL130" s="96"/>
      <c r="AM130" s="96"/>
      <c r="AN130" s="96"/>
      <c r="AO130" s="96"/>
      <c r="AP130" s="96"/>
      <c r="AQ130" s="96"/>
      <c r="AR130" s="96"/>
      <c r="AS130" s="96"/>
      <c r="AT130" s="96"/>
      <c r="AU130" s="96"/>
      <c r="AV130" s="96"/>
      <c r="AW130" s="96"/>
      <c r="AX130" s="96"/>
      <c r="AY130" s="96"/>
      <c r="AZ130" s="96"/>
      <c r="BA130" s="96"/>
      <c r="BB130" s="96"/>
    </row>
    <row r="131" spans="2:54" x14ac:dyDescent="0.25">
      <c r="B131" s="96"/>
      <c r="C131" s="96"/>
      <c r="D131" s="96"/>
      <c r="E131" s="96"/>
      <c r="F131" s="96"/>
      <c r="G131" s="96"/>
      <c r="H131" s="96"/>
      <c r="I131" s="96"/>
      <c r="J131" s="96"/>
      <c r="K131" s="96"/>
      <c r="L131" s="96"/>
      <c r="M131" s="96"/>
      <c r="N131" s="96"/>
      <c r="O131" s="96"/>
      <c r="P131" s="96"/>
      <c r="Q131" s="96"/>
      <c r="R131" s="96"/>
      <c r="S131" s="96"/>
      <c r="T131" s="96"/>
      <c r="U131" s="96"/>
      <c r="V131" s="96"/>
      <c r="W131" s="96"/>
      <c r="X131" s="96"/>
      <c r="Y131" s="96"/>
      <c r="Z131" s="96"/>
      <c r="AA131" s="96"/>
      <c r="AB131" s="96"/>
      <c r="AC131" s="96"/>
      <c r="AD131" s="96"/>
      <c r="AE131" s="96"/>
      <c r="AF131" s="96"/>
      <c r="AG131" s="96"/>
      <c r="AH131" s="96"/>
      <c r="AI131" s="96"/>
      <c r="AJ131" s="96"/>
      <c r="AK131" s="96"/>
      <c r="AL131" s="96"/>
      <c r="AM131" s="96"/>
      <c r="AN131" s="96"/>
      <c r="AO131" s="96"/>
      <c r="AP131" s="96"/>
      <c r="AQ131" s="96"/>
      <c r="AR131" s="96"/>
      <c r="AS131" s="96"/>
      <c r="AT131" s="96"/>
      <c r="AU131" s="96"/>
      <c r="AV131" s="96"/>
      <c r="AW131" s="96"/>
      <c r="AX131" s="96"/>
      <c r="AY131" s="96"/>
      <c r="AZ131" s="96"/>
      <c r="BA131" s="96"/>
      <c r="BB131" s="96"/>
    </row>
    <row r="132" spans="2:54" x14ac:dyDescent="0.25">
      <c r="B132" s="96"/>
      <c r="C132" s="96"/>
      <c r="D132" s="96"/>
      <c r="E132" s="96"/>
      <c r="F132" s="96"/>
      <c r="G132" s="96"/>
      <c r="H132" s="96"/>
      <c r="I132" s="96"/>
      <c r="J132" s="96"/>
      <c r="K132" s="96"/>
      <c r="L132" s="96"/>
      <c r="M132" s="96"/>
      <c r="N132" s="96"/>
      <c r="O132" s="96"/>
      <c r="P132" s="96"/>
      <c r="Q132" s="96"/>
      <c r="R132" s="96"/>
      <c r="S132" s="96"/>
      <c r="T132" s="96"/>
      <c r="U132" s="96"/>
      <c r="V132" s="96"/>
      <c r="W132" s="96"/>
      <c r="X132" s="96"/>
      <c r="Y132" s="96"/>
      <c r="Z132" s="96"/>
      <c r="AA132" s="96"/>
      <c r="AB132" s="96"/>
      <c r="AC132" s="96"/>
      <c r="AD132" s="96"/>
      <c r="AE132" s="96"/>
      <c r="AF132" s="96"/>
      <c r="AG132" s="96"/>
      <c r="AH132" s="96"/>
      <c r="AI132" s="96"/>
      <c r="AJ132" s="96"/>
      <c r="AK132" s="96"/>
      <c r="AL132" s="96"/>
      <c r="AM132" s="96"/>
      <c r="AN132" s="96"/>
      <c r="AO132" s="96"/>
      <c r="AP132" s="96"/>
      <c r="AQ132" s="96"/>
      <c r="AR132" s="96"/>
      <c r="AS132" s="96"/>
      <c r="AT132" s="96"/>
      <c r="AU132" s="96"/>
      <c r="AV132" s="96"/>
      <c r="AW132" s="96"/>
      <c r="AX132" s="96"/>
      <c r="AY132" s="96"/>
      <c r="AZ132" s="96"/>
      <c r="BA132" s="96"/>
      <c r="BB132" s="96"/>
    </row>
    <row r="133" spans="2:54" x14ac:dyDescent="0.25">
      <c r="B133" s="96"/>
      <c r="C133" s="96"/>
      <c r="D133" s="96"/>
      <c r="E133" s="96"/>
      <c r="F133" s="96"/>
      <c r="G133" s="96"/>
      <c r="H133" s="96"/>
      <c r="I133" s="96"/>
      <c r="J133" s="96"/>
      <c r="K133" s="96"/>
      <c r="L133" s="96"/>
      <c r="M133" s="96"/>
      <c r="N133" s="96"/>
      <c r="O133" s="96"/>
      <c r="P133" s="96"/>
      <c r="Q133" s="96"/>
      <c r="R133" s="96"/>
      <c r="S133" s="96"/>
      <c r="T133" s="96"/>
      <c r="U133" s="96"/>
      <c r="V133" s="96"/>
      <c r="W133" s="96"/>
      <c r="X133" s="96"/>
      <c r="Y133" s="96"/>
      <c r="Z133" s="96"/>
      <c r="AA133" s="96"/>
      <c r="AB133" s="96"/>
      <c r="AC133" s="96"/>
      <c r="AD133" s="96"/>
      <c r="AE133" s="96"/>
      <c r="AF133" s="96"/>
      <c r="AG133" s="96"/>
      <c r="AH133" s="96"/>
      <c r="AI133" s="96"/>
      <c r="AJ133" s="96"/>
      <c r="AK133" s="96"/>
      <c r="AL133" s="96"/>
      <c r="AM133" s="96"/>
      <c r="AN133" s="96"/>
      <c r="AO133" s="96"/>
      <c r="AP133" s="96"/>
      <c r="AQ133" s="96"/>
      <c r="AR133" s="96"/>
      <c r="AS133" s="96"/>
      <c r="AT133" s="96"/>
      <c r="AU133" s="96"/>
      <c r="AV133" s="96"/>
      <c r="AW133" s="96"/>
      <c r="AX133" s="96"/>
      <c r="AY133" s="96"/>
      <c r="AZ133" s="96"/>
      <c r="BA133" s="96"/>
      <c r="BB133" s="96"/>
    </row>
    <row r="134" spans="2:54" x14ac:dyDescent="0.25">
      <c r="B134" s="96"/>
      <c r="C134" s="96"/>
      <c r="D134" s="96"/>
      <c r="E134" s="96"/>
      <c r="F134" s="96"/>
      <c r="G134" s="96"/>
      <c r="H134" s="96"/>
      <c r="I134" s="96"/>
      <c r="J134" s="96"/>
      <c r="K134" s="96"/>
      <c r="L134" s="96"/>
      <c r="M134" s="96"/>
      <c r="N134" s="96"/>
      <c r="O134" s="96"/>
      <c r="P134" s="96"/>
      <c r="Q134" s="96"/>
      <c r="R134" s="96"/>
      <c r="S134" s="96"/>
      <c r="T134" s="96"/>
      <c r="U134" s="96"/>
      <c r="V134" s="96"/>
      <c r="W134" s="96"/>
      <c r="X134" s="96"/>
      <c r="Y134" s="96"/>
      <c r="Z134" s="96"/>
      <c r="AA134" s="96"/>
      <c r="AB134" s="96"/>
      <c r="AC134" s="96"/>
      <c r="AD134" s="96"/>
      <c r="AE134" s="96"/>
      <c r="AF134" s="96"/>
      <c r="AG134" s="96"/>
      <c r="AH134" s="96"/>
      <c r="AI134" s="96"/>
      <c r="AJ134" s="96"/>
      <c r="AK134" s="96"/>
      <c r="AL134" s="96"/>
      <c r="AM134" s="96"/>
      <c r="AN134" s="96"/>
      <c r="AO134" s="96"/>
      <c r="AP134" s="96"/>
      <c r="AQ134" s="96"/>
      <c r="AR134" s="96"/>
      <c r="AS134" s="96"/>
      <c r="AT134" s="96"/>
      <c r="AU134" s="96"/>
      <c r="AV134" s="96"/>
      <c r="AW134" s="96"/>
      <c r="AX134" s="96"/>
      <c r="AY134" s="96"/>
      <c r="AZ134" s="96"/>
      <c r="BA134" s="96"/>
      <c r="BB134" s="96"/>
    </row>
    <row r="135" spans="2:54" x14ac:dyDescent="0.25">
      <c r="B135" s="96"/>
      <c r="C135" s="96"/>
      <c r="D135" s="96"/>
      <c r="E135" s="96"/>
      <c r="F135" s="96"/>
      <c r="G135" s="96"/>
      <c r="H135" s="96"/>
      <c r="I135" s="96"/>
      <c r="J135" s="96"/>
      <c r="K135" s="96"/>
      <c r="L135" s="96"/>
      <c r="M135" s="96"/>
      <c r="N135" s="96"/>
      <c r="O135" s="96"/>
      <c r="P135" s="96"/>
      <c r="Q135" s="96"/>
      <c r="R135" s="96"/>
      <c r="S135" s="96"/>
      <c r="T135" s="96"/>
      <c r="U135" s="96"/>
      <c r="V135" s="96"/>
      <c r="W135" s="96"/>
      <c r="X135" s="96"/>
      <c r="Y135" s="96"/>
      <c r="Z135" s="96"/>
      <c r="AA135" s="96"/>
      <c r="AB135" s="96"/>
      <c r="AC135" s="96"/>
      <c r="AD135" s="96"/>
      <c r="AE135" s="96"/>
      <c r="AF135" s="96"/>
      <c r="AG135" s="96"/>
      <c r="AH135" s="96"/>
      <c r="AI135" s="96"/>
      <c r="AJ135" s="96"/>
      <c r="AK135" s="96"/>
      <c r="AL135" s="96"/>
      <c r="AM135" s="96"/>
      <c r="AN135" s="96"/>
      <c r="AO135" s="96"/>
      <c r="AP135" s="96"/>
      <c r="AQ135" s="96"/>
      <c r="AR135" s="96"/>
      <c r="AS135" s="96"/>
      <c r="AT135" s="96"/>
      <c r="AU135" s="96"/>
      <c r="AV135" s="96"/>
      <c r="AW135" s="96"/>
      <c r="AX135" s="96"/>
      <c r="AY135" s="96"/>
      <c r="AZ135" s="96"/>
      <c r="BA135" s="96"/>
      <c r="BB135" s="96"/>
    </row>
    <row r="136" spans="2:54" x14ac:dyDescent="0.25">
      <c r="B136" s="96"/>
      <c r="C136" s="96"/>
      <c r="D136" s="96"/>
      <c r="E136" s="96"/>
      <c r="F136" s="96"/>
      <c r="G136" s="96"/>
      <c r="H136" s="96"/>
      <c r="I136" s="96"/>
      <c r="J136" s="96"/>
      <c r="K136" s="96"/>
      <c r="L136" s="96"/>
      <c r="M136" s="96"/>
      <c r="N136" s="96"/>
      <c r="O136" s="96"/>
      <c r="P136" s="96"/>
      <c r="Q136" s="96"/>
      <c r="R136" s="96"/>
      <c r="S136" s="96"/>
      <c r="T136" s="96"/>
      <c r="U136" s="96"/>
      <c r="V136" s="96"/>
      <c r="W136" s="96"/>
      <c r="X136" s="96"/>
      <c r="Y136" s="96"/>
      <c r="Z136" s="96"/>
      <c r="AA136" s="96"/>
      <c r="AB136" s="96"/>
      <c r="AC136" s="96"/>
      <c r="AD136" s="96"/>
      <c r="AE136" s="96"/>
      <c r="AF136" s="96"/>
      <c r="AG136" s="96"/>
      <c r="AH136" s="96"/>
      <c r="AI136" s="96"/>
      <c r="AJ136" s="96"/>
      <c r="AK136" s="96"/>
      <c r="AL136" s="96"/>
      <c r="AM136" s="96"/>
      <c r="AN136" s="96"/>
      <c r="AO136" s="96"/>
      <c r="AP136" s="96"/>
      <c r="AQ136" s="96"/>
      <c r="AR136" s="96"/>
      <c r="AS136" s="96"/>
      <c r="AT136" s="96"/>
      <c r="AU136" s="96"/>
      <c r="AV136" s="96"/>
      <c r="AW136" s="96"/>
      <c r="AX136" s="96"/>
      <c r="AY136" s="96"/>
      <c r="AZ136" s="96"/>
      <c r="BA136" s="96"/>
      <c r="BB136" s="96"/>
    </row>
    <row r="137" spans="2:54" x14ac:dyDescent="0.25">
      <c r="B137" s="96"/>
      <c r="C137" s="96"/>
      <c r="D137" s="96"/>
      <c r="E137" s="96"/>
      <c r="F137" s="96"/>
      <c r="G137" s="96"/>
      <c r="H137" s="96"/>
      <c r="I137" s="96"/>
      <c r="J137" s="96"/>
      <c r="K137" s="96"/>
      <c r="L137" s="96"/>
      <c r="M137" s="96"/>
      <c r="N137" s="96"/>
      <c r="O137" s="96"/>
      <c r="P137" s="96"/>
      <c r="Q137" s="96"/>
      <c r="R137" s="96"/>
      <c r="S137" s="96"/>
      <c r="T137" s="96"/>
      <c r="U137" s="96"/>
      <c r="V137" s="96"/>
      <c r="W137" s="96"/>
      <c r="X137" s="96"/>
      <c r="Y137" s="96"/>
      <c r="Z137" s="96"/>
      <c r="AA137" s="96"/>
      <c r="AB137" s="96"/>
      <c r="AC137" s="96"/>
      <c r="AD137" s="96"/>
      <c r="AE137" s="96"/>
      <c r="AF137" s="96"/>
      <c r="AG137" s="96"/>
      <c r="AH137" s="96"/>
      <c r="AI137" s="96"/>
      <c r="AJ137" s="96"/>
      <c r="AK137" s="96"/>
      <c r="AL137" s="96"/>
      <c r="AM137" s="96"/>
      <c r="AN137" s="96"/>
      <c r="AO137" s="96"/>
      <c r="AP137" s="96"/>
      <c r="AQ137" s="96"/>
      <c r="AR137" s="96"/>
      <c r="AS137" s="96"/>
      <c r="AT137" s="96"/>
      <c r="AU137" s="96"/>
      <c r="AV137" s="96"/>
      <c r="AW137" s="96"/>
      <c r="AX137" s="96"/>
      <c r="AY137" s="96"/>
      <c r="AZ137" s="96"/>
      <c r="BA137" s="96"/>
      <c r="BB137" s="96"/>
    </row>
    <row r="138" spans="2:54" x14ac:dyDescent="0.25">
      <c r="B138" s="96"/>
      <c r="C138" s="96"/>
      <c r="D138" s="96"/>
      <c r="E138" s="96"/>
      <c r="F138" s="96"/>
      <c r="G138" s="96"/>
      <c r="H138" s="96"/>
      <c r="I138" s="96"/>
      <c r="J138" s="96"/>
      <c r="K138" s="96"/>
      <c r="L138" s="96"/>
      <c r="M138" s="96"/>
      <c r="N138" s="96"/>
      <c r="O138" s="96"/>
      <c r="P138" s="96"/>
      <c r="Q138" s="96"/>
      <c r="R138" s="96"/>
      <c r="S138" s="96"/>
      <c r="T138" s="96"/>
      <c r="U138" s="96"/>
      <c r="V138" s="96"/>
      <c r="W138" s="96"/>
      <c r="X138" s="96"/>
      <c r="Y138" s="96"/>
      <c r="Z138" s="96"/>
      <c r="AA138" s="96"/>
      <c r="AB138" s="96"/>
      <c r="AC138" s="96"/>
      <c r="AD138" s="96"/>
      <c r="AE138" s="96"/>
      <c r="AF138" s="96"/>
      <c r="AG138" s="96"/>
      <c r="AH138" s="96"/>
      <c r="AI138" s="96"/>
      <c r="AJ138" s="96"/>
      <c r="AK138" s="96"/>
      <c r="AL138" s="96"/>
      <c r="AM138" s="96"/>
      <c r="AN138" s="96"/>
      <c r="AO138" s="96"/>
      <c r="AP138" s="96"/>
      <c r="AQ138" s="96"/>
      <c r="AR138" s="96"/>
      <c r="AS138" s="96"/>
      <c r="AT138" s="96"/>
      <c r="AU138" s="96"/>
      <c r="AV138" s="96"/>
      <c r="AW138" s="96"/>
      <c r="AX138" s="96"/>
      <c r="AY138" s="96"/>
      <c r="AZ138" s="96"/>
      <c r="BA138" s="96"/>
      <c r="BB138" s="96"/>
    </row>
    <row r="139" spans="2:54" x14ac:dyDescent="0.25">
      <c r="B139" s="96"/>
      <c r="C139" s="96"/>
      <c r="D139" s="96"/>
      <c r="E139" s="96"/>
      <c r="F139" s="96"/>
      <c r="G139" s="96"/>
      <c r="H139" s="96"/>
      <c r="I139" s="96"/>
      <c r="J139" s="96"/>
      <c r="K139" s="96"/>
      <c r="L139" s="96"/>
      <c r="M139" s="96"/>
      <c r="N139" s="96"/>
      <c r="O139" s="96"/>
      <c r="P139" s="96"/>
      <c r="Q139" s="96"/>
      <c r="R139" s="96"/>
      <c r="S139" s="96"/>
      <c r="T139" s="96"/>
      <c r="U139" s="96"/>
      <c r="V139" s="96"/>
      <c r="W139" s="96"/>
      <c r="X139" s="96"/>
      <c r="Y139" s="96"/>
      <c r="Z139" s="96"/>
      <c r="AA139" s="96"/>
      <c r="AB139" s="96"/>
      <c r="AC139" s="96"/>
      <c r="AD139" s="96"/>
      <c r="AE139" s="96"/>
      <c r="AF139" s="96"/>
      <c r="AG139" s="96"/>
      <c r="AH139" s="96"/>
      <c r="AI139" s="96"/>
      <c r="AJ139" s="96"/>
      <c r="AK139" s="96"/>
      <c r="AL139" s="96"/>
      <c r="AM139" s="96"/>
      <c r="AN139" s="96"/>
      <c r="AO139" s="96"/>
      <c r="AP139" s="96"/>
      <c r="AQ139" s="96"/>
      <c r="AR139" s="96"/>
      <c r="AS139" s="96"/>
      <c r="AT139" s="96"/>
      <c r="AU139" s="96"/>
      <c r="AV139" s="96"/>
      <c r="AW139" s="96"/>
      <c r="AX139" s="96"/>
      <c r="AY139" s="96"/>
      <c r="AZ139" s="96"/>
      <c r="BA139" s="96"/>
      <c r="BB139" s="96"/>
    </row>
    <row r="140" spans="2:54" x14ac:dyDescent="0.25">
      <c r="B140" s="96"/>
      <c r="C140" s="96"/>
      <c r="D140" s="96"/>
      <c r="E140" s="96"/>
      <c r="F140" s="96"/>
      <c r="G140" s="96"/>
      <c r="H140" s="96"/>
      <c r="I140" s="96"/>
      <c r="J140" s="96"/>
      <c r="K140" s="96"/>
      <c r="L140" s="96"/>
      <c r="M140" s="96"/>
      <c r="N140" s="96"/>
      <c r="O140" s="96"/>
      <c r="P140" s="96"/>
      <c r="Q140" s="96"/>
      <c r="R140" s="96"/>
      <c r="S140" s="96"/>
      <c r="T140" s="96"/>
      <c r="U140" s="96"/>
      <c r="V140" s="96"/>
      <c r="W140" s="96"/>
      <c r="X140" s="96"/>
      <c r="Y140" s="96"/>
      <c r="Z140" s="96"/>
      <c r="AA140" s="96"/>
      <c r="AB140" s="96"/>
      <c r="AC140" s="96"/>
      <c r="AD140" s="96"/>
      <c r="AE140" s="96"/>
      <c r="AF140" s="96"/>
      <c r="AG140" s="96"/>
      <c r="AH140" s="96"/>
      <c r="AI140" s="96"/>
      <c r="AJ140" s="96"/>
      <c r="AK140" s="96"/>
      <c r="AL140" s="96"/>
      <c r="AM140" s="96"/>
      <c r="AN140" s="96"/>
      <c r="AO140" s="96"/>
      <c r="AP140" s="96"/>
      <c r="AQ140" s="96"/>
      <c r="AR140" s="96"/>
      <c r="AS140" s="96"/>
      <c r="AT140" s="96"/>
      <c r="AU140" s="96"/>
      <c r="AV140" s="96"/>
      <c r="AW140" s="96"/>
      <c r="AX140" s="96"/>
      <c r="AY140" s="96"/>
      <c r="AZ140" s="96"/>
      <c r="BA140" s="96"/>
      <c r="BB140" s="96"/>
    </row>
    <row r="141" spans="2:54" x14ac:dyDescent="0.25">
      <c r="B141" s="96"/>
      <c r="C141" s="96"/>
      <c r="D141" s="96"/>
      <c r="E141" s="96"/>
      <c r="F141" s="96"/>
      <c r="G141" s="96"/>
      <c r="H141" s="96"/>
      <c r="I141" s="96"/>
      <c r="J141" s="96"/>
      <c r="K141" s="96"/>
      <c r="L141" s="96"/>
      <c r="M141" s="96"/>
      <c r="N141" s="96"/>
      <c r="O141" s="96"/>
      <c r="P141" s="96"/>
      <c r="Q141" s="96"/>
      <c r="R141" s="96"/>
      <c r="S141" s="96"/>
      <c r="T141" s="96"/>
      <c r="U141" s="96"/>
      <c r="V141" s="96"/>
      <c r="W141" s="96"/>
      <c r="X141" s="96"/>
      <c r="Y141" s="96"/>
      <c r="Z141" s="96"/>
      <c r="AA141" s="96"/>
      <c r="AB141" s="96"/>
      <c r="AC141" s="96"/>
      <c r="AD141" s="96"/>
      <c r="AE141" s="96"/>
      <c r="AF141" s="96"/>
      <c r="AG141" s="96"/>
      <c r="AH141" s="96"/>
      <c r="AI141" s="96"/>
      <c r="AJ141" s="96"/>
      <c r="AK141" s="96"/>
      <c r="AL141" s="96"/>
      <c r="AM141" s="96"/>
      <c r="AN141" s="96"/>
      <c r="AO141" s="96"/>
      <c r="AP141" s="96"/>
      <c r="AQ141" s="96"/>
      <c r="AR141" s="96"/>
      <c r="AS141" s="96"/>
      <c r="AT141" s="96"/>
      <c r="AU141" s="96"/>
      <c r="AV141" s="96"/>
      <c r="AW141" s="96"/>
      <c r="AX141" s="96"/>
      <c r="AY141" s="96"/>
      <c r="AZ141" s="96"/>
      <c r="BA141" s="96"/>
      <c r="BB141" s="96"/>
    </row>
    <row r="142" spans="2:54" x14ac:dyDescent="0.25">
      <c r="B142" s="96"/>
      <c r="C142" s="96"/>
      <c r="D142" s="96"/>
      <c r="E142" s="96"/>
      <c r="F142" s="96"/>
      <c r="G142" s="96"/>
      <c r="H142" s="96"/>
      <c r="I142" s="96"/>
      <c r="J142" s="96"/>
      <c r="K142" s="96"/>
      <c r="L142" s="96"/>
      <c r="M142" s="96"/>
      <c r="N142" s="96"/>
      <c r="O142" s="96"/>
      <c r="P142" s="96"/>
      <c r="Q142" s="96"/>
      <c r="R142" s="96"/>
      <c r="S142" s="96"/>
      <c r="T142" s="96"/>
      <c r="U142" s="96"/>
      <c r="V142" s="96"/>
      <c r="W142" s="96"/>
      <c r="X142" s="96"/>
      <c r="Y142" s="96"/>
      <c r="Z142" s="96"/>
      <c r="AA142" s="96"/>
      <c r="AB142" s="96"/>
      <c r="AC142" s="96"/>
      <c r="AD142" s="96"/>
      <c r="AE142" s="96"/>
      <c r="AF142" s="96"/>
      <c r="AG142" s="96"/>
      <c r="AH142" s="96"/>
      <c r="AI142" s="96"/>
      <c r="AJ142" s="96"/>
      <c r="AK142" s="96"/>
      <c r="AL142" s="96"/>
      <c r="AM142" s="96"/>
      <c r="AN142" s="96"/>
      <c r="AO142" s="96"/>
      <c r="AP142" s="96"/>
      <c r="AQ142" s="96"/>
      <c r="AR142" s="96"/>
      <c r="AS142" s="96"/>
      <c r="AT142" s="96"/>
      <c r="AU142" s="96"/>
      <c r="AV142" s="96"/>
      <c r="AW142" s="96"/>
      <c r="AX142" s="96"/>
      <c r="AY142" s="96"/>
      <c r="AZ142" s="96"/>
      <c r="BA142" s="96"/>
      <c r="BB142" s="96"/>
    </row>
    <row r="143" spans="2:54" x14ac:dyDescent="0.25">
      <c r="B143" s="96"/>
      <c r="C143" s="96"/>
      <c r="D143" s="96"/>
      <c r="E143" s="96"/>
      <c r="F143" s="96"/>
      <c r="G143" s="96"/>
      <c r="H143" s="96"/>
      <c r="I143" s="96"/>
      <c r="J143" s="96"/>
      <c r="K143" s="96"/>
      <c r="L143" s="96"/>
      <c r="M143" s="96"/>
      <c r="N143" s="96"/>
      <c r="O143" s="96"/>
      <c r="P143" s="96"/>
      <c r="Q143" s="96"/>
      <c r="R143" s="96"/>
      <c r="S143" s="96"/>
      <c r="T143" s="96"/>
      <c r="U143" s="96"/>
      <c r="V143" s="96"/>
      <c r="W143" s="96"/>
      <c r="X143" s="96"/>
      <c r="Y143" s="96"/>
      <c r="Z143" s="96"/>
      <c r="AA143" s="96"/>
      <c r="AB143" s="96"/>
      <c r="AC143" s="96"/>
      <c r="AD143" s="96"/>
      <c r="AE143" s="96"/>
      <c r="AF143" s="96"/>
      <c r="AG143" s="96"/>
      <c r="AH143" s="96"/>
      <c r="AI143" s="96"/>
      <c r="AJ143" s="96"/>
      <c r="AK143" s="96"/>
      <c r="AL143" s="96"/>
      <c r="AM143" s="96"/>
      <c r="AN143" s="96"/>
      <c r="AO143" s="96"/>
      <c r="AP143" s="96"/>
      <c r="AQ143" s="96"/>
      <c r="AR143" s="96"/>
      <c r="AS143" s="96"/>
      <c r="AT143" s="96"/>
      <c r="AU143" s="96"/>
      <c r="AV143" s="96"/>
      <c r="AW143" s="96"/>
      <c r="AX143" s="96"/>
      <c r="AY143" s="96"/>
      <c r="AZ143" s="96"/>
      <c r="BA143" s="96"/>
      <c r="BB143" s="96"/>
    </row>
    <row r="144" spans="2:54" x14ac:dyDescent="0.25">
      <c r="B144" s="96"/>
      <c r="C144" s="96"/>
      <c r="D144" s="96"/>
      <c r="E144" s="96"/>
      <c r="F144" s="96"/>
      <c r="G144" s="96"/>
      <c r="H144" s="96"/>
      <c r="I144" s="96"/>
      <c r="J144" s="96"/>
      <c r="K144" s="96"/>
      <c r="L144" s="96"/>
      <c r="M144" s="96"/>
      <c r="N144" s="96"/>
      <c r="O144" s="96"/>
      <c r="P144" s="96"/>
      <c r="Q144" s="96"/>
      <c r="R144" s="96"/>
      <c r="S144" s="96"/>
      <c r="T144" s="96"/>
      <c r="U144" s="96"/>
      <c r="V144" s="96"/>
      <c r="W144" s="96"/>
      <c r="X144" s="96"/>
      <c r="Y144" s="96"/>
      <c r="Z144" s="96"/>
      <c r="AA144" s="96"/>
      <c r="AB144" s="96"/>
      <c r="AC144" s="96"/>
      <c r="AD144" s="96"/>
      <c r="AE144" s="96"/>
      <c r="AF144" s="96"/>
      <c r="AG144" s="96"/>
      <c r="AH144" s="96"/>
      <c r="AI144" s="96"/>
      <c r="AJ144" s="96"/>
      <c r="AK144" s="96"/>
      <c r="AL144" s="96"/>
      <c r="AM144" s="96"/>
      <c r="AN144" s="96"/>
      <c r="AO144" s="96"/>
      <c r="AP144" s="96"/>
      <c r="AQ144" s="96"/>
      <c r="AR144" s="96"/>
      <c r="AS144" s="96"/>
      <c r="AT144" s="96"/>
      <c r="AU144" s="96"/>
      <c r="AV144" s="96"/>
      <c r="AW144" s="96"/>
      <c r="AX144" s="96"/>
      <c r="AY144" s="96"/>
      <c r="AZ144" s="96"/>
      <c r="BA144" s="96"/>
      <c r="BB144" s="96"/>
    </row>
    <row r="145" spans="2:54" x14ac:dyDescent="0.25">
      <c r="B145" s="96"/>
      <c r="C145" s="96"/>
      <c r="D145" s="96"/>
      <c r="E145" s="96"/>
      <c r="F145" s="96"/>
      <c r="G145" s="96"/>
      <c r="H145" s="96"/>
      <c r="I145" s="96"/>
      <c r="J145" s="96"/>
      <c r="K145" s="96"/>
      <c r="L145" s="96"/>
      <c r="M145" s="96"/>
      <c r="N145" s="96"/>
      <c r="O145" s="96"/>
      <c r="P145" s="96"/>
      <c r="Q145" s="96"/>
      <c r="R145" s="96"/>
      <c r="S145" s="96"/>
      <c r="T145" s="96"/>
      <c r="U145" s="96"/>
      <c r="V145" s="96"/>
      <c r="W145" s="96"/>
      <c r="X145" s="96"/>
      <c r="Y145" s="96"/>
      <c r="Z145" s="96"/>
      <c r="AA145" s="96"/>
      <c r="AB145" s="96"/>
      <c r="AC145" s="96"/>
      <c r="AD145" s="96"/>
      <c r="AE145" s="96"/>
      <c r="AF145" s="96"/>
      <c r="AG145" s="96"/>
      <c r="AH145" s="96"/>
      <c r="AI145" s="96"/>
      <c r="AJ145" s="96"/>
      <c r="AK145" s="96"/>
      <c r="AL145" s="96"/>
      <c r="AM145" s="96"/>
      <c r="AN145" s="96"/>
      <c r="AO145" s="96"/>
      <c r="AP145" s="96"/>
      <c r="AQ145" s="96"/>
      <c r="AR145" s="96"/>
      <c r="AS145" s="96"/>
      <c r="AT145" s="96"/>
      <c r="AU145" s="96"/>
      <c r="AV145" s="96"/>
      <c r="AW145" s="96"/>
      <c r="AX145" s="96"/>
      <c r="AY145" s="96"/>
      <c r="AZ145" s="96"/>
      <c r="BA145" s="96"/>
      <c r="BB145" s="96"/>
    </row>
    <row r="146" spans="2:54" x14ac:dyDescent="0.25">
      <c r="B146" s="96"/>
      <c r="C146" s="96"/>
      <c r="D146" s="96"/>
      <c r="E146" s="96"/>
      <c r="F146" s="96"/>
      <c r="G146" s="96"/>
      <c r="H146" s="96"/>
      <c r="I146" s="96"/>
      <c r="J146" s="96"/>
      <c r="K146" s="96"/>
      <c r="L146" s="96"/>
      <c r="M146" s="96"/>
      <c r="N146" s="96"/>
      <c r="O146" s="96"/>
      <c r="P146" s="96"/>
      <c r="Q146" s="96"/>
      <c r="R146" s="96"/>
      <c r="S146" s="96"/>
      <c r="T146" s="96"/>
      <c r="U146" s="96"/>
      <c r="V146" s="96"/>
      <c r="W146" s="96"/>
      <c r="X146" s="96"/>
      <c r="Y146" s="96"/>
      <c r="Z146" s="96"/>
      <c r="AA146" s="96"/>
      <c r="AB146" s="96"/>
      <c r="AC146" s="96"/>
      <c r="AD146" s="96"/>
      <c r="AE146" s="96"/>
      <c r="AF146" s="96"/>
      <c r="AG146" s="96"/>
      <c r="AH146" s="96"/>
      <c r="AI146" s="96"/>
      <c r="AJ146" s="96"/>
      <c r="AK146" s="96"/>
      <c r="AL146" s="96"/>
      <c r="AM146" s="96"/>
      <c r="AN146" s="96"/>
      <c r="AO146" s="96"/>
      <c r="AP146" s="96"/>
      <c r="AQ146" s="96"/>
      <c r="AR146" s="96"/>
      <c r="AS146" s="96"/>
      <c r="AT146" s="96"/>
      <c r="AU146" s="96"/>
      <c r="AV146" s="96"/>
      <c r="AW146" s="96"/>
      <c r="AX146" s="96"/>
      <c r="AY146" s="96"/>
      <c r="AZ146" s="96"/>
      <c r="BA146" s="96"/>
      <c r="BB146" s="96"/>
    </row>
    <row r="147" spans="2:54" x14ac:dyDescent="0.25">
      <c r="B147" s="96"/>
      <c r="C147" s="96"/>
      <c r="D147" s="96"/>
      <c r="E147" s="96"/>
      <c r="F147" s="96"/>
      <c r="G147" s="96"/>
      <c r="H147" s="96"/>
      <c r="I147" s="96"/>
      <c r="J147" s="96"/>
      <c r="K147" s="96"/>
      <c r="L147" s="96"/>
      <c r="M147" s="96"/>
      <c r="N147" s="96"/>
      <c r="O147" s="96"/>
      <c r="P147" s="96"/>
      <c r="Q147" s="96"/>
      <c r="R147" s="96"/>
      <c r="S147" s="96"/>
      <c r="T147" s="96"/>
      <c r="U147" s="96"/>
      <c r="V147" s="96"/>
      <c r="W147" s="96"/>
      <c r="X147" s="96"/>
      <c r="Y147" s="96"/>
      <c r="Z147" s="96"/>
      <c r="AA147" s="96"/>
      <c r="AB147" s="96"/>
      <c r="AC147" s="96"/>
      <c r="AD147" s="96"/>
      <c r="AE147" s="96"/>
      <c r="AF147" s="96"/>
      <c r="AG147" s="96"/>
      <c r="AH147" s="96"/>
      <c r="AI147" s="96"/>
      <c r="AJ147" s="96"/>
      <c r="AK147" s="96"/>
      <c r="AL147" s="96"/>
      <c r="AM147" s="96"/>
      <c r="AN147" s="96"/>
      <c r="AO147" s="96"/>
      <c r="AP147" s="96"/>
      <c r="AQ147" s="96"/>
      <c r="AR147" s="96"/>
      <c r="AS147" s="96"/>
      <c r="AT147" s="96"/>
      <c r="AU147" s="96"/>
      <c r="AV147" s="96"/>
      <c r="AW147" s="96"/>
      <c r="AX147" s="96"/>
      <c r="AY147" s="96"/>
      <c r="AZ147" s="96"/>
      <c r="BA147" s="96"/>
      <c r="BB147" s="96"/>
    </row>
    <row r="148" spans="2:54" x14ac:dyDescent="0.25">
      <c r="B148" s="96"/>
      <c r="C148" s="96"/>
      <c r="D148" s="96"/>
      <c r="E148" s="96"/>
      <c r="F148" s="96"/>
      <c r="G148" s="96"/>
      <c r="H148" s="96"/>
      <c r="I148" s="96"/>
      <c r="J148" s="96"/>
      <c r="K148" s="96"/>
      <c r="L148" s="96"/>
      <c r="M148" s="96"/>
      <c r="N148" s="96"/>
      <c r="O148" s="96"/>
      <c r="P148" s="96"/>
      <c r="Q148" s="96"/>
      <c r="R148" s="96"/>
      <c r="S148" s="96"/>
      <c r="T148" s="96"/>
      <c r="U148" s="96"/>
      <c r="V148" s="96"/>
      <c r="W148" s="96"/>
      <c r="X148" s="96"/>
      <c r="Y148" s="96"/>
      <c r="Z148" s="96"/>
      <c r="AA148" s="96"/>
      <c r="AB148" s="96"/>
      <c r="AC148" s="96"/>
      <c r="AD148" s="96"/>
      <c r="AE148" s="96"/>
      <c r="AF148" s="96"/>
      <c r="AG148" s="96"/>
      <c r="AH148" s="96"/>
      <c r="AI148" s="96"/>
      <c r="AJ148" s="96"/>
      <c r="AK148" s="96"/>
      <c r="AL148" s="96"/>
      <c r="AM148" s="96"/>
      <c r="AN148" s="96"/>
      <c r="AO148" s="96"/>
      <c r="AP148" s="96"/>
      <c r="AQ148" s="96"/>
      <c r="AR148" s="96"/>
      <c r="AS148" s="96"/>
      <c r="AT148" s="96"/>
      <c r="AU148" s="96"/>
      <c r="AV148" s="96"/>
      <c r="AW148" s="96"/>
      <c r="AX148" s="96"/>
      <c r="AY148" s="96"/>
      <c r="AZ148" s="96"/>
      <c r="BA148" s="96"/>
      <c r="BB148" s="96"/>
    </row>
    <row r="149" spans="2:54" x14ac:dyDescent="0.25">
      <c r="B149" s="96"/>
      <c r="C149" s="96"/>
      <c r="D149" s="96"/>
      <c r="E149" s="96"/>
      <c r="F149" s="96"/>
      <c r="G149" s="96"/>
      <c r="H149" s="96"/>
      <c r="I149" s="96"/>
      <c r="J149" s="96"/>
      <c r="K149" s="96"/>
      <c r="L149" s="96"/>
      <c r="M149" s="96"/>
      <c r="N149" s="96"/>
      <c r="O149" s="96"/>
      <c r="P149" s="96"/>
      <c r="Q149" s="96"/>
      <c r="R149" s="96"/>
      <c r="S149" s="96"/>
      <c r="T149" s="96"/>
      <c r="U149" s="96"/>
      <c r="V149" s="96"/>
      <c r="W149" s="96"/>
      <c r="X149" s="96"/>
      <c r="Y149" s="96"/>
      <c r="Z149" s="96"/>
      <c r="AA149" s="96"/>
      <c r="AB149" s="96"/>
      <c r="AC149" s="96"/>
      <c r="AD149" s="96"/>
      <c r="AE149" s="96"/>
      <c r="AF149" s="96"/>
      <c r="AG149" s="96"/>
      <c r="AH149" s="96"/>
      <c r="AI149" s="96"/>
      <c r="AJ149" s="96"/>
      <c r="AK149" s="96"/>
      <c r="AL149" s="96"/>
      <c r="AM149" s="96"/>
      <c r="AN149" s="96"/>
      <c r="AO149" s="96"/>
      <c r="AP149" s="96"/>
      <c r="AQ149" s="96"/>
      <c r="AR149" s="96"/>
      <c r="AS149" s="96"/>
      <c r="AT149" s="96"/>
      <c r="AU149" s="96"/>
      <c r="AV149" s="96"/>
      <c r="AW149" s="96"/>
      <c r="AX149" s="96"/>
      <c r="AY149" s="96"/>
      <c r="AZ149" s="96"/>
      <c r="BA149" s="96"/>
      <c r="BB149" s="96"/>
    </row>
    <row r="150" spans="2:54" x14ac:dyDescent="0.25">
      <c r="B150" s="96"/>
      <c r="C150" s="96"/>
      <c r="D150" s="96"/>
      <c r="E150" s="96"/>
      <c r="F150" s="96"/>
      <c r="G150" s="96"/>
      <c r="H150" s="96"/>
      <c r="I150" s="96"/>
      <c r="J150" s="96"/>
      <c r="K150" s="96"/>
      <c r="L150" s="96"/>
      <c r="M150" s="96"/>
      <c r="N150" s="96"/>
      <c r="O150" s="96"/>
      <c r="P150" s="96"/>
      <c r="Q150" s="96"/>
      <c r="R150" s="96"/>
      <c r="S150" s="96"/>
      <c r="T150" s="96"/>
      <c r="U150" s="96"/>
      <c r="V150" s="96"/>
      <c r="W150" s="96"/>
      <c r="X150" s="96"/>
      <c r="Y150" s="96"/>
      <c r="Z150" s="96"/>
      <c r="AA150" s="96"/>
      <c r="AB150" s="96"/>
      <c r="AC150" s="96"/>
      <c r="AD150" s="96"/>
      <c r="AE150" s="96"/>
      <c r="AF150" s="96"/>
      <c r="AG150" s="96"/>
      <c r="AH150" s="96"/>
      <c r="AI150" s="96"/>
      <c r="AJ150" s="96"/>
      <c r="AK150" s="96"/>
      <c r="AL150" s="96"/>
      <c r="AM150" s="96"/>
      <c r="AN150" s="96"/>
      <c r="AO150" s="96"/>
      <c r="AP150" s="96"/>
      <c r="AQ150" s="96"/>
      <c r="AR150" s="96"/>
      <c r="AS150" s="96"/>
      <c r="AT150" s="96"/>
      <c r="AU150" s="96"/>
      <c r="AV150" s="96"/>
      <c r="AW150" s="96"/>
      <c r="AX150" s="96"/>
      <c r="AY150" s="96"/>
      <c r="AZ150" s="96"/>
      <c r="BA150" s="96"/>
      <c r="BB150" s="96"/>
    </row>
    <row r="151" spans="2:54" x14ac:dyDescent="0.25">
      <c r="B151" s="96"/>
      <c r="C151" s="96"/>
      <c r="D151" s="96"/>
      <c r="E151" s="96"/>
      <c r="F151" s="96"/>
      <c r="G151" s="96"/>
      <c r="H151" s="96"/>
      <c r="I151" s="96"/>
      <c r="J151" s="96"/>
      <c r="K151" s="96"/>
      <c r="L151" s="96"/>
      <c r="M151" s="96"/>
      <c r="N151" s="96"/>
      <c r="O151" s="96"/>
      <c r="P151" s="96"/>
      <c r="Q151" s="96"/>
      <c r="R151" s="96"/>
      <c r="S151" s="96"/>
      <c r="T151" s="96"/>
      <c r="U151" s="96"/>
      <c r="V151" s="96"/>
      <c r="W151" s="96"/>
      <c r="X151" s="96"/>
      <c r="Y151" s="96"/>
      <c r="Z151" s="96"/>
      <c r="AA151" s="96"/>
      <c r="AB151" s="96"/>
      <c r="AC151" s="96"/>
      <c r="AD151" s="96"/>
      <c r="AE151" s="96"/>
      <c r="AF151" s="96"/>
      <c r="AG151" s="96"/>
      <c r="AH151" s="96"/>
      <c r="AI151" s="96"/>
      <c r="AJ151" s="96"/>
      <c r="AK151" s="96"/>
      <c r="AL151" s="96"/>
      <c r="AM151" s="96"/>
      <c r="AN151" s="96"/>
      <c r="AO151" s="96"/>
      <c r="AP151" s="96"/>
      <c r="AQ151" s="96"/>
      <c r="AR151" s="96"/>
      <c r="AS151" s="96"/>
      <c r="AT151" s="96"/>
      <c r="AU151" s="96"/>
      <c r="AV151" s="96"/>
      <c r="AW151" s="96"/>
      <c r="AX151" s="96"/>
      <c r="AY151" s="96"/>
      <c r="AZ151" s="96"/>
      <c r="BA151" s="96"/>
      <c r="BB151" s="96"/>
    </row>
    <row r="152" spans="2:54" x14ac:dyDescent="0.25">
      <c r="B152" s="96"/>
      <c r="C152" s="96"/>
      <c r="D152" s="96"/>
      <c r="E152" s="96"/>
      <c r="F152" s="96"/>
      <c r="G152" s="96"/>
      <c r="H152" s="96"/>
      <c r="I152" s="96"/>
      <c r="J152" s="96"/>
      <c r="K152" s="96"/>
      <c r="L152" s="96"/>
      <c r="M152" s="96"/>
      <c r="N152" s="96"/>
      <c r="O152" s="96"/>
      <c r="P152" s="96"/>
      <c r="Q152" s="96"/>
      <c r="R152" s="96"/>
      <c r="S152" s="96"/>
      <c r="T152" s="96"/>
      <c r="U152" s="96"/>
      <c r="V152" s="96"/>
      <c r="W152" s="96"/>
      <c r="X152" s="96"/>
      <c r="Y152" s="96"/>
      <c r="Z152" s="96"/>
      <c r="AA152" s="96"/>
      <c r="AB152" s="96"/>
      <c r="AC152" s="96"/>
      <c r="AD152" s="96"/>
      <c r="AE152" s="96"/>
      <c r="AF152" s="96"/>
      <c r="AG152" s="96"/>
      <c r="AH152" s="96"/>
      <c r="AI152" s="96"/>
      <c r="AJ152" s="96"/>
      <c r="AK152" s="96"/>
      <c r="AL152" s="96"/>
      <c r="AM152" s="96"/>
      <c r="AN152" s="96"/>
      <c r="AO152" s="96"/>
      <c r="AP152" s="96"/>
      <c r="AQ152" s="96"/>
      <c r="AR152" s="96"/>
      <c r="AS152" s="96"/>
      <c r="AT152" s="96"/>
      <c r="AU152" s="96"/>
      <c r="AV152" s="96"/>
      <c r="AW152" s="96"/>
      <c r="AX152" s="96"/>
      <c r="AY152" s="96"/>
      <c r="AZ152" s="96"/>
      <c r="BA152" s="96"/>
      <c r="BB152" s="96"/>
    </row>
    <row r="153" spans="2:54" x14ac:dyDescent="0.25">
      <c r="B153" s="96"/>
      <c r="C153" s="96"/>
      <c r="D153" s="96"/>
      <c r="E153" s="96"/>
      <c r="F153" s="96"/>
      <c r="G153" s="96"/>
      <c r="H153" s="96"/>
      <c r="I153" s="96"/>
      <c r="J153" s="96"/>
      <c r="K153" s="96"/>
      <c r="L153" s="96"/>
      <c r="M153" s="96"/>
      <c r="N153" s="96"/>
      <c r="O153" s="96"/>
      <c r="P153" s="96"/>
      <c r="Q153" s="96"/>
      <c r="R153" s="96"/>
      <c r="S153" s="96"/>
      <c r="T153" s="96"/>
      <c r="U153" s="96"/>
      <c r="V153" s="96"/>
      <c r="W153" s="96"/>
      <c r="X153" s="96"/>
      <c r="Y153" s="96"/>
      <c r="Z153" s="96"/>
      <c r="AA153" s="96"/>
      <c r="AB153" s="96"/>
      <c r="AC153" s="96"/>
      <c r="AD153" s="96"/>
      <c r="AE153" s="96"/>
      <c r="AF153" s="96"/>
      <c r="AG153" s="96"/>
      <c r="AH153" s="96"/>
      <c r="AI153" s="96"/>
      <c r="AJ153" s="96"/>
      <c r="AK153" s="96"/>
      <c r="AL153" s="96"/>
      <c r="AM153" s="96"/>
      <c r="AN153" s="96"/>
      <c r="AO153" s="96"/>
      <c r="AP153" s="96"/>
      <c r="AQ153" s="96"/>
      <c r="AR153" s="96"/>
      <c r="AS153" s="96"/>
      <c r="AT153" s="96"/>
      <c r="AU153" s="96"/>
      <c r="AV153" s="96"/>
      <c r="AW153" s="96"/>
      <c r="AX153" s="96"/>
      <c r="AY153" s="96"/>
      <c r="AZ153" s="96"/>
      <c r="BA153" s="96"/>
      <c r="BB153" s="96"/>
    </row>
    <row r="154" spans="2:54" x14ac:dyDescent="0.25">
      <c r="B154" s="96"/>
      <c r="C154" s="96"/>
      <c r="D154" s="96"/>
      <c r="E154" s="96"/>
      <c r="F154" s="96"/>
      <c r="G154" s="96"/>
      <c r="H154" s="96"/>
      <c r="I154" s="96"/>
      <c r="J154" s="96"/>
      <c r="K154" s="96"/>
      <c r="L154" s="96"/>
      <c r="M154" s="96"/>
      <c r="N154" s="96"/>
      <c r="O154" s="96"/>
      <c r="P154" s="96"/>
      <c r="Q154" s="96"/>
      <c r="R154" s="96"/>
      <c r="S154" s="96"/>
      <c r="T154" s="96"/>
      <c r="U154" s="96"/>
      <c r="V154" s="96"/>
      <c r="W154" s="96"/>
      <c r="X154" s="96"/>
      <c r="Y154" s="96"/>
      <c r="Z154" s="96"/>
      <c r="AA154" s="96"/>
      <c r="AB154" s="96"/>
      <c r="AC154" s="96"/>
      <c r="AD154" s="96"/>
      <c r="AE154" s="96"/>
      <c r="AF154" s="96"/>
      <c r="AG154" s="96"/>
      <c r="AH154" s="96"/>
      <c r="AI154" s="96"/>
      <c r="AJ154" s="96"/>
      <c r="AK154" s="96"/>
      <c r="AL154" s="96"/>
      <c r="AM154" s="96"/>
      <c r="AN154" s="96"/>
      <c r="AO154" s="96"/>
      <c r="AP154" s="96"/>
      <c r="AQ154" s="96"/>
      <c r="AR154" s="96"/>
      <c r="AS154" s="96"/>
      <c r="AT154" s="96"/>
      <c r="AU154" s="96"/>
      <c r="AV154" s="96"/>
      <c r="AW154" s="96"/>
      <c r="AX154" s="96"/>
      <c r="AY154" s="96"/>
      <c r="AZ154" s="96"/>
      <c r="BA154" s="96"/>
      <c r="BB154" s="96"/>
    </row>
    <row r="155" spans="2:54" x14ac:dyDescent="0.25">
      <c r="B155" s="96"/>
      <c r="C155" s="96"/>
      <c r="D155" s="96"/>
      <c r="E155" s="96"/>
      <c r="F155" s="96"/>
      <c r="G155" s="96"/>
      <c r="H155" s="96"/>
      <c r="I155" s="96"/>
      <c r="J155" s="96"/>
      <c r="K155" s="96"/>
      <c r="L155" s="96"/>
      <c r="M155" s="96"/>
      <c r="N155" s="96"/>
      <c r="O155" s="96"/>
      <c r="P155" s="96"/>
      <c r="Q155" s="96"/>
      <c r="R155" s="96"/>
      <c r="S155" s="96"/>
      <c r="T155" s="96"/>
      <c r="U155" s="96"/>
      <c r="V155" s="96"/>
      <c r="W155" s="96"/>
      <c r="X155" s="96"/>
      <c r="Y155" s="96"/>
      <c r="Z155" s="96"/>
      <c r="AA155" s="96"/>
      <c r="AB155" s="96"/>
      <c r="AC155" s="96"/>
      <c r="AD155" s="96"/>
      <c r="AE155" s="96"/>
      <c r="AF155" s="96"/>
      <c r="AG155" s="96"/>
      <c r="AH155" s="96"/>
      <c r="AI155" s="96"/>
      <c r="AJ155" s="96"/>
      <c r="AK155" s="96"/>
      <c r="AL155" s="96"/>
      <c r="AM155" s="96"/>
      <c r="AN155" s="96"/>
      <c r="AO155" s="96"/>
      <c r="AP155" s="96"/>
      <c r="AQ155" s="96"/>
      <c r="AR155" s="96"/>
      <c r="AS155" s="96"/>
      <c r="AT155" s="96"/>
      <c r="AU155" s="96"/>
      <c r="AV155" s="96"/>
      <c r="AW155" s="96"/>
      <c r="AX155" s="96"/>
      <c r="AY155" s="96"/>
      <c r="AZ155" s="96"/>
      <c r="BA155" s="96"/>
      <c r="BB155" s="96"/>
    </row>
    <row r="156" spans="2:54" x14ac:dyDescent="0.25">
      <c r="B156" s="96"/>
      <c r="C156" s="96"/>
      <c r="D156" s="96"/>
      <c r="E156" s="96"/>
      <c r="F156" s="96"/>
      <c r="G156" s="96"/>
      <c r="H156" s="96"/>
      <c r="I156" s="96"/>
      <c r="J156" s="96"/>
      <c r="K156" s="96"/>
      <c r="L156" s="96"/>
      <c r="M156" s="96"/>
      <c r="N156" s="96"/>
      <c r="O156" s="96"/>
      <c r="P156" s="96"/>
      <c r="Q156" s="96"/>
      <c r="R156" s="96"/>
      <c r="S156" s="96"/>
      <c r="T156" s="96"/>
      <c r="U156" s="96"/>
      <c r="V156" s="96"/>
      <c r="W156" s="96"/>
      <c r="X156" s="96"/>
      <c r="Y156" s="96"/>
      <c r="Z156" s="96"/>
      <c r="AA156" s="96"/>
      <c r="AB156" s="96"/>
      <c r="AC156" s="96"/>
      <c r="AD156" s="96"/>
      <c r="AE156" s="96"/>
      <c r="AF156" s="96"/>
      <c r="AG156" s="96"/>
      <c r="AH156" s="96"/>
      <c r="AI156" s="96"/>
      <c r="AJ156" s="96"/>
      <c r="AK156" s="96"/>
      <c r="AL156" s="96"/>
      <c r="AM156" s="96"/>
      <c r="AN156" s="96"/>
      <c r="AO156" s="96"/>
      <c r="AP156" s="96"/>
      <c r="AQ156" s="96"/>
      <c r="AR156" s="96"/>
      <c r="AS156" s="96"/>
      <c r="AT156" s="96"/>
      <c r="AU156" s="96"/>
      <c r="AV156" s="96"/>
      <c r="AW156" s="96"/>
      <c r="AX156" s="96"/>
      <c r="AY156" s="96"/>
      <c r="AZ156" s="96"/>
      <c r="BA156" s="96"/>
      <c r="BB156" s="96"/>
    </row>
    <row r="157" spans="2:54" x14ac:dyDescent="0.25">
      <c r="B157" s="96"/>
      <c r="C157" s="96"/>
      <c r="D157" s="96"/>
      <c r="E157" s="96"/>
      <c r="F157" s="96"/>
      <c r="G157" s="96"/>
      <c r="H157" s="96"/>
      <c r="I157" s="96"/>
      <c r="J157" s="96"/>
      <c r="K157" s="96"/>
      <c r="L157" s="96"/>
      <c r="M157" s="96"/>
      <c r="N157" s="96"/>
      <c r="O157" s="96"/>
      <c r="P157" s="96"/>
      <c r="Q157" s="96"/>
      <c r="R157" s="96"/>
      <c r="S157" s="96"/>
      <c r="T157" s="96"/>
      <c r="U157" s="96"/>
      <c r="V157" s="96"/>
      <c r="W157" s="96"/>
      <c r="X157" s="96"/>
      <c r="Y157" s="96"/>
      <c r="Z157" s="96"/>
      <c r="AA157" s="96"/>
      <c r="AB157" s="96"/>
      <c r="AC157" s="96"/>
      <c r="AD157" s="96"/>
      <c r="AE157" s="96"/>
      <c r="AF157" s="96"/>
      <c r="AG157" s="96"/>
      <c r="AH157" s="96"/>
      <c r="AI157" s="96"/>
      <c r="AJ157" s="96"/>
      <c r="AK157" s="96"/>
      <c r="AL157" s="96"/>
      <c r="AM157" s="96"/>
      <c r="AN157" s="96"/>
      <c r="AO157" s="96"/>
      <c r="AP157" s="96"/>
      <c r="AQ157" s="96"/>
      <c r="AR157" s="96"/>
      <c r="AS157" s="96"/>
      <c r="AT157" s="96"/>
      <c r="AU157" s="96"/>
      <c r="AV157" s="96"/>
      <c r="AW157" s="96"/>
      <c r="AX157" s="96"/>
      <c r="AY157" s="96"/>
      <c r="AZ157" s="96"/>
      <c r="BA157" s="96"/>
      <c r="BB157" s="96"/>
    </row>
    <row r="158" spans="2:54" x14ac:dyDescent="0.25">
      <c r="B158" s="96"/>
      <c r="C158" s="96"/>
      <c r="D158" s="96"/>
      <c r="E158" s="96"/>
      <c r="F158" s="96"/>
      <c r="G158" s="96"/>
      <c r="H158" s="96"/>
      <c r="I158" s="96"/>
      <c r="J158" s="96"/>
      <c r="K158" s="96"/>
      <c r="L158" s="96"/>
      <c r="M158" s="96"/>
      <c r="N158" s="96"/>
      <c r="O158" s="96"/>
      <c r="P158" s="96"/>
      <c r="Q158" s="96"/>
      <c r="R158" s="96"/>
      <c r="S158" s="96"/>
      <c r="T158" s="96"/>
      <c r="U158" s="96"/>
      <c r="V158" s="96"/>
      <c r="W158" s="96"/>
      <c r="X158" s="96"/>
      <c r="Y158" s="96"/>
      <c r="Z158" s="96"/>
      <c r="AA158" s="96"/>
      <c r="AB158" s="96"/>
      <c r="AC158" s="96"/>
      <c r="AD158" s="96"/>
      <c r="AE158" s="96"/>
      <c r="AF158" s="96"/>
      <c r="AG158" s="96"/>
      <c r="AH158" s="96"/>
      <c r="AI158" s="96"/>
      <c r="AJ158" s="96"/>
      <c r="AK158" s="96"/>
      <c r="AL158" s="96"/>
      <c r="AM158" s="96"/>
      <c r="AN158" s="96"/>
      <c r="AO158" s="96"/>
      <c r="AP158" s="96"/>
      <c r="AQ158" s="96"/>
      <c r="AR158" s="96"/>
      <c r="AS158" s="96"/>
      <c r="AT158" s="96"/>
      <c r="AU158" s="96"/>
      <c r="AV158" s="96"/>
      <c r="AW158" s="96"/>
      <c r="AX158" s="96"/>
      <c r="AY158" s="96"/>
      <c r="AZ158" s="96"/>
      <c r="BA158" s="96"/>
      <c r="BB158" s="96"/>
    </row>
    <row r="159" spans="2:54" x14ac:dyDescent="0.25">
      <c r="B159" s="96"/>
      <c r="C159" s="96"/>
      <c r="D159" s="96"/>
      <c r="E159" s="96"/>
      <c r="F159" s="96"/>
      <c r="G159" s="96"/>
      <c r="H159" s="96"/>
      <c r="I159" s="96"/>
      <c r="J159" s="96"/>
      <c r="K159" s="96"/>
      <c r="L159" s="96"/>
      <c r="M159" s="96"/>
      <c r="N159" s="96"/>
      <c r="O159" s="96"/>
      <c r="P159" s="96"/>
      <c r="Q159" s="96"/>
      <c r="R159" s="96"/>
      <c r="S159" s="96"/>
      <c r="T159" s="96"/>
      <c r="U159" s="96"/>
      <c r="V159" s="96"/>
      <c r="W159" s="96"/>
      <c r="X159" s="96"/>
      <c r="Y159" s="96"/>
      <c r="Z159" s="96"/>
      <c r="AA159" s="96"/>
      <c r="AB159" s="96"/>
      <c r="AC159" s="96"/>
      <c r="AD159" s="96"/>
      <c r="AE159" s="96"/>
      <c r="AF159" s="96"/>
      <c r="AG159" s="96"/>
      <c r="AH159" s="96"/>
      <c r="AI159" s="96"/>
      <c r="AJ159" s="96"/>
      <c r="AK159" s="96"/>
      <c r="AL159" s="96"/>
      <c r="AM159" s="96"/>
      <c r="AN159" s="96"/>
      <c r="AO159" s="96"/>
      <c r="AP159" s="96"/>
      <c r="AQ159" s="96"/>
      <c r="AR159" s="96"/>
      <c r="AS159" s="96"/>
      <c r="AT159" s="96"/>
      <c r="AU159" s="96"/>
      <c r="AV159" s="96"/>
      <c r="AW159" s="96"/>
      <c r="AX159" s="96"/>
      <c r="AY159" s="96"/>
      <c r="AZ159" s="96"/>
      <c r="BA159" s="96"/>
      <c r="BB159" s="96"/>
    </row>
    <row r="160" spans="2:54" x14ac:dyDescent="0.25">
      <c r="B160" s="96"/>
      <c r="C160" s="96"/>
      <c r="D160" s="96"/>
      <c r="E160" s="96"/>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96"/>
      <c r="AE160" s="96"/>
      <c r="AF160" s="96"/>
      <c r="AG160" s="96"/>
      <c r="AH160" s="96"/>
      <c r="AI160" s="96"/>
      <c r="AJ160" s="96"/>
      <c r="AK160" s="96"/>
      <c r="AL160" s="96"/>
      <c r="AM160" s="96"/>
      <c r="AN160" s="96"/>
      <c r="AO160" s="96"/>
      <c r="AP160" s="96"/>
      <c r="AQ160" s="96"/>
      <c r="AR160" s="96"/>
      <c r="AS160" s="96"/>
      <c r="AT160" s="96"/>
      <c r="AU160" s="96"/>
      <c r="AV160" s="96"/>
      <c r="AW160" s="96"/>
      <c r="AX160" s="96"/>
      <c r="AY160" s="96"/>
      <c r="AZ160" s="96"/>
      <c r="BA160" s="96"/>
      <c r="BB160" s="96"/>
    </row>
    <row r="161" spans="2:54" x14ac:dyDescent="0.25">
      <c r="B161" s="96"/>
      <c r="C161" s="96"/>
      <c r="D161" s="96"/>
      <c r="E161" s="96"/>
      <c r="F161" s="96"/>
      <c r="G161" s="96"/>
      <c r="H161" s="96"/>
      <c r="I161" s="96"/>
      <c r="J161" s="96"/>
      <c r="K161" s="96"/>
      <c r="L161" s="96"/>
      <c r="M161" s="96"/>
      <c r="N161" s="96"/>
      <c r="O161" s="96"/>
      <c r="P161" s="96"/>
      <c r="Q161" s="96"/>
      <c r="R161" s="96"/>
      <c r="S161" s="96"/>
      <c r="T161" s="96"/>
      <c r="U161" s="96"/>
      <c r="V161" s="96"/>
      <c r="W161" s="96"/>
      <c r="X161" s="96"/>
      <c r="Y161" s="96"/>
      <c r="Z161" s="96"/>
      <c r="AA161" s="96"/>
      <c r="AB161" s="96"/>
      <c r="AC161" s="96"/>
      <c r="AD161" s="96"/>
      <c r="AE161" s="96"/>
      <c r="AF161" s="96"/>
      <c r="AG161" s="96"/>
      <c r="AH161" s="96"/>
      <c r="AI161" s="96"/>
      <c r="AJ161" s="96"/>
      <c r="AK161" s="96"/>
      <c r="AL161" s="96"/>
      <c r="AM161" s="96"/>
      <c r="AN161" s="96"/>
      <c r="AO161" s="96"/>
      <c r="AP161" s="96"/>
      <c r="AQ161" s="96"/>
      <c r="AR161" s="96"/>
      <c r="AS161" s="96"/>
      <c r="AT161" s="96"/>
      <c r="AU161" s="96"/>
      <c r="AV161" s="96"/>
      <c r="AW161" s="96"/>
      <c r="AX161" s="96"/>
      <c r="AY161" s="96"/>
      <c r="AZ161" s="96"/>
      <c r="BA161" s="96"/>
      <c r="BB161" s="96"/>
    </row>
    <row r="162" spans="2:54" x14ac:dyDescent="0.25">
      <c r="B162" s="96"/>
      <c r="C162" s="96"/>
      <c r="D162" s="96"/>
      <c r="E162" s="96"/>
      <c r="F162" s="96"/>
      <c r="G162" s="96"/>
      <c r="H162" s="96"/>
      <c r="I162" s="96"/>
      <c r="J162" s="96"/>
      <c r="K162" s="96"/>
      <c r="L162" s="96"/>
      <c r="M162" s="96"/>
      <c r="N162" s="96"/>
      <c r="O162" s="96"/>
      <c r="P162" s="96"/>
      <c r="Q162" s="96"/>
      <c r="R162" s="96"/>
      <c r="S162" s="96"/>
      <c r="T162" s="96"/>
      <c r="U162" s="96"/>
      <c r="V162" s="96"/>
      <c r="W162" s="96"/>
      <c r="X162" s="96"/>
      <c r="Y162" s="96"/>
      <c r="Z162" s="96"/>
      <c r="AA162" s="96"/>
      <c r="AB162" s="96"/>
      <c r="AC162" s="96"/>
      <c r="AD162" s="96"/>
      <c r="AE162" s="96"/>
      <c r="AF162" s="96"/>
      <c r="AG162" s="96"/>
      <c r="AH162" s="96"/>
      <c r="AI162" s="96"/>
      <c r="AJ162" s="96"/>
      <c r="AK162" s="96"/>
      <c r="AL162" s="96"/>
      <c r="AM162" s="96"/>
      <c r="AN162" s="96"/>
      <c r="AO162" s="96"/>
      <c r="AP162" s="96"/>
      <c r="AQ162" s="96"/>
      <c r="AR162" s="96"/>
      <c r="AS162" s="96"/>
      <c r="AT162" s="96"/>
      <c r="AU162" s="96"/>
      <c r="AV162" s="96"/>
      <c r="AW162" s="96"/>
      <c r="AX162" s="96"/>
      <c r="AY162" s="96"/>
      <c r="AZ162" s="96"/>
      <c r="BA162" s="96"/>
      <c r="BB162" s="96"/>
    </row>
    <row r="163" spans="2:54" x14ac:dyDescent="0.25">
      <c r="B163" s="96"/>
      <c r="C163" s="96"/>
      <c r="D163" s="96"/>
      <c r="E163" s="96"/>
      <c r="F163" s="96"/>
      <c r="G163" s="96"/>
      <c r="H163" s="96"/>
      <c r="I163" s="96"/>
      <c r="J163" s="96"/>
      <c r="K163" s="96"/>
      <c r="L163" s="96"/>
      <c r="M163" s="96"/>
      <c r="N163" s="96"/>
      <c r="O163" s="96"/>
      <c r="P163" s="96"/>
      <c r="Q163" s="96"/>
      <c r="R163" s="96"/>
      <c r="S163" s="96"/>
      <c r="T163" s="96"/>
      <c r="U163" s="96"/>
      <c r="V163" s="96"/>
      <c r="W163" s="96"/>
      <c r="X163" s="96"/>
      <c r="Y163" s="96"/>
      <c r="Z163" s="96"/>
      <c r="AA163" s="96"/>
      <c r="AB163" s="96"/>
      <c r="AC163" s="96"/>
      <c r="AD163" s="96"/>
      <c r="AE163" s="96"/>
      <c r="AF163" s="96"/>
      <c r="AG163" s="96"/>
      <c r="AH163" s="96"/>
      <c r="AI163" s="96"/>
      <c r="AJ163" s="96"/>
      <c r="AK163" s="96"/>
      <c r="AL163" s="96"/>
      <c r="AM163" s="96"/>
      <c r="AN163" s="96"/>
      <c r="AO163" s="96"/>
      <c r="AP163" s="96"/>
      <c r="AQ163" s="96"/>
      <c r="AR163" s="96"/>
      <c r="AS163" s="96"/>
      <c r="AT163" s="96"/>
      <c r="AU163" s="96"/>
      <c r="AV163" s="96"/>
      <c r="AW163" s="96"/>
      <c r="AX163" s="96"/>
      <c r="AY163" s="96"/>
      <c r="AZ163" s="96"/>
      <c r="BA163" s="96"/>
      <c r="BB163" s="96"/>
    </row>
    <row r="164" spans="2:54" x14ac:dyDescent="0.25">
      <c r="B164" s="96"/>
      <c r="C164" s="96"/>
      <c r="D164" s="96"/>
      <c r="E164" s="96"/>
      <c r="F164" s="96"/>
      <c r="G164" s="96"/>
      <c r="H164" s="96"/>
      <c r="I164" s="96"/>
      <c r="J164" s="96"/>
      <c r="K164" s="96"/>
      <c r="L164" s="96"/>
      <c r="M164" s="96"/>
      <c r="N164" s="96"/>
      <c r="O164" s="96"/>
      <c r="P164" s="96"/>
      <c r="Q164" s="96"/>
      <c r="R164" s="96"/>
      <c r="S164" s="96"/>
      <c r="T164" s="96"/>
      <c r="U164" s="96"/>
      <c r="V164" s="96"/>
      <c r="W164" s="96"/>
      <c r="X164" s="96"/>
      <c r="Y164" s="96"/>
      <c r="Z164" s="96"/>
      <c r="AA164" s="96"/>
      <c r="AB164" s="96"/>
      <c r="AC164" s="96"/>
      <c r="AD164" s="96"/>
      <c r="AE164" s="96"/>
      <c r="AF164" s="96"/>
      <c r="AG164" s="96"/>
      <c r="AH164" s="96"/>
      <c r="AI164" s="96"/>
      <c r="AJ164" s="96"/>
      <c r="AK164" s="96"/>
      <c r="AL164" s="96"/>
      <c r="AM164" s="96"/>
      <c r="AN164" s="96"/>
      <c r="AO164" s="96"/>
      <c r="AP164" s="96"/>
      <c r="AQ164" s="96"/>
      <c r="AR164" s="96"/>
      <c r="AS164" s="96"/>
      <c r="AT164" s="96"/>
      <c r="AU164" s="96"/>
      <c r="AV164" s="96"/>
      <c r="AW164" s="96"/>
      <c r="AX164" s="96"/>
      <c r="AY164" s="96"/>
      <c r="AZ164" s="96"/>
      <c r="BA164" s="96"/>
      <c r="BB164" s="96"/>
    </row>
    <row r="165" spans="2:54" x14ac:dyDescent="0.25">
      <c r="B165" s="96"/>
      <c r="C165" s="96"/>
      <c r="D165" s="96"/>
      <c r="E165" s="96"/>
      <c r="F165" s="96"/>
      <c r="G165" s="96"/>
      <c r="H165" s="96"/>
      <c r="I165" s="96"/>
      <c r="J165" s="96"/>
      <c r="K165" s="96"/>
      <c r="L165" s="96"/>
      <c r="M165" s="96"/>
      <c r="N165" s="96"/>
      <c r="O165" s="96"/>
      <c r="P165" s="96"/>
      <c r="Q165" s="96"/>
      <c r="R165" s="96"/>
      <c r="S165" s="96"/>
      <c r="T165" s="96"/>
      <c r="U165" s="96"/>
      <c r="V165" s="96"/>
      <c r="W165" s="96"/>
      <c r="X165" s="96"/>
      <c r="Y165" s="96"/>
      <c r="Z165" s="96"/>
      <c r="AA165" s="96"/>
      <c r="AB165" s="96"/>
      <c r="AC165" s="96"/>
      <c r="AD165" s="96"/>
      <c r="AE165" s="96"/>
      <c r="AF165" s="96"/>
      <c r="AG165" s="96"/>
      <c r="AH165" s="96"/>
      <c r="AI165" s="96"/>
      <c r="AJ165" s="96"/>
      <c r="AK165" s="96"/>
      <c r="AL165" s="96"/>
      <c r="AM165" s="96"/>
      <c r="AN165" s="96"/>
      <c r="AO165" s="96"/>
      <c r="AP165" s="96"/>
      <c r="AQ165" s="96"/>
      <c r="AR165" s="96"/>
      <c r="AS165" s="96"/>
      <c r="AT165" s="96"/>
      <c r="AU165" s="96"/>
      <c r="AV165" s="96"/>
      <c r="AW165" s="96"/>
      <c r="AX165" s="96"/>
      <c r="AY165" s="96"/>
      <c r="AZ165" s="96"/>
      <c r="BA165" s="96"/>
      <c r="BB165" s="96"/>
    </row>
    <row r="166" spans="2:54" x14ac:dyDescent="0.25">
      <c r="B166" s="96"/>
      <c r="C166" s="96"/>
      <c r="D166" s="96"/>
      <c r="E166" s="96"/>
      <c r="F166" s="96"/>
      <c r="G166" s="96"/>
      <c r="H166" s="96"/>
      <c r="I166" s="96"/>
      <c r="J166" s="96"/>
      <c r="K166" s="96"/>
      <c r="L166" s="96"/>
      <c r="M166" s="96"/>
      <c r="N166" s="96"/>
      <c r="O166" s="96"/>
      <c r="P166" s="96"/>
      <c r="Q166" s="96"/>
      <c r="R166" s="96"/>
      <c r="S166" s="96"/>
      <c r="T166" s="96"/>
      <c r="U166" s="96"/>
      <c r="V166" s="96"/>
      <c r="W166" s="96"/>
      <c r="X166" s="96"/>
      <c r="Y166" s="96"/>
      <c r="Z166" s="96"/>
      <c r="AA166" s="96"/>
      <c r="AB166" s="96"/>
      <c r="AC166" s="96"/>
      <c r="AD166" s="96"/>
      <c r="AE166" s="96"/>
      <c r="AF166" s="96"/>
      <c r="AG166" s="96"/>
      <c r="AH166" s="96"/>
      <c r="AI166" s="96"/>
      <c r="AJ166" s="96"/>
      <c r="AK166" s="96"/>
      <c r="AL166" s="96"/>
      <c r="AM166" s="96"/>
      <c r="AN166" s="96"/>
      <c r="AO166" s="96"/>
      <c r="AP166" s="96"/>
      <c r="AQ166" s="96"/>
      <c r="AR166" s="96"/>
      <c r="AS166" s="96"/>
      <c r="AT166" s="96"/>
      <c r="AU166" s="96"/>
      <c r="AV166" s="96"/>
      <c r="AW166" s="96"/>
      <c r="AX166" s="96"/>
      <c r="AY166" s="96"/>
      <c r="AZ166" s="96"/>
      <c r="BA166" s="96"/>
      <c r="BB166" s="96"/>
    </row>
    <row r="167" spans="2:54" x14ac:dyDescent="0.25">
      <c r="B167" s="96"/>
      <c r="C167" s="96"/>
      <c r="D167" s="96"/>
      <c r="E167" s="96"/>
      <c r="F167" s="96"/>
      <c r="G167" s="96"/>
      <c r="H167" s="96"/>
      <c r="I167" s="96"/>
      <c r="J167" s="96"/>
      <c r="K167" s="96"/>
      <c r="L167" s="96"/>
      <c r="M167" s="96"/>
      <c r="N167" s="96"/>
      <c r="O167" s="96"/>
      <c r="P167" s="96"/>
      <c r="Q167" s="96"/>
      <c r="R167" s="96"/>
      <c r="S167" s="96"/>
      <c r="T167" s="96"/>
      <c r="U167" s="96"/>
      <c r="V167" s="96"/>
      <c r="W167" s="96"/>
      <c r="X167" s="96"/>
      <c r="Y167" s="96"/>
      <c r="Z167" s="96"/>
      <c r="AA167" s="96"/>
      <c r="AB167" s="96"/>
      <c r="AC167" s="96"/>
      <c r="AD167" s="96"/>
      <c r="AE167" s="96"/>
      <c r="AF167" s="96"/>
      <c r="AG167" s="96"/>
      <c r="AH167" s="96"/>
      <c r="AI167" s="96"/>
      <c r="AJ167" s="96"/>
      <c r="AK167" s="96"/>
      <c r="AL167" s="96"/>
      <c r="AM167" s="96"/>
      <c r="AN167" s="96"/>
      <c r="AO167" s="96"/>
      <c r="AP167" s="96"/>
      <c r="AQ167" s="96"/>
      <c r="AR167" s="96"/>
      <c r="AS167" s="96"/>
      <c r="AT167" s="96"/>
      <c r="AU167" s="96"/>
      <c r="AV167" s="96"/>
      <c r="AW167" s="96"/>
      <c r="AX167" s="96"/>
      <c r="AY167" s="96"/>
      <c r="AZ167" s="96"/>
      <c r="BA167" s="96"/>
      <c r="BB167" s="96"/>
    </row>
    <row r="168" spans="2:54" x14ac:dyDescent="0.25">
      <c r="B168" s="96"/>
      <c r="C168" s="96"/>
      <c r="D168" s="96"/>
      <c r="E168" s="96"/>
      <c r="F168" s="96"/>
      <c r="G168" s="96"/>
      <c r="H168" s="96"/>
      <c r="I168" s="96"/>
      <c r="J168" s="96"/>
      <c r="K168" s="96"/>
      <c r="L168" s="96"/>
      <c r="M168" s="96"/>
      <c r="N168" s="96"/>
      <c r="O168" s="96"/>
      <c r="P168" s="96"/>
      <c r="Q168" s="96"/>
      <c r="R168" s="96"/>
      <c r="S168" s="96"/>
      <c r="T168" s="96"/>
      <c r="U168" s="96"/>
      <c r="V168" s="96"/>
      <c r="W168" s="96"/>
      <c r="X168" s="96"/>
      <c r="Y168" s="96"/>
      <c r="Z168" s="96"/>
      <c r="AA168" s="96"/>
      <c r="AB168" s="96"/>
      <c r="AC168" s="96"/>
      <c r="AD168" s="96"/>
      <c r="AE168" s="96"/>
      <c r="AF168" s="96"/>
      <c r="AG168" s="96"/>
      <c r="AH168" s="96"/>
      <c r="AI168" s="96"/>
      <c r="AJ168" s="96"/>
      <c r="AK168" s="96"/>
      <c r="AL168" s="96"/>
      <c r="AM168" s="96"/>
      <c r="AN168" s="96"/>
      <c r="AO168" s="96"/>
      <c r="AP168" s="96"/>
      <c r="AQ168" s="96"/>
      <c r="AR168" s="96"/>
      <c r="AS168" s="96"/>
      <c r="AT168" s="96"/>
      <c r="AU168" s="96"/>
      <c r="AV168" s="96"/>
      <c r="AW168" s="96"/>
      <c r="AX168" s="96"/>
      <c r="AY168" s="96"/>
      <c r="AZ168" s="96"/>
      <c r="BA168" s="96"/>
      <c r="BB168" s="96"/>
    </row>
    <row r="169" spans="2:54" x14ac:dyDescent="0.25">
      <c r="B169" s="96"/>
      <c r="C169" s="96"/>
      <c r="D169" s="96"/>
      <c r="E169" s="96"/>
      <c r="F169" s="96"/>
      <c r="G169" s="96"/>
      <c r="H169" s="96"/>
      <c r="I169" s="96"/>
      <c r="J169" s="96"/>
      <c r="K169" s="96"/>
      <c r="L169" s="96"/>
      <c r="M169" s="96"/>
      <c r="N169" s="96"/>
      <c r="O169" s="96"/>
      <c r="P169" s="96"/>
      <c r="Q169" s="96"/>
      <c r="R169" s="96"/>
      <c r="S169" s="96"/>
      <c r="T169" s="96"/>
      <c r="U169" s="96"/>
      <c r="V169" s="96"/>
      <c r="W169" s="96"/>
      <c r="X169" s="96"/>
      <c r="Y169" s="96"/>
      <c r="Z169" s="96"/>
      <c r="AA169" s="96"/>
      <c r="AB169" s="96"/>
      <c r="AC169" s="96"/>
      <c r="AD169" s="96"/>
      <c r="AE169" s="96"/>
      <c r="AF169" s="96"/>
      <c r="AG169" s="96"/>
      <c r="AH169" s="96"/>
      <c r="AI169" s="96"/>
      <c r="AJ169" s="96"/>
      <c r="AK169" s="96"/>
      <c r="AL169" s="96"/>
      <c r="AM169" s="96"/>
      <c r="AN169" s="96"/>
      <c r="AO169" s="96"/>
      <c r="AP169" s="96"/>
      <c r="AQ169" s="96"/>
      <c r="AR169" s="96"/>
      <c r="AS169" s="96"/>
      <c r="AT169" s="96"/>
      <c r="AU169" s="96"/>
      <c r="AV169" s="96"/>
      <c r="AW169" s="96"/>
      <c r="AX169" s="96"/>
      <c r="AY169" s="96"/>
      <c r="AZ169" s="96"/>
      <c r="BA169" s="96"/>
      <c r="BB169" s="96"/>
    </row>
    <row r="170" spans="2:54" x14ac:dyDescent="0.25">
      <c r="B170" s="96"/>
      <c r="C170" s="96"/>
      <c r="D170" s="96"/>
      <c r="E170" s="96"/>
      <c r="F170" s="96"/>
      <c r="G170" s="96"/>
      <c r="H170" s="96"/>
      <c r="I170" s="96"/>
      <c r="J170" s="96"/>
      <c r="K170" s="96"/>
      <c r="L170" s="96"/>
      <c r="M170" s="96"/>
      <c r="N170" s="96"/>
      <c r="O170" s="96"/>
      <c r="P170" s="96"/>
      <c r="Q170" s="96"/>
      <c r="R170" s="96"/>
      <c r="S170" s="96"/>
      <c r="T170" s="96"/>
      <c r="U170" s="96"/>
      <c r="V170" s="96"/>
      <c r="W170" s="96"/>
      <c r="X170" s="96"/>
      <c r="Y170" s="96"/>
      <c r="Z170" s="96"/>
      <c r="AA170" s="96"/>
      <c r="AB170" s="96"/>
      <c r="AC170" s="96"/>
      <c r="AD170" s="96"/>
      <c r="AE170" s="96"/>
      <c r="AF170" s="96"/>
      <c r="AG170" s="96"/>
      <c r="AH170" s="96"/>
      <c r="AI170" s="96"/>
      <c r="AJ170" s="96"/>
      <c r="AK170" s="96"/>
      <c r="AL170" s="96"/>
      <c r="AM170" s="96"/>
      <c r="AN170" s="96"/>
      <c r="AO170" s="96"/>
      <c r="AP170" s="96"/>
      <c r="AQ170" s="96"/>
      <c r="AR170" s="96"/>
      <c r="AS170" s="96"/>
      <c r="AT170" s="96"/>
      <c r="AU170" s="96"/>
      <c r="AV170" s="96"/>
      <c r="AW170" s="96"/>
      <c r="AX170" s="96"/>
      <c r="AY170" s="96"/>
      <c r="AZ170" s="96"/>
      <c r="BA170" s="96"/>
      <c r="BB170" s="96"/>
    </row>
    <row r="171" spans="2:54" x14ac:dyDescent="0.25">
      <c r="B171" s="96"/>
      <c r="C171" s="96"/>
      <c r="D171" s="96"/>
      <c r="E171" s="96"/>
      <c r="F171" s="96"/>
      <c r="G171" s="96"/>
      <c r="H171" s="96"/>
      <c r="I171" s="96"/>
      <c r="J171" s="96"/>
      <c r="K171" s="96"/>
      <c r="L171" s="96"/>
      <c r="M171" s="96"/>
      <c r="N171" s="96"/>
      <c r="O171" s="96"/>
      <c r="P171" s="96"/>
      <c r="Q171" s="96"/>
      <c r="R171" s="96"/>
      <c r="S171" s="96"/>
      <c r="T171" s="96"/>
      <c r="U171" s="96"/>
      <c r="V171" s="96"/>
      <c r="W171" s="96"/>
      <c r="X171" s="96"/>
      <c r="Y171" s="96"/>
      <c r="Z171" s="96"/>
      <c r="AA171" s="96"/>
      <c r="AB171" s="96"/>
      <c r="AC171" s="96"/>
      <c r="AD171" s="96"/>
      <c r="AE171" s="96"/>
      <c r="AF171" s="96"/>
      <c r="AG171" s="96"/>
      <c r="AH171" s="96"/>
      <c r="AI171" s="96"/>
      <c r="AJ171" s="96"/>
      <c r="AK171" s="96"/>
      <c r="AL171" s="96"/>
      <c r="AM171" s="96"/>
      <c r="AN171" s="96"/>
      <c r="AO171" s="96"/>
      <c r="AP171" s="96"/>
      <c r="AQ171" s="96"/>
      <c r="AR171" s="96"/>
      <c r="AS171" s="96"/>
      <c r="AT171" s="96"/>
      <c r="AU171" s="96"/>
      <c r="AV171" s="96"/>
      <c r="AW171" s="96"/>
      <c r="AX171" s="96"/>
      <c r="AY171" s="96"/>
      <c r="AZ171" s="96"/>
      <c r="BA171" s="96"/>
      <c r="BB171" s="96"/>
    </row>
    <row r="172" spans="2:54" x14ac:dyDescent="0.25">
      <c r="B172" s="96"/>
      <c r="C172" s="96"/>
      <c r="D172" s="96"/>
      <c r="E172" s="96"/>
      <c r="F172" s="96"/>
      <c r="G172" s="96"/>
      <c r="H172" s="96"/>
      <c r="I172" s="96"/>
      <c r="J172" s="96"/>
      <c r="K172" s="96"/>
      <c r="L172" s="96"/>
      <c r="M172" s="96"/>
      <c r="N172" s="96"/>
      <c r="O172" s="96"/>
      <c r="P172" s="96"/>
      <c r="Q172" s="96"/>
      <c r="R172" s="96"/>
      <c r="S172" s="96"/>
      <c r="T172" s="96"/>
      <c r="U172" s="96"/>
      <c r="V172" s="96"/>
      <c r="W172" s="96"/>
      <c r="X172" s="96"/>
      <c r="Y172" s="96"/>
      <c r="Z172" s="96"/>
      <c r="AA172" s="96"/>
      <c r="AB172" s="96"/>
      <c r="AC172" s="96"/>
      <c r="AD172" s="96"/>
      <c r="AE172" s="96"/>
      <c r="AF172" s="96"/>
      <c r="AG172" s="96"/>
      <c r="AH172" s="96"/>
      <c r="AI172" s="96"/>
      <c r="AJ172" s="96"/>
      <c r="AK172" s="96"/>
      <c r="AL172" s="96"/>
      <c r="AM172" s="96"/>
      <c r="AN172" s="96"/>
      <c r="AO172" s="96"/>
      <c r="AP172" s="96"/>
      <c r="AQ172" s="96"/>
      <c r="AR172" s="96"/>
      <c r="AS172" s="96"/>
      <c r="AT172" s="96"/>
      <c r="AU172" s="96"/>
      <c r="AV172" s="96"/>
      <c r="AW172" s="96"/>
      <c r="AX172" s="96"/>
      <c r="AY172" s="96"/>
      <c r="AZ172" s="96"/>
      <c r="BA172" s="96"/>
      <c r="BB172" s="96"/>
    </row>
    <row r="173" spans="2:54" x14ac:dyDescent="0.25">
      <c r="B173" s="96"/>
      <c r="C173" s="96"/>
      <c r="D173" s="96"/>
      <c r="E173" s="96"/>
      <c r="F173" s="96"/>
      <c r="G173" s="96"/>
      <c r="H173" s="96"/>
      <c r="I173" s="96"/>
      <c r="J173" s="96"/>
      <c r="K173" s="96"/>
      <c r="L173" s="96"/>
      <c r="M173" s="96"/>
      <c r="N173" s="96"/>
      <c r="O173" s="96"/>
      <c r="P173" s="96"/>
      <c r="Q173" s="96"/>
      <c r="R173" s="96"/>
      <c r="S173" s="96"/>
      <c r="T173" s="96"/>
      <c r="U173" s="96"/>
      <c r="V173" s="96"/>
      <c r="W173" s="96"/>
      <c r="X173" s="96"/>
      <c r="Y173" s="96"/>
      <c r="Z173" s="96"/>
      <c r="AA173" s="96"/>
      <c r="AB173" s="96"/>
      <c r="AC173" s="96"/>
      <c r="AD173" s="96"/>
      <c r="AE173" s="96"/>
      <c r="AF173" s="96"/>
      <c r="AG173" s="96"/>
      <c r="AH173" s="96"/>
      <c r="AI173" s="96"/>
      <c r="AJ173" s="96"/>
      <c r="AK173" s="96"/>
      <c r="AL173" s="96"/>
      <c r="AM173" s="96"/>
      <c r="AN173" s="96"/>
      <c r="AO173" s="96"/>
      <c r="AP173" s="96"/>
      <c r="AQ173" s="96"/>
      <c r="AR173" s="96"/>
      <c r="AS173" s="96"/>
      <c r="AT173" s="96"/>
      <c r="AU173" s="96"/>
      <c r="AV173" s="96"/>
      <c r="AW173" s="96"/>
      <c r="AX173" s="96"/>
      <c r="AY173" s="96"/>
      <c r="AZ173" s="96"/>
      <c r="BA173" s="96"/>
      <c r="BB173" s="96"/>
    </row>
    <row r="174" spans="2:54" x14ac:dyDescent="0.25">
      <c r="B174" s="96"/>
      <c r="C174" s="96"/>
      <c r="D174" s="96"/>
      <c r="E174" s="96"/>
      <c r="F174" s="96"/>
      <c r="G174" s="96"/>
      <c r="H174" s="96"/>
      <c r="I174" s="96"/>
      <c r="J174" s="96"/>
      <c r="K174" s="96"/>
      <c r="L174" s="96"/>
      <c r="M174" s="96"/>
      <c r="N174" s="96"/>
      <c r="O174" s="96"/>
      <c r="P174" s="96"/>
      <c r="Q174" s="96"/>
      <c r="R174" s="96"/>
      <c r="S174" s="96"/>
      <c r="T174" s="96"/>
      <c r="U174" s="96"/>
      <c r="V174" s="96"/>
      <c r="W174" s="96"/>
      <c r="X174" s="96"/>
      <c r="Y174" s="96"/>
      <c r="Z174" s="96"/>
      <c r="AA174" s="96"/>
      <c r="AB174" s="96"/>
      <c r="AC174" s="96"/>
      <c r="AD174" s="96"/>
      <c r="AE174" s="96"/>
      <c r="AF174" s="96"/>
      <c r="AG174" s="96"/>
      <c r="AH174" s="96"/>
      <c r="AI174" s="96"/>
      <c r="AJ174" s="96"/>
      <c r="AK174" s="96"/>
      <c r="AL174" s="96"/>
      <c r="AM174" s="96"/>
      <c r="AN174" s="96"/>
      <c r="AO174" s="96"/>
      <c r="AP174" s="96"/>
      <c r="AQ174" s="96"/>
      <c r="AR174" s="96"/>
      <c r="AS174" s="96"/>
      <c r="AT174" s="96"/>
      <c r="AU174" s="96"/>
      <c r="AV174" s="96"/>
      <c r="AW174" s="96"/>
      <c r="AX174" s="96"/>
      <c r="AY174" s="96"/>
      <c r="AZ174" s="96"/>
      <c r="BA174" s="96"/>
      <c r="BB174" s="96"/>
    </row>
    <row r="175" spans="2:54" x14ac:dyDescent="0.25">
      <c r="B175" s="96"/>
      <c r="C175" s="96"/>
      <c r="D175" s="96"/>
      <c r="E175" s="96"/>
      <c r="F175" s="96"/>
      <c r="G175" s="96"/>
      <c r="H175" s="96"/>
      <c r="I175" s="96"/>
      <c r="J175" s="96"/>
      <c r="K175" s="96"/>
      <c r="L175" s="96"/>
      <c r="M175" s="96"/>
      <c r="N175" s="96"/>
      <c r="O175" s="96"/>
      <c r="P175" s="96"/>
      <c r="Q175" s="96"/>
      <c r="R175" s="96"/>
      <c r="S175" s="96"/>
      <c r="T175" s="96"/>
      <c r="U175" s="96"/>
      <c r="V175" s="96"/>
      <c r="W175" s="96"/>
      <c r="X175" s="96"/>
      <c r="Y175" s="96"/>
      <c r="Z175" s="96"/>
      <c r="AA175" s="96"/>
      <c r="AB175" s="96"/>
      <c r="AC175" s="96"/>
      <c r="AD175" s="96"/>
      <c r="AE175" s="96"/>
      <c r="AF175" s="96"/>
      <c r="AG175" s="96"/>
      <c r="AH175" s="96"/>
      <c r="AI175" s="96"/>
      <c r="AJ175" s="96"/>
      <c r="AK175" s="96"/>
      <c r="AL175" s="96"/>
      <c r="AM175" s="96"/>
      <c r="AN175" s="96"/>
      <c r="AO175" s="96"/>
      <c r="AP175" s="96"/>
      <c r="AQ175" s="96"/>
      <c r="AR175" s="96"/>
      <c r="AS175" s="96"/>
      <c r="AT175" s="96"/>
      <c r="AU175" s="96"/>
      <c r="AV175" s="96"/>
      <c r="AW175" s="96"/>
      <c r="AX175" s="96"/>
      <c r="AY175" s="96"/>
      <c r="AZ175" s="96"/>
      <c r="BA175" s="96"/>
      <c r="BB175" s="96"/>
    </row>
    <row r="176" spans="2:54" x14ac:dyDescent="0.25">
      <c r="B176" s="96"/>
      <c r="C176" s="96"/>
      <c r="D176" s="96"/>
      <c r="E176" s="96"/>
      <c r="F176" s="96"/>
      <c r="G176" s="96"/>
      <c r="H176" s="96"/>
      <c r="I176" s="96"/>
      <c r="J176" s="96"/>
      <c r="K176" s="96"/>
      <c r="L176" s="96"/>
      <c r="M176" s="96"/>
      <c r="N176" s="96"/>
      <c r="O176" s="96"/>
      <c r="P176" s="96"/>
      <c r="Q176" s="96"/>
      <c r="R176" s="96"/>
      <c r="S176" s="96"/>
      <c r="T176" s="96"/>
      <c r="U176" s="96"/>
      <c r="V176" s="96"/>
      <c r="W176" s="96"/>
      <c r="X176" s="96"/>
      <c r="Y176" s="96"/>
      <c r="Z176" s="96"/>
      <c r="AA176" s="96"/>
      <c r="AB176" s="96"/>
      <c r="AC176" s="96"/>
      <c r="AD176" s="96"/>
      <c r="AE176" s="96"/>
      <c r="AF176" s="96"/>
      <c r="AG176" s="96"/>
      <c r="AH176" s="96"/>
      <c r="AI176" s="96"/>
      <c r="AJ176" s="96"/>
      <c r="AK176" s="96"/>
      <c r="AL176" s="96"/>
      <c r="AM176" s="96"/>
      <c r="AN176" s="96"/>
      <c r="AO176" s="96"/>
      <c r="AP176" s="96"/>
      <c r="AQ176" s="96"/>
      <c r="AR176" s="96"/>
      <c r="AS176" s="96"/>
      <c r="AT176" s="96"/>
      <c r="AU176" s="96"/>
      <c r="AV176" s="96"/>
      <c r="AW176" s="96"/>
      <c r="AX176" s="96"/>
      <c r="AY176" s="96"/>
      <c r="AZ176" s="96"/>
      <c r="BA176" s="96"/>
      <c r="BB176" s="96"/>
    </row>
    <row r="177" spans="2:54" x14ac:dyDescent="0.25">
      <c r="B177" s="96"/>
      <c r="C177" s="96"/>
      <c r="D177" s="96"/>
      <c r="E177" s="96"/>
      <c r="F177" s="96"/>
      <c r="G177" s="96"/>
      <c r="H177" s="96"/>
      <c r="I177" s="96"/>
      <c r="J177" s="96"/>
      <c r="K177" s="96"/>
      <c r="L177" s="96"/>
      <c r="M177" s="96"/>
      <c r="N177" s="96"/>
      <c r="O177" s="96"/>
      <c r="P177" s="96"/>
      <c r="Q177" s="96"/>
      <c r="R177" s="96"/>
      <c r="S177" s="96"/>
      <c r="T177" s="96"/>
      <c r="U177" s="96"/>
      <c r="V177" s="96"/>
      <c r="W177" s="96"/>
      <c r="X177" s="96"/>
      <c r="Y177" s="96"/>
      <c r="Z177" s="96"/>
      <c r="AA177" s="96"/>
      <c r="AB177" s="96"/>
      <c r="AC177" s="96"/>
      <c r="AD177" s="96"/>
      <c r="AE177" s="96"/>
      <c r="AF177" s="96"/>
      <c r="AG177" s="96"/>
      <c r="AH177" s="96"/>
      <c r="AI177" s="96"/>
      <c r="AJ177" s="96"/>
      <c r="AK177" s="96"/>
      <c r="AL177" s="96"/>
      <c r="AM177" s="96"/>
      <c r="AN177" s="96"/>
      <c r="AO177" s="96"/>
      <c r="AP177" s="96"/>
      <c r="AQ177" s="96"/>
      <c r="AR177" s="96"/>
      <c r="AS177" s="96"/>
      <c r="AT177" s="96"/>
      <c r="AU177" s="96"/>
      <c r="AV177" s="96"/>
      <c r="AW177" s="96"/>
      <c r="AX177" s="96"/>
      <c r="AY177" s="96"/>
      <c r="AZ177" s="96"/>
      <c r="BA177" s="96"/>
      <c r="BB177" s="96"/>
    </row>
    <row r="178" spans="2:54" x14ac:dyDescent="0.25">
      <c r="B178" s="96"/>
      <c r="C178" s="96"/>
      <c r="D178" s="96"/>
      <c r="E178" s="96"/>
      <c r="F178" s="96"/>
      <c r="G178" s="96"/>
      <c r="H178" s="96"/>
      <c r="I178" s="96"/>
      <c r="J178" s="96"/>
      <c r="K178" s="96"/>
      <c r="L178" s="96"/>
      <c r="M178" s="96"/>
      <c r="N178" s="96"/>
      <c r="O178" s="96"/>
      <c r="P178" s="96"/>
      <c r="Q178" s="96"/>
      <c r="R178" s="96"/>
      <c r="S178" s="96"/>
      <c r="T178" s="96"/>
      <c r="U178" s="96"/>
      <c r="V178" s="96"/>
      <c r="W178" s="96"/>
      <c r="X178" s="96"/>
      <c r="Y178" s="96"/>
      <c r="Z178" s="96"/>
      <c r="AA178" s="96"/>
      <c r="AB178" s="96"/>
      <c r="AC178" s="96"/>
      <c r="AD178" s="96"/>
      <c r="AE178" s="96"/>
      <c r="AF178" s="96"/>
      <c r="AG178" s="96"/>
      <c r="AH178" s="96"/>
      <c r="AI178" s="96"/>
      <c r="AJ178" s="96"/>
      <c r="AK178" s="96"/>
      <c r="AL178" s="96"/>
      <c r="AM178" s="96"/>
      <c r="AN178" s="96"/>
      <c r="AO178" s="96"/>
      <c r="AP178" s="96"/>
      <c r="AQ178" s="96"/>
      <c r="AR178" s="96"/>
      <c r="AS178" s="96"/>
      <c r="AT178" s="96"/>
      <c r="AU178" s="96"/>
      <c r="AV178" s="96"/>
      <c r="AW178" s="96"/>
      <c r="AX178" s="96"/>
      <c r="AY178" s="96"/>
      <c r="AZ178" s="96"/>
      <c r="BA178" s="96"/>
      <c r="BB178" s="96"/>
    </row>
    <row r="179" spans="2:54" x14ac:dyDescent="0.25">
      <c r="B179" s="96"/>
      <c r="C179" s="96"/>
      <c r="D179" s="96"/>
      <c r="E179" s="96"/>
      <c r="F179" s="96"/>
      <c r="G179" s="96"/>
      <c r="H179" s="96"/>
      <c r="I179" s="96"/>
      <c r="J179" s="96"/>
      <c r="K179" s="96"/>
      <c r="L179" s="96"/>
      <c r="M179" s="96"/>
      <c r="N179" s="96"/>
      <c r="O179" s="96"/>
      <c r="P179" s="96"/>
      <c r="Q179" s="96"/>
      <c r="R179" s="96"/>
      <c r="S179" s="96"/>
      <c r="T179" s="96"/>
      <c r="U179" s="96"/>
      <c r="V179" s="96"/>
      <c r="W179" s="96"/>
      <c r="X179" s="96"/>
      <c r="Y179" s="96"/>
      <c r="Z179" s="96"/>
      <c r="AA179" s="96"/>
      <c r="AB179" s="96"/>
      <c r="AC179" s="96"/>
      <c r="AD179" s="96"/>
      <c r="AE179" s="96"/>
      <c r="AF179" s="96"/>
      <c r="AG179" s="96"/>
      <c r="AH179" s="96"/>
      <c r="AI179" s="96"/>
      <c r="AJ179" s="96"/>
      <c r="AK179" s="96"/>
      <c r="AL179" s="96"/>
      <c r="AM179" s="96"/>
      <c r="AN179" s="96"/>
      <c r="AO179" s="96"/>
      <c r="AP179" s="96"/>
      <c r="AQ179" s="96"/>
      <c r="AR179" s="96"/>
      <c r="AS179" s="96"/>
      <c r="AT179" s="96"/>
      <c r="AU179" s="96"/>
      <c r="AV179" s="96"/>
      <c r="AW179" s="96"/>
      <c r="AX179" s="96"/>
      <c r="AY179" s="96"/>
      <c r="AZ179" s="96"/>
      <c r="BA179" s="96"/>
      <c r="BB179" s="96"/>
    </row>
    <row r="180" spans="2:54" x14ac:dyDescent="0.25">
      <c r="B180" s="96"/>
      <c r="C180" s="96"/>
      <c r="D180" s="96"/>
      <c r="E180" s="96"/>
      <c r="F180" s="96"/>
      <c r="G180" s="96"/>
      <c r="H180" s="96"/>
      <c r="I180" s="96"/>
      <c r="J180" s="96"/>
      <c r="K180" s="96"/>
      <c r="L180" s="96"/>
      <c r="M180" s="96"/>
      <c r="N180" s="96"/>
      <c r="O180" s="96"/>
      <c r="P180" s="96"/>
      <c r="Q180" s="96"/>
      <c r="R180" s="96"/>
      <c r="S180" s="96"/>
      <c r="T180" s="96"/>
      <c r="U180" s="96"/>
      <c r="V180" s="96"/>
      <c r="W180" s="96"/>
      <c r="X180" s="96"/>
      <c r="Y180" s="96"/>
      <c r="Z180" s="96"/>
      <c r="AA180" s="96"/>
      <c r="AB180" s="96"/>
      <c r="AC180" s="96"/>
      <c r="AD180" s="96"/>
      <c r="AE180" s="96"/>
      <c r="AF180" s="96"/>
      <c r="AG180" s="96"/>
      <c r="AH180" s="96"/>
      <c r="AI180" s="96"/>
      <c r="AJ180" s="96"/>
      <c r="AK180" s="96"/>
      <c r="AL180" s="96"/>
      <c r="AM180" s="96"/>
      <c r="AN180" s="96"/>
      <c r="AO180" s="96"/>
      <c r="AP180" s="96"/>
      <c r="AQ180" s="96"/>
      <c r="AR180" s="96"/>
      <c r="AS180" s="96"/>
      <c r="AT180" s="96"/>
      <c r="AU180" s="96"/>
      <c r="AV180" s="96"/>
      <c r="AW180" s="96"/>
      <c r="AX180" s="96"/>
      <c r="AY180" s="96"/>
      <c r="AZ180" s="96"/>
      <c r="BA180" s="96"/>
      <c r="BB180" s="96"/>
    </row>
    <row r="181" spans="2:54" x14ac:dyDescent="0.25">
      <c r="B181" s="96"/>
      <c r="C181" s="96"/>
      <c r="D181" s="96"/>
      <c r="E181" s="96"/>
      <c r="F181" s="96"/>
      <c r="G181" s="96"/>
      <c r="H181" s="96"/>
      <c r="I181" s="96"/>
      <c r="J181" s="96"/>
      <c r="K181" s="96"/>
      <c r="L181" s="96"/>
      <c r="M181" s="96"/>
      <c r="N181" s="96"/>
      <c r="O181" s="96"/>
      <c r="P181" s="96"/>
      <c r="Q181" s="96"/>
      <c r="R181" s="96"/>
      <c r="S181" s="96"/>
      <c r="T181" s="96"/>
      <c r="U181" s="96"/>
      <c r="V181" s="96"/>
      <c r="W181" s="96"/>
      <c r="X181" s="96"/>
      <c r="Y181" s="96"/>
      <c r="Z181" s="96"/>
      <c r="AA181" s="96"/>
      <c r="AB181" s="96"/>
      <c r="AC181" s="96"/>
      <c r="AD181" s="96"/>
      <c r="AE181" s="96"/>
      <c r="AF181" s="96"/>
      <c r="AG181" s="96"/>
      <c r="AH181" s="96"/>
      <c r="AI181" s="96"/>
      <c r="AJ181" s="96"/>
      <c r="AK181" s="96"/>
      <c r="AL181" s="96"/>
      <c r="AM181" s="96"/>
      <c r="AN181" s="96"/>
      <c r="AO181" s="96"/>
      <c r="AP181" s="96"/>
      <c r="AQ181" s="96"/>
      <c r="AR181" s="96"/>
      <c r="AS181" s="96"/>
      <c r="AT181" s="96"/>
      <c r="AU181" s="96"/>
      <c r="AV181" s="96"/>
      <c r="AW181" s="96"/>
      <c r="AX181" s="96"/>
      <c r="AY181" s="96"/>
      <c r="AZ181" s="96"/>
      <c r="BA181" s="96"/>
      <c r="BB181" s="96"/>
    </row>
    <row r="182" spans="2:54" x14ac:dyDescent="0.25">
      <c r="B182" s="96"/>
      <c r="C182" s="96"/>
      <c r="D182" s="96"/>
      <c r="E182" s="96"/>
      <c r="F182" s="96"/>
      <c r="G182" s="96"/>
      <c r="H182" s="96"/>
      <c r="I182" s="96"/>
      <c r="J182" s="96"/>
      <c r="K182" s="96"/>
      <c r="L182" s="96"/>
      <c r="M182" s="96"/>
      <c r="N182" s="96"/>
      <c r="O182" s="96"/>
      <c r="P182" s="96"/>
      <c r="Q182" s="96"/>
      <c r="R182" s="96"/>
      <c r="S182" s="96"/>
      <c r="T182" s="96"/>
      <c r="U182" s="96"/>
      <c r="V182" s="96"/>
      <c r="W182" s="96"/>
      <c r="X182" s="96"/>
      <c r="Y182" s="96"/>
      <c r="Z182" s="96"/>
      <c r="AA182" s="96"/>
      <c r="AB182" s="96"/>
      <c r="AC182" s="96"/>
      <c r="AD182" s="96"/>
      <c r="AE182" s="96"/>
      <c r="AF182" s="96"/>
      <c r="AG182" s="96"/>
      <c r="AH182" s="96"/>
      <c r="AI182" s="96"/>
      <c r="AJ182" s="96"/>
      <c r="AK182" s="96"/>
      <c r="AL182" s="96"/>
      <c r="AM182" s="96"/>
      <c r="AN182" s="96"/>
      <c r="AO182" s="96"/>
      <c r="AP182" s="96"/>
      <c r="AQ182" s="96"/>
      <c r="AR182" s="96"/>
      <c r="AS182" s="96"/>
      <c r="AT182" s="96"/>
      <c r="AU182" s="96"/>
      <c r="AV182" s="96"/>
      <c r="AW182" s="96"/>
      <c r="AX182" s="96"/>
      <c r="AY182" s="96"/>
      <c r="AZ182" s="96"/>
      <c r="BA182" s="96"/>
      <c r="BB182" s="96"/>
    </row>
    <row r="183" spans="2:54" x14ac:dyDescent="0.25">
      <c r="B183" s="96"/>
      <c r="C183" s="96"/>
      <c r="D183" s="96"/>
      <c r="E183" s="96"/>
      <c r="F183" s="96"/>
      <c r="G183" s="96"/>
      <c r="H183" s="96"/>
      <c r="I183" s="96"/>
      <c r="J183" s="96"/>
      <c r="K183" s="96"/>
      <c r="L183" s="96"/>
      <c r="M183" s="96"/>
      <c r="N183" s="96"/>
      <c r="O183" s="96"/>
      <c r="P183" s="96"/>
      <c r="Q183" s="96"/>
      <c r="R183" s="96"/>
      <c r="S183" s="96"/>
      <c r="T183" s="96"/>
      <c r="U183" s="96"/>
      <c r="V183" s="96"/>
      <c r="W183" s="96"/>
      <c r="X183" s="96"/>
      <c r="Y183" s="96"/>
      <c r="Z183" s="96"/>
      <c r="AA183" s="96"/>
      <c r="AB183" s="96"/>
      <c r="AC183" s="96"/>
      <c r="AD183" s="96"/>
      <c r="AE183" s="96"/>
      <c r="AF183" s="96"/>
      <c r="AG183" s="96"/>
      <c r="AH183" s="96"/>
      <c r="AI183" s="96"/>
      <c r="AJ183" s="96"/>
      <c r="AK183" s="96"/>
      <c r="AL183" s="96"/>
      <c r="AM183" s="96"/>
      <c r="AN183" s="96"/>
      <c r="AO183" s="96"/>
      <c r="AP183" s="96"/>
      <c r="AQ183" s="96"/>
      <c r="AR183" s="96"/>
      <c r="AS183" s="96"/>
      <c r="AT183" s="96"/>
      <c r="AU183" s="96"/>
      <c r="AV183" s="96"/>
      <c r="AW183" s="96"/>
      <c r="AX183" s="96"/>
      <c r="AY183" s="96"/>
      <c r="AZ183" s="96"/>
      <c r="BA183" s="96"/>
      <c r="BB183" s="96"/>
    </row>
    <row r="184" spans="2:54" x14ac:dyDescent="0.25">
      <c r="B184" s="96"/>
      <c r="C184" s="96"/>
      <c r="D184" s="96"/>
      <c r="E184" s="96"/>
      <c r="F184" s="96"/>
      <c r="G184" s="96"/>
      <c r="H184" s="96"/>
      <c r="I184" s="96"/>
      <c r="J184" s="96"/>
      <c r="K184" s="96"/>
      <c r="L184" s="96"/>
      <c r="M184" s="96"/>
      <c r="N184" s="96"/>
      <c r="O184" s="96"/>
      <c r="P184" s="96"/>
      <c r="Q184" s="96"/>
      <c r="R184" s="96"/>
      <c r="S184" s="96"/>
      <c r="T184" s="96"/>
      <c r="U184" s="96"/>
      <c r="V184" s="96"/>
      <c r="W184" s="96"/>
      <c r="X184" s="96"/>
      <c r="Y184" s="96"/>
      <c r="Z184" s="96"/>
      <c r="AA184" s="96"/>
      <c r="AB184" s="96"/>
      <c r="AC184" s="96"/>
      <c r="AD184" s="96"/>
      <c r="AE184" s="96"/>
      <c r="AF184" s="96"/>
      <c r="AG184" s="96"/>
      <c r="AH184" s="96"/>
      <c r="AI184" s="96"/>
      <c r="AJ184" s="96"/>
      <c r="AK184" s="96"/>
      <c r="AL184" s="96"/>
      <c r="AM184" s="96"/>
      <c r="AN184" s="96"/>
      <c r="AO184" s="96"/>
      <c r="AP184" s="96"/>
      <c r="AQ184" s="96"/>
      <c r="AR184" s="96"/>
      <c r="AS184" s="96"/>
      <c r="AT184" s="96"/>
      <c r="AU184" s="96"/>
      <c r="AV184" s="96"/>
      <c r="AW184" s="96"/>
      <c r="AX184" s="96"/>
      <c r="AY184" s="96"/>
      <c r="AZ184" s="96"/>
      <c r="BA184" s="96"/>
      <c r="BB184" s="96"/>
    </row>
    <row r="185" spans="2:54" x14ac:dyDescent="0.25">
      <c r="B185" s="96"/>
      <c r="C185" s="96"/>
      <c r="D185" s="96"/>
      <c r="E185" s="96"/>
      <c r="F185" s="96"/>
      <c r="G185" s="96"/>
      <c r="H185" s="96"/>
      <c r="I185" s="96"/>
      <c r="J185" s="96"/>
      <c r="K185" s="96"/>
      <c r="L185" s="96"/>
      <c r="M185" s="96"/>
      <c r="N185" s="96"/>
      <c r="O185" s="96"/>
      <c r="P185" s="96"/>
      <c r="Q185" s="96"/>
      <c r="R185" s="96"/>
      <c r="S185" s="96"/>
      <c r="T185" s="96"/>
      <c r="U185" s="96"/>
      <c r="V185" s="96"/>
      <c r="W185" s="96"/>
      <c r="X185" s="96"/>
      <c r="Y185" s="96"/>
      <c r="Z185" s="96"/>
      <c r="AA185" s="96"/>
      <c r="AB185" s="96"/>
      <c r="AC185" s="96"/>
      <c r="AD185" s="96"/>
      <c r="AE185" s="96"/>
      <c r="AF185" s="96"/>
      <c r="AG185" s="96"/>
      <c r="AH185" s="96"/>
      <c r="AI185" s="96"/>
      <c r="AJ185" s="96"/>
      <c r="AK185" s="96"/>
      <c r="AL185" s="96"/>
      <c r="AM185" s="96"/>
      <c r="AN185" s="96"/>
      <c r="AO185" s="96"/>
      <c r="AP185" s="96"/>
      <c r="AQ185" s="96"/>
      <c r="AR185" s="96"/>
      <c r="AS185" s="96"/>
      <c r="AT185" s="96"/>
      <c r="AU185" s="96"/>
      <c r="AV185" s="96"/>
      <c r="AW185" s="96"/>
      <c r="AX185" s="96"/>
      <c r="AY185" s="96"/>
      <c r="AZ185" s="96"/>
      <c r="BA185" s="96"/>
      <c r="BB185" s="96"/>
    </row>
    <row r="186" spans="2:54" x14ac:dyDescent="0.25">
      <c r="B186" s="96"/>
      <c r="C186" s="96"/>
      <c r="D186" s="96"/>
      <c r="E186" s="96"/>
      <c r="F186" s="96"/>
      <c r="G186" s="96"/>
      <c r="H186" s="96"/>
      <c r="I186" s="96"/>
      <c r="J186" s="96"/>
      <c r="K186" s="96"/>
      <c r="L186" s="96"/>
      <c r="M186" s="96"/>
      <c r="N186" s="96"/>
      <c r="O186" s="96"/>
      <c r="P186" s="96"/>
      <c r="Q186" s="96"/>
      <c r="R186" s="96"/>
      <c r="S186" s="96"/>
      <c r="T186" s="96"/>
      <c r="U186" s="96"/>
      <c r="V186" s="96"/>
      <c r="W186" s="96"/>
      <c r="X186" s="96"/>
      <c r="Y186" s="96"/>
      <c r="Z186" s="96"/>
      <c r="AA186" s="96"/>
      <c r="AB186" s="96"/>
      <c r="AC186" s="96"/>
      <c r="AD186" s="96"/>
      <c r="AE186" s="96"/>
      <c r="AF186" s="96"/>
      <c r="AG186" s="96"/>
      <c r="AH186" s="96"/>
      <c r="AI186" s="96"/>
      <c r="AJ186" s="96"/>
      <c r="AK186" s="96"/>
      <c r="AL186" s="96"/>
      <c r="AM186" s="96"/>
      <c r="AN186" s="96"/>
      <c r="AO186" s="96"/>
      <c r="AP186" s="96"/>
      <c r="AQ186" s="96"/>
      <c r="AR186" s="96"/>
      <c r="AS186" s="96"/>
      <c r="AT186" s="96"/>
      <c r="AU186" s="96"/>
      <c r="AV186" s="96"/>
      <c r="AW186" s="96"/>
      <c r="AX186" s="96"/>
      <c r="AY186" s="96"/>
      <c r="AZ186" s="96"/>
      <c r="BA186" s="96"/>
      <c r="BB186" s="96"/>
    </row>
    <row r="187" spans="2:54" x14ac:dyDescent="0.25">
      <c r="B187" s="96"/>
      <c r="C187" s="96"/>
      <c r="D187" s="96"/>
      <c r="E187" s="96"/>
      <c r="F187" s="96"/>
      <c r="G187" s="96"/>
      <c r="H187" s="96"/>
      <c r="I187" s="96"/>
      <c r="J187" s="96"/>
      <c r="K187" s="96"/>
      <c r="L187" s="96"/>
      <c r="M187" s="96"/>
      <c r="N187" s="96"/>
      <c r="O187" s="96"/>
      <c r="P187" s="96"/>
      <c r="Q187" s="96"/>
      <c r="R187" s="96"/>
      <c r="S187" s="96"/>
      <c r="T187" s="96"/>
      <c r="U187" s="96"/>
      <c r="V187" s="96"/>
      <c r="W187" s="96"/>
      <c r="X187" s="96"/>
      <c r="Y187" s="96"/>
      <c r="Z187" s="96"/>
      <c r="AA187" s="96"/>
      <c r="AB187" s="96"/>
      <c r="AC187" s="96"/>
      <c r="AD187" s="96"/>
      <c r="AE187" s="96"/>
      <c r="AF187" s="96"/>
      <c r="AG187" s="96"/>
      <c r="AH187" s="96"/>
      <c r="AI187" s="96"/>
      <c r="AJ187" s="96"/>
      <c r="AK187" s="96"/>
      <c r="AL187" s="96"/>
      <c r="AM187" s="96"/>
      <c r="AN187" s="96"/>
      <c r="AO187" s="96"/>
      <c r="AP187" s="96"/>
      <c r="AQ187" s="96"/>
      <c r="AR187" s="96"/>
      <c r="AS187" s="96"/>
      <c r="AT187" s="96"/>
      <c r="AU187" s="96"/>
      <c r="AV187" s="96"/>
      <c r="AW187" s="96"/>
      <c r="AX187" s="96"/>
      <c r="AY187" s="96"/>
      <c r="AZ187" s="96"/>
      <c r="BA187" s="96"/>
      <c r="BB187" s="96"/>
    </row>
    <row r="188" spans="2:54" x14ac:dyDescent="0.25">
      <c r="B188" s="96"/>
      <c r="C188" s="96"/>
      <c r="D188" s="96"/>
      <c r="E188" s="96"/>
      <c r="F188" s="96"/>
      <c r="G188" s="96"/>
      <c r="H188" s="96"/>
      <c r="I188" s="96"/>
      <c r="J188" s="96"/>
      <c r="K188" s="96"/>
      <c r="L188" s="96"/>
      <c r="M188" s="96"/>
      <c r="N188" s="96"/>
      <c r="O188" s="96"/>
      <c r="P188" s="96"/>
      <c r="Q188" s="96"/>
      <c r="R188" s="96"/>
      <c r="S188" s="96"/>
      <c r="T188" s="96"/>
      <c r="U188" s="96"/>
      <c r="V188" s="96"/>
      <c r="W188" s="96"/>
      <c r="X188" s="96"/>
      <c r="Y188" s="96"/>
      <c r="Z188" s="96"/>
      <c r="AA188" s="96"/>
      <c r="AB188" s="96"/>
      <c r="AC188" s="96"/>
      <c r="AD188" s="96"/>
      <c r="AE188" s="96"/>
      <c r="AF188" s="96"/>
      <c r="AG188" s="96"/>
      <c r="AH188" s="96"/>
      <c r="AI188" s="96"/>
      <c r="AJ188" s="96"/>
      <c r="AK188" s="96"/>
      <c r="AL188" s="96"/>
      <c r="AM188" s="96"/>
      <c r="AN188" s="96"/>
      <c r="AO188" s="96"/>
      <c r="AP188" s="96"/>
      <c r="AQ188" s="96"/>
      <c r="AR188" s="96"/>
      <c r="AS188" s="96"/>
      <c r="AT188" s="96"/>
      <c r="AU188" s="96"/>
      <c r="AV188" s="96"/>
      <c r="AW188" s="96"/>
      <c r="AX188" s="96"/>
      <c r="AY188" s="96"/>
      <c r="AZ188" s="96"/>
      <c r="BA188" s="96"/>
      <c r="BB188" s="96"/>
    </row>
    <row r="189" spans="2:54" x14ac:dyDescent="0.25">
      <c r="B189" s="96"/>
      <c r="C189" s="96"/>
      <c r="D189" s="96"/>
      <c r="E189" s="96"/>
      <c r="F189" s="96"/>
      <c r="G189" s="96"/>
      <c r="H189" s="96"/>
      <c r="I189" s="96"/>
      <c r="J189" s="96"/>
      <c r="K189" s="96"/>
      <c r="L189" s="96"/>
      <c r="M189" s="96"/>
      <c r="N189" s="96"/>
      <c r="O189" s="96"/>
      <c r="P189" s="96"/>
      <c r="Q189" s="96"/>
      <c r="R189" s="96"/>
      <c r="S189" s="96"/>
      <c r="T189" s="96"/>
      <c r="U189" s="96"/>
      <c r="V189" s="96"/>
      <c r="W189" s="96"/>
      <c r="X189" s="96"/>
      <c r="Y189" s="96"/>
      <c r="Z189" s="96"/>
      <c r="AA189" s="96"/>
      <c r="AB189" s="96"/>
      <c r="AC189" s="96"/>
      <c r="AD189" s="96"/>
      <c r="AE189" s="96"/>
      <c r="AF189" s="96"/>
      <c r="AG189" s="96"/>
      <c r="AH189" s="96"/>
      <c r="AI189" s="96"/>
      <c r="AJ189" s="96"/>
      <c r="AK189" s="96"/>
      <c r="AL189" s="96"/>
      <c r="AM189" s="96"/>
      <c r="AN189" s="96"/>
      <c r="AO189" s="96"/>
      <c r="AP189" s="96"/>
      <c r="AQ189" s="96"/>
      <c r="AR189" s="96"/>
      <c r="AS189" s="96"/>
      <c r="AT189" s="96"/>
      <c r="AU189" s="96"/>
      <c r="AV189" s="96"/>
      <c r="AW189" s="96"/>
      <c r="AX189" s="96"/>
      <c r="AY189" s="96"/>
      <c r="AZ189" s="96"/>
      <c r="BA189" s="96"/>
      <c r="BB189" s="96"/>
    </row>
    <row r="190" spans="2:54" x14ac:dyDescent="0.25">
      <c r="B190" s="96"/>
      <c r="C190" s="96"/>
      <c r="D190" s="96"/>
      <c r="E190" s="96"/>
      <c r="F190" s="96"/>
      <c r="G190" s="96"/>
      <c r="H190" s="96"/>
      <c r="I190" s="96"/>
      <c r="J190" s="96"/>
      <c r="K190" s="96"/>
      <c r="L190" s="96"/>
      <c r="M190" s="96"/>
      <c r="N190" s="96"/>
      <c r="O190" s="96"/>
      <c r="P190" s="96"/>
      <c r="Q190" s="96"/>
      <c r="R190" s="96"/>
      <c r="S190" s="96"/>
      <c r="T190" s="96"/>
      <c r="U190" s="96"/>
      <c r="V190" s="96"/>
      <c r="W190" s="96"/>
      <c r="X190" s="96"/>
      <c r="Y190" s="96"/>
      <c r="Z190" s="96"/>
      <c r="AA190" s="96"/>
      <c r="AB190" s="96"/>
      <c r="AC190" s="96"/>
      <c r="AD190" s="96"/>
      <c r="AE190" s="96"/>
      <c r="AF190" s="96"/>
      <c r="AG190" s="96"/>
      <c r="AH190" s="96"/>
      <c r="AI190" s="96"/>
      <c r="AJ190" s="96"/>
      <c r="AK190" s="96"/>
      <c r="AL190" s="96"/>
      <c r="AM190" s="96"/>
      <c r="AN190" s="96"/>
      <c r="AO190" s="96"/>
      <c r="AP190" s="96"/>
      <c r="AQ190" s="96"/>
      <c r="AR190" s="96"/>
      <c r="AS190" s="96"/>
      <c r="AT190" s="96"/>
      <c r="AU190" s="96"/>
      <c r="AV190" s="96"/>
      <c r="AW190" s="96"/>
      <c r="AX190" s="96"/>
      <c r="AY190" s="96"/>
      <c r="AZ190" s="96"/>
      <c r="BA190" s="96"/>
      <c r="BB190" s="96"/>
    </row>
    <row r="191" spans="2:54" x14ac:dyDescent="0.25">
      <c r="B191" s="96"/>
      <c r="C191" s="96"/>
      <c r="D191" s="96"/>
      <c r="E191" s="96"/>
      <c r="F191" s="96"/>
      <c r="G191" s="96"/>
      <c r="H191" s="96"/>
      <c r="I191" s="96"/>
      <c r="J191" s="96"/>
      <c r="K191" s="96"/>
      <c r="L191" s="96"/>
      <c r="M191" s="96"/>
      <c r="N191" s="96"/>
      <c r="O191" s="96"/>
      <c r="P191" s="96"/>
      <c r="Q191" s="96"/>
      <c r="R191" s="96"/>
      <c r="S191" s="96"/>
      <c r="T191" s="96"/>
      <c r="U191" s="96"/>
      <c r="V191" s="96"/>
      <c r="W191" s="96"/>
      <c r="X191" s="96"/>
      <c r="Y191" s="96"/>
      <c r="Z191" s="96"/>
      <c r="AA191" s="96"/>
      <c r="AB191" s="96"/>
      <c r="AC191" s="96"/>
      <c r="AD191" s="96"/>
      <c r="AE191" s="96"/>
      <c r="AF191" s="96"/>
      <c r="AG191" s="96"/>
      <c r="AH191" s="96"/>
      <c r="AI191" s="96"/>
      <c r="AJ191" s="96"/>
      <c r="AK191" s="96"/>
      <c r="AL191" s="96"/>
      <c r="AM191" s="96"/>
      <c r="AN191" s="96"/>
      <c r="AO191" s="96"/>
      <c r="AP191" s="96"/>
      <c r="AQ191" s="96"/>
      <c r="AR191" s="96"/>
      <c r="AS191" s="96"/>
      <c r="AT191" s="96"/>
      <c r="AU191" s="96"/>
      <c r="AV191" s="96"/>
      <c r="AW191" s="96"/>
      <c r="AX191" s="96"/>
      <c r="AY191" s="96"/>
      <c r="AZ191" s="96"/>
      <c r="BA191" s="96"/>
      <c r="BB191" s="96"/>
    </row>
    <row r="192" spans="2:54" x14ac:dyDescent="0.25">
      <c r="B192" s="96"/>
      <c r="C192" s="96"/>
      <c r="D192" s="96"/>
      <c r="E192" s="96"/>
      <c r="F192" s="96"/>
      <c r="G192" s="96"/>
      <c r="H192" s="96"/>
      <c r="I192" s="96"/>
      <c r="J192" s="96"/>
      <c r="K192" s="96"/>
      <c r="L192" s="96"/>
      <c r="M192" s="96"/>
      <c r="N192" s="96"/>
      <c r="O192" s="96"/>
      <c r="P192" s="96"/>
      <c r="Q192" s="96"/>
      <c r="R192" s="96"/>
      <c r="S192" s="96"/>
      <c r="T192" s="96"/>
      <c r="U192" s="96"/>
      <c r="V192" s="96"/>
      <c r="W192" s="96"/>
      <c r="X192" s="96"/>
      <c r="Y192" s="96"/>
      <c r="Z192" s="96"/>
      <c r="AA192" s="96"/>
      <c r="AB192" s="96"/>
      <c r="AC192" s="96"/>
      <c r="AD192" s="96"/>
      <c r="AE192" s="96"/>
      <c r="AF192" s="96"/>
      <c r="AG192" s="96"/>
      <c r="AH192" s="96"/>
      <c r="AI192" s="96"/>
      <c r="AJ192" s="96"/>
      <c r="AK192" s="96"/>
      <c r="AL192" s="96"/>
      <c r="AM192" s="96"/>
      <c r="AN192" s="96"/>
      <c r="AO192" s="96"/>
      <c r="AP192" s="96"/>
      <c r="AQ192" s="96"/>
      <c r="AR192" s="96"/>
      <c r="AS192" s="96"/>
      <c r="AT192" s="96"/>
      <c r="AU192" s="96"/>
      <c r="AV192" s="96"/>
      <c r="AW192" s="96"/>
      <c r="AX192" s="96"/>
      <c r="AY192" s="96"/>
      <c r="AZ192" s="96"/>
      <c r="BA192" s="96"/>
      <c r="BB192" s="96"/>
    </row>
    <row r="193" spans="2:54" x14ac:dyDescent="0.25">
      <c r="B193" s="96"/>
      <c r="C193" s="96"/>
      <c r="D193" s="96"/>
      <c r="E193" s="96"/>
      <c r="F193" s="96"/>
      <c r="G193" s="96"/>
      <c r="H193" s="96"/>
      <c r="I193" s="96"/>
      <c r="J193" s="96"/>
      <c r="K193" s="96"/>
      <c r="L193" s="96"/>
      <c r="M193" s="96"/>
      <c r="N193" s="96"/>
      <c r="O193" s="96"/>
      <c r="P193" s="96"/>
      <c r="Q193" s="96"/>
      <c r="R193" s="96"/>
      <c r="S193" s="96"/>
      <c r="T193" s="96"/>
      <c r="U193" s="96"/>
      <c r="V193" s="96"/>
      <c r="W193" s="96"/>
      <c r="X193" s="96"/>
      <c r="Y193" s="96"/>
      <c r="Z193" s="96"/>
      <c r="AA193" s="96"/>
      <c r="AB193" s="96"/>
      <c r="AC193" s="96"/>
      <c r="AD193" s="96"/>
      <c r="AE193" s="96"/>
      <c r="AF193" s="96"/>
      <c r="AG193" s="96"/>
      <c r="AH193" s="96"/>
      <c r="AI193" s="96"/>
      <c r="AJ193" s="96"/>
      <c r="AK193" s="96"/>
      <c r="AL193" s="96"/>
      <c r="AM193" s="96"/>
      <c r="AN193" s="96"/>
      <c r="AO193" s="96"/>
      <c r="AP193" s="96"/>
      <c r="AQ193" s="96"/>
      <c r="AR193" s="96"/>
      <c r="AS193" s="96"/>
      <c r="AT193" s="96"/>
      <c r="AU193" s="96"/>
      <c r="AV193" s="96"/>
      <c r="AW193" s="96"/>
      <c r="AX193" s="96"/>
      <c r="AY193" s="96"/>
      <c r="AZ193" s="96"/>
      <c r="BA193" s="96"/>
      <c r="BB193" s="96"/>
    </row>
    <row r="194" spans="2:54" x14ac:dyDescent="0.25">
      <c r="B194" s="96"/>
      <c r="C194" s="96"/>
      <c r="D194" s="96"/>
      <c r="E194" s="96"/>
      <c r="F194" s="96"/>
      <c r="G194" s="96"/>
      <c r="H194" s="96"/>
      <c r="I194" s="96"/>
      <c r="J194" s="96"/>
      <c r="K194" s="96"/>
      <c r="L194" s="96"/>
      <c r="M194" s="96"/>
      <c r="N194" s="96"/>
      <c r="O194" s="96"/>
      <c r="P194" s="96"/>
      <c r="Q194" s="96"/>
      <c r="R194" s="96"/>
      <c r="S194" s="96"/>
      <c r="T194" s="96"/>
      <c r="U194" s="96"/>
      <c r="V194" s="96"/>
      <c r="W194" s="96"/>
      <c r="X194" s="96"/>
      <c r="Y194" s="96"/>
      <c r="Z194" s="96"/>
      <c r="AA194" s="96"/>
      <c r="AB194" s="96"/>
      <c r="AC194" s="96"/>
      <c r="AD194" s="96"/>
      <c r="AE194" s="96"/>
      <c r="AF194" s="96"/>
      <c r="AG194" s="96"/>
      <c r="AH194" s="96"/>
      <c r="AI194" s="96"/>
      <c r="AJ194" s="96"/>
      <c r="AK194" s="96"/>
      <c r="AL194" s="96"/>
      <c r="AM194" s="96"/>
      <c r="AN194" s="96"/>
      <c r="AO194" s="96"/>
      <c r="AP194" s="96"/>
      <c r="AQ194" s="96"/>
      <c r="AR194" s="96"/>
      <c r="AS194" s="96"/>
      <c r="AT194" s="96"/>
      <c r="AU194" s="96"/>
      <c r="AV194" s="96"/>
      <c r="AW194" s="96"/>
      <c r="AX194" s="96"/>
      <c r="AY194" s="96"/>
      <c r="AZ194" s="96"/>
      <c r="BA194" s="96"/>
      <c r="BB194" s="96"/>
    </row>
    <row r="195" spans="2:54" x14ac:dyDescent="0.25">
      <c r="B195" s="96"/>
      <c r="C195" s="96"/>
      <c r="D195" s="96"/>
      <c r="E195" s="96"/>
      <c r="F195" s="96"/>
      <c r="G195" s="96"/>
      <c r="H195" s="96"/>
      <c r="I195" s="96"/>
      <c r="J195" s="96"/>
      <c r="K195" s="96"/>
      <c r="L195" s="96"/>
      <c r="M195" s="96"/>
      <c r="N195" s="96"/>
      <c r="O195" s="96"/>
      <c r="P195" s="96"/>
      <c r="Q195" s="96"/>
      <c r="R195" s="96"/>
      <c r="S195" s="96"/>
      <c r="T195" s="96"/>
      <c r="U195" s="96"/>
      <c r="V195" s="96"/>
      <c r="W195" s="96"/>
      <c r="X195" s="96"/>
      <c r="Y195" s="96"/>
      <c r="Z195" s="96"/>
      <c r="AA195" s="96"/>
      <c r="AB195" s="96"/>
      <c r="AC195" s="96"/>
      <c r="AD195" s="96"/>
      <c r="AE195" s="96"/>
      <c r="AF195" s="96"/>
      <c r="AG195" s="96"/>
      <c r="AH195" s="96"/>
      <c r="AI195" s="96"/>
      <c r="AJ195" s="96"/>
      <c r="AK195" s="96"/>
      <c r="AL195" s="96"/>
      <c r="AM195" s="96"/>
      <c r="AN195" s="96"/>
      <c r="AO195" s="96"/>
      <c r="AP195" s="96"/>
      <c r="AQ195" s="96"/>
      <c r="AR195" s="96"/>
      <c r="AS195" s="96"/>
      <c r="AT195" s="96"/>
      <c r="AU195" s="96"/>
      <c r="AV195" s="96"/>
      <c r="AW195" s="96"/>
      <c r="AX195" s="96"/>
      <c r="AY195" s="96"/>
      <c r="AZ195" s="96"/>
      <c r="BA195" s="96"/>
      <c r="BB195" s="96"/>
    </row>
    <row r="196" spans="2:54" x14ac:dyDescent="0.25">
      <c r="B196" s="96"/>
      <c r="C196" s="96"/>
      <c r="D196" s="96"/>
      <c r="E196" s="96"/>
      <c r="F196" s="96"/>
      <c r="G196" s="96"/>
      <c r="H196" s="96"/>
      <c r="I196" s="96"/>
      <c r="J196" s="96"/>
      <c r="K196" s="96"/>
      <c r="L196" s="96"/>
      <c r="M196" s="96"/>
      <c r="N196" s="96"/>
      <c r="O196" s="96"/>
      <c r="P196" s="96"/>
      <c r="Q196" s="96"/>
      <c r="R196" s="96"/>
      <c r="S196" s="96"/>
      <c r="T196" s="96"/>
      <c r="U196" s="96"/>
      <c r="V196" s="96"/>
      <c r="W196" s="96"/>
      <c r="X196" s="96"/>
      <c r="Y196" s="96"/>
      <c r="Z196" s="96"/>
      <c r="AA196" s="96"/>
      <c r="AB196" s="96"/>
      <c r="AC196" s="96"/>
      <c r="AD196" s="96"/>
      <c r="AE196" s="96"/>
      <c r="AF196" s="96"/>
      <c r="AG196" s="96"/>
      <c r="AH196" s="96"/>
      <c r="AI196" s="96"/>
      <c r="AJ196" s="96"/>
      <c r="AK196" s="96"/>
      <c r="AL196" s="96"/>
      <c r="AM196" s="96"/>
      <c r="AN196" s="96"/>
      <c r="AO196" s="96"/>
      <c r="AP196" s="96"/>
      <c r="AQ196" s="96"/>
      <c r="AR196" s="96"/>
      <c r="AS196" s="96"/>
      <c r="AT196" s="96"/>
      <c r="AU196" s="96"/>
      <c r="AV196" s="96"/>
      <c r="AW196" s="96"/>
      <c r="AX196" s="96"/>
      <c r="AY196" s="96"/>
      <c r="AZ196" s="96"/>
      <c r="BA196" s="96"/>
      <c r="BB196" s="96"/>
    </row>
    <row r="197" spans="2:54" x14ac:dyDescent="0.25">
      <c r="B197" s="96"/>
      <c r="C197" s="96"/>
      <c r="D197" s="96"/>
      <c r="E197" s="96"/>
      <c r="F197" s="96"/>
      <c r="G197" s="96"/>
      <c r="H197" s="96"/>
      <c r="I197" s="96"/>
      <c r="J197" s="96"/>
      <c r="K197" s="96"/>
      <c r="L197" s="96"/>
      <c r="M197" s="96"/>
      <c r="N197" s="96"/>
      <c r="O197" s="96"/>
      <c r="P197" s="96"/>
      <c r="Q197" s="96"/>
      <c r="R197" s="96"/>
      <c r="S197" s="96"/>
      <c r="T197" s="96"/>
      <c r="U197" s="96"/>
      <c r="V197" s="96"/>
      <c r="W197" s="96"/>
      <c r="X197" s="96"/>
      <c r="Y197" s="96"/>
      <c r="Z197" s="96"/>
      <c r="AA197" s="96"/>
      <c r="AB197" s="96"/>
      <c r="AC197" s="96"/>
      <c r="AD197" s="96"/>
      <c r="AE197" s="96"/>
      <c r="AF197" s="96"/>
      <c r="AG197" s="96"/>
      <c r="AH197" s="96"/>
      <c r="AI197" s="96"/>
      <c r="AJ197" s="96"/>
      <c r="AK197" s="96"/>
      <c r="AL197" s="96"/>
      <c r="AM197" s="96"/>
      <c r="AN197" s="96"/>
      <c r="AO197" s="96"/>
      <c r="AP197" s="96"/>
      <c r="AQ197" s="96"/>
      <c r="AR197" s="96"/>
      <c r="AS197" s="96"/>
      <c r="AT197" s="96"/>
      <c r="AU197" s="96"/>
      <c r="AV197" s="96"/>
      <c r="AW197" s="96"/>
      <c r="AX197" s="96"/>
      <c r="AY197" s="96"/>
      <c r="AZ197" s="96"/>
      <c r="BA197" s="96"/>
      <c r="BB197" s="96"/>
    </row>
    <row r="198" spans="2:54" x14ac:dyDescent="0.25">
      <c r="B198" s="96"/>
      <c r="C198" s="96"/>
      <c r="D198" s="96"/>
      <c r="E198" s="96"/>
      <c r="F198" s="96"/>
      <c r="G198" s="96"/>
      <c r="H198" s="96"/>
      <c r="I198" s="96"/>
      <c r="J198" s="96"/>
      <c r="K198" s="96"/>
      <c r="L198" s="96"/>
      <c r="M198" s="96"/>
      <c r="N198" s="96"/>
      <c r="O198" s="96"/>
      <c r="P198" s="96"/>
      <c r="Q198" s="96"/>
      <c r="R198" s="96"/>
      <c r="S198" s="96"/>
      <c r="T198" s="96"/>
      <c r="U198" s="96"/>
      <c r="V198" s="96"/>
      <c r="W198" s="96"/>
      <c r="X198" s="96"/>
      <c r="Y198" s="96"/>
      <c r="Z198" s="96"/>
      <c r="AA198" s="96"/>
      <c r="AB198" s="96"/>
      <c r="AC198" s="96"/>
      <c r="AD198" s="96"/>
      <c r="AE198" s="96"/>
      <c r="AF198" s="96"/>
      <c r="AG198" s="96"/>
      <c r="AH198" s="96"/>
      <c r="AI198" s="96"/>
      <c r="AJ198" s="96"/>
      <c r="AK198" s="96"/>
      <c r="AL198" s="96"/>
      <c r="AM198" s="96"/>
      <c r="AN198" s="96"/>
      <c r="AO198" s="96"/>
      <c r="AP198" s="96"/>
      <c r="AQ198" s="96"/>
      <c r="AR198" s="96"/>
      <c r="AS198" s="96"/>
      <c r="AT198" s="96"/>
      <c r="AU198" s="96"/>
      <c r="AV198" s="96"/>
      <c r="AW198" s="96"/>
      <c r="AX198" s="96"/>
      <c r="AY198" s="96"/>
      <c r="AZ198" s="96"/>
      <c r="BA198" s="96"/>
      <c r="BB198" s="96"/>
    </row>
    <row r="199" spans="2:54" x14ac:dyDescent="0.25">
      <c r="B199" s="96"/>
      <c r="C199" s="96"/>
      <c r="D199" s="96"/>
      <c r="E199" s="96"/>
      <c r="F199" s="96"/>
      <c r="G199" s="96"/>
      <c r="H199" s="96"/>
      <c r="I199" s="96"/>
      <c r="J199" s="96"/>
      <c r="K199" s="96"/>
      <c r="L199" s="96"/>
      <c r="M199" s="96"/>
      <c r="N199" s="96"/>
      <c r="O199" s="96"/>
      <c r="P199" s="96"/>
      <c r="Q199" s="96"/>
      <c r="R199" s="96"/>
      <c r="S199" s="96"/>
      <c r="T199" s="96"/>
      <c r="U199" s="96"/>
      <c r="V199" s="96"/>
      <c r="W199" s="96"/>
      <c r="X199" s="96"/>
      <c r="Y199" s="96"/>
      <c r="Z199" s="96"/>
      <c r="AA199" s="96"/>
      <c r="AB199" s="96"/>
      <c r="AC199" s="96"/>
      <c r="AD199" s="96"/>
      <c r="AE199" s="96"/>
      <c r="AF199" s="96"/>
      <c r="AG199" s="96"/>
      <c r="AH199" s="96"/>
      <c r="AI199" s="96"/>
      <c r="AJ199" s="96"/>
      <c r="AK199" s="96"/>
      <c r="AL199" s="96"/>
      <c r="AM199" s="96"/>
      <c r="AN199" s="96"/>
      <c r="AO199" s="96"/>
      <c r="AP199" s="96"/>
      <c r="AQ199" s="96"/>
      <c r="AR199" s="96"/>
      <c r="AS199" s="96"/>
      <c r="AT199" s="96"/>
      <c r="AU199" s="96"/>
      <c r="AV199" s="96"/>
      <c r="AW199" s="96"/>
      <c r="AX199" s="96"/>
      <c r="AY199" s="96"/>
      <c r="AZ199" s="96"/>
      <c r="BA199" s="96"/>
      <c r="BB199" s="96"/>
    </row>
    <row r="200" spans="2:54" x14ac:dyDescent="0.25">
      <c r="B200" s="96"/>
      <c r="C200" s="96"/>
      <c r="D200" s="96"/>
      <c r="E200" s="96"/>
      <c r="F200" s="96"/>
      <c r="G200" s="96"/>
      <c r="H200" s="96"/>
      <c r="I200" s="96"/>
      <c r="J200" s="96"/>
      <c r="K200" s="96"/>
      <c r="L200" s="96"/>
      <c r="M200" s="96"/>
      <c r="N200" s="96"/>
      <c r="O200" s="96"/>
      <c r="P200" s="96"/>
      <c r="Q200" s="96"/>
      <c r="R200" s="96"/>
      <c r="S200" s="96"/>
      <c r="T200" s="96"/>
      <c r="U200" s="96"/>
      <c r="V200" s="96"/>
      <c r="W200" s="96"/>
      <c r="X200" s="96"/>
      <c r="Y200" s="96"/>
      <c r="Z200" s="96"/>
      <c r="AA200" s="96"/>
      <c r="AB200" s="96"/>
      <c r="AC200" s="96"/>
      <c r="AD200" s="96"/>
      <c r="AE200" s="96"/>
      <c r="AF200" s="96"/>
      <c r="AG200" s="96"/>
      <c r="AH200" s="96"/>
      <c r="AI200" s="96"/>
      <c r="AJ200" s="96"/>
      <c r="AK200" s="96"/>
      <c r="AL200" s="96"/>
      <c r="AM200" s="96"/>
      <c r="AN200" s="96"/>
      <c r="AO200" s="96"/>
      <c r="AP200" s="96"/>
      <c r="AQ200" s="96"/>
      <c r="AR200" s="96"/>
      <c r="AS200" s="96"/>
      <c r="AT200" s="96"/>
      <c r="AU200" s="96"/>
      <c r="AV200" s="96"/>
      <c r="AW200" s="96"/>
      <c r="AX200" s="96"/>
      <c r="AY200" s="96"/>
      <c r="AZ200" s="96"/>
      <c r="BA200" s="96"/>
      <c r="BB200" s="96"/>
    </row>
    <row r="201" spans="2:54" x14ac:dyDescent="0.25">
      <c r="B201" s="96"/>
      <c r="C201" s="96"/>
      <c r="D201" s="96"/>
      <c r="E201" s="96"/>
      <c r="F201" s="96"/>
      <c r="G201" s="96"/>
      <c r="H201" s="96"/>
      <c r="I201" s="96"/>
      <c r="J201" s="96"/>
      <c r="K201" s="96"/>
      <c r="L201" s="96"/>
      <c r="M201" s="96"/>
      <c r="N201" s="96"/>
      <c r="O201" s="96"/>
      <c r="P201" s="96"/>
      <c r="Q201" s="96"/>
      <c r="R201" s="96"/>
      <c r="S201" s="96"/>
      <c r="T201" s="96"/>
      <c r="U201" s="96"/>
      <c r="V201" s="96"/>
      <c r="W201" s="96"/>
      <c r="X201" s="96"/>
      <c r="Y201" s="96"/>
      <c r="Z201" s="96"/>
      <c r="AA201" s="96"/>
      <c r="AB201" s="96"/>
      <c r="AC201" s="96"/>
      <c r="AD201" s="96"/>
      <c r="AE201" s="96"/>
      <c r="AF201" s="96"/>
      <c r="AG201" s="96"/>
      <c r="AH201" s="96"/>
      <c r="AI201" s="96"/>
      <c r="AJ201" s="96"/>
      <c r="AK201" s="96"/>
      <c r="AL201" s="96"/>
      <c r="AM201" s="96"/>
      <c r="AN201" s="96"/>
      <c r="AO201" s="96"/>
      <c r="AP201" s="96"/>
      <c r="AQ201" s="96"/>
      <c r="AR201" s="96"/>
      <c r="AS201" s="96"/>
      <c r="AT201" s="96"/>
      <c r="AU201" s="96"/>
      <c r="AV201" s="96"/>
      <c r="AW201" s="96"/>
      <c r="AX201" s="96"/>
      <c r="AY201" s="96"/>
      <c r="AZ201" s="96"/>
      <c r="BA201" s="96"/>
      <c r="BB201" s="96"/>
    </row>
    <row r="202" spans="2:54" x14ac:dyDescent="0.25">
      <c r="B202" s="96"/>
      <c r="C202" s="96"/>
      <c r="D202" s="96"/>
      <c r="E202" s="96"/>
      <c r="F202" s="96"/>
      <c r="G202" s="96"/>
      <c r="H202" s="96"/>
      <c r="I202" s="96"/>
      <c r="J202" s="96"/>
      <c r="K202" s="96"/>
      <c r="L202" s="96"/>
      <c r="M202" s="96"/>
      <c r="N202" s="96"/>
      <c r="O202" s="96"/>
      <c r="P202" s="96"/>
      <c r="Q202" s="96"/>
      <c r="R202" s="96"/>
      <c r="S202" s="96"/>
      <c r="T202" s="96"/>
      <c r="U202" s="96"/>
      <c r="V202" s="96"/>
      <c r="W202" s="96"/>
      <c r="X202" s="96"/>
      <c r="Y202" s="96"/>
      <c r="Z202" s="96"/>
      <c r="AA202" s="96"/>
      <c r="AB202" s="96"/>
      <c r="AC202" s="96"/>
      <c r="AD202" s="96"/>
      <c r="AE202" s="96"/>
      <c r="AF202" s="96"/>
      <c r="AG202" s="96"/>
      <c r="AH202" s="96"/>
      <c r="AI202" s="96"/>
      <c r="AJ202" s="96"/>
      <c r="AK202" s="96"/>
      <c r="AL202" s="96"/>
      <c r="AM202" s="96"/>
      <c r="AN202" s="96"/>
      <c r="AO202" s="96"/>
      <c r="AP202" s="96"/>
      <c r="AQ202" s="96"/>
      <c r="AR202" s="96"/>
      <c r="AS202" s="96"/>
      <c r="AT202" s="96"/>
      <c r="AU202" s="96"/>
      <c r="AV202" s="96"/>
      <c r="AW202" s="96"/>
      <c r="AX202" s="96"/>
      <c r="AY202" s="96"/>
      <c r="AZ202" s="96"/>
      <c r="BA202" s="96"/>
      <c r="BB202" s="96"/>
    </row>
    <row r="203" spans="2:54" x14ac:dyDescent="0.25">
      <c r="B203" s="96"/>
      <c r="C203" s="96"/>
      <c r="D203" s="96"/>
      <c r="E203" s="96"/>
      <c r="F203" s="96"/>
      <c r="G203" s="96"/>
      <c r="H203" s="96"/>
      <c r="I203" s="96"/>
      <c r="J203" s="96"/>
      <c r="K203" s="96"/>
      <c r="L203" s="96"/>
      <c r="M203" s="96"/>
      <c r="N203" s="96"/>
      <c r="O203" s="96"/>
      <c r="P203" s="96"/>
      <c r="Q203" s="96"/>
      <c r="R203" s="96"/>
      <c r="S203" s="96"/>
      <c r="T203" s="96"/>
      <c r="U203" s="96"/>
      <c r="V203" s="96"/>
      <c r="W203" s="96"/>
      <c r="X203" s="96"/>
      <c r="Y203" s="96"/>
      <c r="Z203" s="96"/>
      <c r="AA203" s="96"/>
      <c r="AB203" s="96"/>
      <c r="AC203" s="96"/>
      <c r="AD203" s="96"/>
      <c r="AE203" s="96"/>
      <c r="AF203" s="96"/>
      <c r="AG203" s="96"/>
      <c r="AH203" s="96"/>
      <c r="AI203" s="96"/>
      <c r="AJ203" s="96"/>
      <c r="AK203" s="96"/>
      <c r="AL203" s="96"/>
      <c r="AM203" s="96"/>
      <c r="AN203" s="96"/>
      <c r="AO203" s="96"/>
      <c r="AP203" s="96"/>
      <c r="AQ203" s="96"/>
      <c r="AR203" s="96"/>
      <c r="AS203" s="96"/>
      <c r="AT203" s="96"/>
      <c r="AU203" s="96"/>
      <c r="AV203" s="96"/>
      <c r="AW203" s="96"/>
      <c r="AX203" s="96"/>
      <c r="AY203" s="96"/>
      <c r="AZ203" s="96"/>
      <c r="BA203" s="96"/>
      <c r="BB203" s="96"/>
    </row>
    <row r="204" spans="2:54" x14ac:dyDescent="0.25">
      <c r="B204" s="96"/>
      <c r="C204" s="96"/>
      <c r="D204" s="96"/>
      <c r="E204" s="96"/>
      <c r="F204" s="96"/>
      <c r="G204" s="96"/>
      <c r="H204" s="96"/>
      <c r="I204" s="96"/>
      <c r="J204" s="96"/>
      <c r="K204" s="96"/>
      <c r="L204" s="96"/>
      <c r="M204" s="96"/>
      <c r="N204" s="96"/>
      <c r="O204" s="96"/>
      <c r="P204" s="96"/>
      <c r="Q204" s="96"/>
      <c r="R204" s="96"/>
      <c r="S204" s="96"/>
      <c r="T204" s="96"/>
      <c r="U204" s="96"/>
      <c r="V204" s="96"/>
      <c r="W204" s="96"/>
      <c r="X204" s="96"/>
      <c r="Y204" s="96"/>
      <c r="Z204" s="96"/>
      <c r="AA204" s="96"/>
      <c r="AB204" s="96"/>
      <c r="AC204" s="96"/>
      <c r="AD204" s="96"/>
      <c r="AE204" s="96"/>
      <c r="AF204" s="96"/>
      <c r="AG204" s="96"/>
      <c r="AH204" s="96"/>
      <c r="AI204" s="96"/>
      <c r="AJ204" s="96"/>
      <c r="AK204" s="96"/>
      <c r="AL204" s="96"/>
      <c r="AM204" s="96"/>
      <c r="AN204" s="96"/>
      <c r="AO204" s="96"/>
      <c r="AP204" s="96"/>
      <c r="AQ204" s="96"/>
      <c r="AR204" s="96"/>
      <c r="AS204" s="96"/>
      <c r="AT204" s="96"/>
      <c r="AU204" s="96"/>
      <c r="AV204" s="96"/>
      <c r="AW204" s="96"/>
      <c r="AX204" s="96"/>
      <c r="AY204" s="96"/>
      <c r="AZ204" s="96"/>
      <c r="BA204" s="96"/>
      <c r="BB204" s="96"/>
    </row>
    <row r="205" spans="2:54" x14ac:dyDescent="0.25">
      <c r="B205" s="96"/>
      <c r="C205" s="96"/>
      <c r="D205" s="96"/>
      <c r="E205" s="96"/>
      <c r="F205" s="96"/>
      <c r="G205" s="96"/>
      <c r="H205" s="96"/>
      <c r="I205" s="96"/>
      <c r="J205" s="96"/>
      <c r="K205" s="96"/>
      <c r="L205" s="96"/>
      <c r="M205" s="96"/>
      <c r="N205" s="96"/>
      <c r="O205" s="96"/>
      <c r="P205" s="96"/>
      <c r="Q205" s="96"/>
      <c r="R205" s="96"/>
      <c r="S205" s="96"/>
      <c r="T205" s="96"/>
      <c r="U205" s="96"/>
      <c r="V205" s="96"/>
      <c r="W205" s="96"/>
      <c r="X205" s="96"/>
      <c r="Y205" s="96"/>
      <c r="Z205" s="96"/>
      <c r="AA205" s="96"/>
      <c r="AB205" s="96"/>
      <c r="AC205" s="96"/>
      <c r="AD205" s="96"/>
      <c r="AE205" s="96"/>
      <c r="AF205" s="96"/>
      <c r="AG205" s="96"/>
      <c r="AH205" s="96"/>
      <c r="AI205" s="96"/>
      <c r="AJ205" s="96"/>
      <c r="AK205" s="96"/>
      <c r="AL205" s="96"/>
      <c r="AM205" s="96"/>
      <c r="AN205" s="96"/>
      <c r="AO205" s="96"/>
      <c r="AP205" s="96"/>
      <c r="AQ205" s="96"/>
      <c r="AR205" s="96"/>
      <c r="AS205" s="96"/>
      <c r="AT205" s="96"/>
      <c r="AU205" s="96"/>
      <c r="AV205" s="96"/>
      <c r="AW205" s="96"/>
      <c r="AX205" s="96"/>
      <c r="AY205" s="96"/>
      <c r="AZ205" s="96"/>
      <c r="BA205" s="96"/>
      <c r="BB205" s="96"/>
    </row>
    <row r="206" spans="2:54" x14ac:dyDescent="0.25">
      <c r="B206" s="96"/>
      <c r="C206" s="96"/>
      <c r="D206" s="96"/>
      <c r="E206" s="96"/>
      <c r="F206" s="96"/>
      <c r="G206" s="96"/>
      <c r="H206" s="96"/>
      <c r="I206" s="96"/>
      <c r="J206" s="96"/>
      <c r="K206" s="96"/>
      <c r="L206" s="96"/>
      <c r="M206" s="96"/>
      <c r="N206" s="96"/>
      <c r="O206" s="96"/>
      <c r="P206" s="96"/>
      <c r="Q206" s="96"/>
      <c r="R206" s="96"/>
      <c r="S206" s="96"/>
      <c r="T206" s="96"/>
      <c r="U206" s="96"/>
      <c r="V206" s="96"/>
      <c r="W206" s="96"/>
      <c r="X206" s="96"/>
      <c r="Y206" s="96"/>
      <c r="Z206" s="96"/>
      <c r="AA206" s="96"/>
      <c r="AB206" s="96"/>
      <c r="AC206" s="96"/>
      <c r="AD206" s="96"/>
      <c r="AE206" s="96"/>
      <c r="AF206" s="96"/>
      <c r="AG206" s="96"/>
      <c r="AH206" s="96"/>
      <c r="AI206" s="96"/>
      <c r="AJ206" s="96"/>
      <c r="AK206" s="96"/>
      <c r="AL206" s="96"/>
      <c r="AM206" s="96"/>
      <c r="AN206" s="96"/>
      <c r="AO206" s="96"/>
      <c r="AP206" s="96"/>
      <c r="AQ206" s="96"/>
      <c r="AR206" s="96"/>
      <c r="AS206" s="96"/>
      <c r="AT206" s="96"/>
      <c r="AU206" s="96"/>
      <c r="AV206" s="96"/>
      <c r="AW206" s="96"/>
      <c r="AX206" s="96"/>
      <c r="AY206" s="96"/>
      <c r="AZ206" s="96"/>
      <c r="BA206" s="96"/>
      <c r="BB206" s="96"/>
    </row>
    <row r="207" spans="2:54" x14ac:dyDescent="0.25">
      <c r="B207" s="96"/>
      <c r="C207" s="96"/>
      <c r="D207" s="96"/>
      <c r="E207" s="96"/>
      <c r="F207" s="96"/>
      <c r="G207" s="96"/>
      <c r="H207" s="96"/>
      <c r="I207" s="96"/>
      <c r="J207" s="96"/>
      <c r="K207" s="96"/>
      <c r="L207" s="96"/>
      <c r="M207" s="96"/>
      <c r="N207" s="96"/>
      <c r="O207" s="96"/>
      <c r="P207" s="96"/>
      <c r="Q207" s="96"/>
      <c r="R207" s="96"/>
      <c r="S207" s="96"/>
      <c r="T207" s="96"/>
      <c r="U207" s="96"/>
      <c r="V207" s="96"/>
      <c r="W207" s="96"/>
      <c r="X207" s="96"/>
      <c r="Y207" s="96"/>
      <c r="Z207" s="96"/>
      <c r="AA207" s="96"/>
      <c r="AB207" s="96"/>
      <c r="AC207" s="96"/>
      <c r="AD207" s="96"/>
      <c r="AE207" s="96"/>
      <c r="AF207" s="96"/>
      <c r="AG207" s="96"/>
      <c r="AH207" s="96"/>
      <c r="AI207" s="96"/>
      <c r="AJ207" s="96"/>
      <c r="AK207" s="96"/>
      <c r="AL207" s="96"/>
      <c r="AM207" s="96"/>
      <c r="AN207" s="96"/>
      <c r="AO207" s="96"/>
      <c r="AP207" s="96"/>
      <c r="AQ207" s="96"/>
      <c r="AR207" s="96"/>
      <c r="AS207" s="96"/>
      <c r="AT207" s="96"/>
      <c r="AU207" s="96"/>
      <c r="AV207" s="96"/>
      <c r="AW207" s="96"/>
      <c r="AX207" s="96"/>
      <c r="AY207" s="96"/>
      <c r="AZ207" s="96"/>
      <c r="BA207" s="96"/>
      <c r="BB207" s="96"/>
    </row>
    <row r="208" spans="2:54" x14ac:dyDescent="0.25">
      <c r="B208" s="96"/>
      <c r="C208" s="96"/>
      <c r="D208" s="96"/>
      <c r="E208" s="96"/>
      <c r="F208" s="96"/>
      <c r="G208" s="96"/>
      <c r="H208" s="96"/>
      <c r="I208" s="96"/>
      <c r="J208" s="96"/>
      <c r="K208" s="96"/>
      <c r="L208" s="96"/>
      <c r="M208" s="96"/>
      <c r="N208" s="96"/>
      <c r="O208" s="96"/>
      <c r="P208" s="96"/>
      <c r="Q208" s="96"/>
      <c r="R208" s="96"/>
      <c r="S208" s="96"/>
      <c r="T208" s="96"/>
      <c r="U208" s="96"/>
      <c r="V208" s="96"/>
      <c r="W208" s="96"/>
      <c r="X208" s="96"/>
      <c r="Y208" s="96"/>
      <c r="Z208" s="96"/>
      <c r="AA208" s="96"/>
      <c r="AB208" s="96"/>
      <c r="AC208" s="96"/>
      <c r="AD208" s="96"/>
      <c r="AE208" s="96"/>
      <c r="AF208" s="96"/>
      <c r="AG208" s="96"/>
      <c r="AH208" s="96"/>
      <c r="AI208" s="96"/>
      <c r="AJ208" s="96"/>
      <c r="AK208" s="96"/>
      <c r="AL208" s="96"/>
      <c r="AM208" s="96"/>
      <c r="AN208" s="96"/>
      <c r="AO208" s="96"/>
      <c r="AP208" s="96"/>
      <c r="AQ208" s="96"/>
      <c r="AR208" s="96"/>
      <c r="AS208" s="96"/>
      <c r="AT208" s="96"/>
      <c r="AU208" s="96"/>
      <c r="AV208" s="96"/>
      <c r="AW208" s="96"/>
      <c r="AX208" s="96"/>
      <c r="AY208" s="96"/>
      <c r="AZ208" s="96"/>
      <c r="BA208" s="96"/>
      <c r="BB208" s="96"/>
    </row>
    <row r="209" spans="2:54" x14ac:dyDescent="0.25">
      <c r="B209" s="96"/>
      <c r="C209" s="96"/>
      <c r="D209" s="96"/>
      <c r="E209" s="96"/>
      <c r="F209" s="96"/>
      <c r="G209" s="96"/>
      <c r="H209" s="96"/>
      <c r="I209" s="96"/>
      <c r="J209" s="96"/>
      <c r="K209" s="96"/>
      <c r="L209" s="96"/>
      <c r="M209" s="96"/>
      <c r="N209" s="96"/>
      <c r="O209" s="96"/>
      <c r="P209" s="96"/>
      <c r="Q209" s="96"/>
      <c r="R209" s="96"/>
      <c r="S209" s="96"/>
      <c r="T209" s="96"/>
      <c r="U209" s="96"/>
      <c r="V209" s="96"/>
      <c r="W209" s="96"/>
      <c r="X209" s="96"/>
      <c r="Y209" s="96"/>
      <c r="Z209" s="96"/>
      <c r="AA209" s="96"/>
      <c r="AB209" s="96"/>
      <c r="AC209" s="96"/>
      <c r="AD209" s="96"/>
      <c r="AE209" s="96"/>
      <c r="AF209" s="96"/>
      <c r="AG209" s="96"/>
      <c r="AH209" s="96"/>
      <c r="AI209" s="96"/>
      <c r="AJ209" s="96"/>
      <c r="AK209" s="96"/>
      <c r="AL209" s="96"/>
      <c r="AM209" s="96"/>
      <c r="AN209" s="96"/>
      <c r="AO209" s="96"/>
      <c r="AP209" s="96"/>
      <c r="AQ209" s="96"/>
      <c r="AR209" s="96"/>
      <c r="AS209" s="96"/>
      <c r="AT209" s="96"/>
      <c r="AU209" s="96"/>
      <c r="AV209" s="96"/>
      <c r="AW209" s="96"/>
      <c r="AX209" s="96"/>
      <c r="AY209" s="96"/>
      <c r="AZ209" s="96"/>
      <c r="BA209" s="96"/>
      <c r="BB209" s="96"/>
    </row>
    <row r="210" spans="2:54" x14ac:dyDescent="0.25">
      <c r="B210" s="96"/>
      <c r="C210" s="96"/>
      <c r="D210" s="96"/>
      <c r="E210" s="96"/>
      <c r="F210" s="96"/>
      <c r="G210" s="96"/>
      <c r="H210" s="96"/>
      <c r="I210" s="96"/>
      <c r="J210" s="96"/>
      <c r="K210" s="96"/>
      <c r="L210" s="96"/>
      <c r="M210" s="96"/>
      <c r="N210" s="96"/>
      <c r="O210" s="96"/>
      <c r="P210" s="96"/>
      <c r="Q210" s="96"/>
      <c r="R210" s="96"/>
      <c r="S210" s="96"/>
      <c r="T210" s="96"/>
      <c r="U210" s="96"/>
      <c r="V210" s="96"/>
      <c r="W210" s="96"/>
      <c r="X210" s="96"/>
      <c r="Y210" s="96"/>
      <c r="Z210" s="96"/>
      <c r="AA210" s="96"/>
      <c r="AB210" s="96"/>
      <c r="AC210" s="96"/>
      <c r="AD210" s="96"/>
      <c r="AE210" s="96"/>
      <c r="AF210" s="96"/>
      <c r="AG210" s="96"/>
      <c r="AH210" s="96"/>
      <c r="AI210" s="96"/>
      <c r="AJ210" s="96"/>
      <c r="AK210" s="96"/>
      <c r="AL210" s="96"/>
      <c r="AM210" s="96"/>
      <c r="AN210" s="96"/>
      <c r="AO210" s="96"/>
      <c r="AP210" s="96"/>
      <c r="AQ210" s="96"/>
      <c r="AR210" s="96"/>
      <c r="AS210" s="96"/>
      <c r="AT210" s="96"/>
      <c r="AU210" s="96"/>
      <c r="AV210" s="96"/>
      <c r="AW210" s="96"/>
      <c r="AX210" s="96"/>
      <c r="AY210" s="96"/>
      <c r="AZ210" s="96"/>
      <c r="BA210" s="96"/>
      <c r="BB210" s="96"/>
    </row>
    <row r="211" spans="2:54" x14ac:dyDescent="0.25">
      <c r="B211" s="96"/>
      <c r="C211" s="96"/>
      <c r="D211" s="96"/>
      <c r="E211" s="96"/>
      <c r="F211" s="96"/>
      <c r="G211" s="96"/>
      <c r="H211" s="96"/>
      <c r="I211" s="96"/>
      <c r="J211" s="96"/>
      <c r="K211" s="96"/>
      <c r="L211" s="96"/>
      <c r="M211" s="96"/>
      <c r="N211" s="96"/>
      <c r="O211" s="96"/>
      <c r="P211" s="96"/>
      <c r="Q211" s="96"/>
      <c r="R211" s="96"/>
      <c r="S211" s="96"/>
      <c r="T211" s="96"/>
      <c r="U211" s="96"/>
      <c r="V211" s="96"/>
      <c r="W211" s="96"/>
      <c r="X211" s="96"/>
      <c r="Y211" s="96"/>
      <c r="Z211" s="96"/>
      <c r="AA211" s="96"/>
      <c r="AB211" s="96"/>
      <c r="AC211" s="96"/>
      <c r="AD211" s="96"/>
      <c r="AE211" s="96"/>
      <c r="AF211" s="96"/>
      <c r="AG211" s="96"/>
      <c r="AH211" s="96"/>
      <c r="AI211" s="96"/>
      <c r="AJ211" s="96"/>
      <c r="AK211" s="96"/>
      <c r="AL211" s="96"/>
      <c r="AM211" s="96"/>
      <c r="AN211" s="96"/>
      <c r="AO211" s="96"/>
      <c r="AP211" s="96"/>
      <c r="AQ211" s="96"/>
      <c r="AR211" s="96"/>
      <c r="AS211" s="96"/>
      <c r="AT211" s="96"/>
      <c r="AU211" s="96"/>
      <c r="AV211" s="96"/>
      <c r="AW211" s="96"/>
      <c r="AX211" s="96"/>
      <c r="AY211" s="96"/>
      <c r="AZ211" s="96"/>
      <c r="BA211" s="96"/>
      <c r="BB211" s="96"/>
    </row>
    <row r="212" spans="2:54" x14ac:dyDescent="0.25">
      <c r="B212" s="96"/>
      <c r="C212" s="96"/>
      <c r="D212" s="96"/>
      <c r="E212" s="96"/>
      <c r="F212" s="96"/>
      <c r="G212" s="96"/>
      <c r="H212" s="96"/>
      <c r="I212" s="96"/>
      <c r="J212" s="96"/>
      <c r="K212" s="96"/>
      <c r="L212" s="96"/>
      <c r="M212" s="96"/>
      <c r="N212" s="96"/>
      <c r="O212" s="96"/>
      <c r="P212" s="96"/>
      <c r="Q212" s="96"/>
      <c r="R212" s="96"/>
      <c r="S212" s="96"/>
      <c r="T212" s="96"/>
      <c r="U212" s="96"/>
      <c r="V212" s="96"/>
      <c r="W212" s="96"/>
      <c r="X212" s="96"/>
      <c r="Y212" s="96"/>
      <c r="Z212" s="96"/>
      <c r="AA212" s="96"/>
      <c r="AB212" s="96"/>
      <c r="AC212" s="96"/>
      <c r="AD212" s="96"/>
      <c r="AE212" s="96"/>
      <c r="AF212" s="96"/>
      <c r="AG212" s="96"/>
      <c r="AH212" s="96"/>
      <c r="AI212" s="96"/>
      <c r="AJ212" s="96"/>
      <c r="AK212" s="96"/>
      <c r="AL212" s="96"/>
      <c r="AM212" s="96"/>
      <c r="AN212" s="96"/>
      <c r="AO212" s="96"/>
      <c r="AP212" s="96"/>
      <c r="AQ212" s="96"/>
      <c r="AR212" s="96"/>
      <c r="AS212" s="96"/>
      <c r="AT212" s="96"/>
      <c r="AU212" s="96"/>
      <c r="AV212" s="96"/>
      <c r="AW212" s="96"/>
      <c r="AX212" s="96"/>
      <c r="AY212" s="96"/>
      <c r="AZ212" s="96"/>
      <c r="BA212" s="96"/>
      <c r="BB212" s="96"/>
    </row>
    <row r="213" spans="2:54" x14ac:dyDescent="0.25">
      <c r="B213" s="96"/>
      <c r="C213" s="96"/>
      <c r="D213" s="96"/>
      <c r="E213" s="96"/>
      <c r="F213" s="96"/>
      <c r="G213" s="96"/>
      <c r="H213" s="96"/>
      <c r="I213" s="96"/>
      <c r="J213" s="96"/>
      <c r="K213" s="96"/>
      <c r="L213" s="96"/>
      <c r="M213" s="96"/>
      <c r="N213" s="96"/>
      <c r="O213" s="96"/>
      <c r="P213" s="96"/>
      <c r="Q213" s="96"/>
      <c r="R213" s="96"/>
      <c r="S213" s="96"/>
      <c r="T213" s="96"/>
      <c r="U213" s="96"/>
      <c r="V213" s="96"/>
      <c r="W213" s="96"/>
      <c r="X213" s="96"/>
      <c r="Y213" s="96"/>
      <c r="Z213" s="96"/>
      <c r="AA213" s="96"/>
      <c r="AB213" s="96"/>
      <c r="AC213" s="96"/>
      <c r="AD213" s="96"/>
      <c r="AE213" s="96"/>
      <c r="AF213" s="96"/>
      <c r="AG213" s="96"/>
      <c r="AH213" s="96"/>
      <c r="AI213" s="96"/>
      <c r="AJ213" s="96"/>
      <c r="AK213" s="96"/>
      <c r="AL213" s="96"/>
      <c r="AM213" s="96"/>
      <c r="AN213" s="96"/>
      <c r="AO213" s="96"/>
      <c r="AP213" s="96"/>
      <c r="AQ213" s="96"/>
      <c r="AR213" s="96"/>
      <c r="AS213" s="96"/>
      <c r="AT213" s="96"/>
      <c r="AU213" s="96"/>
      <c r="AV213" s="96"/>
      <c r="AW213" s="96"/>
      <c r="AX213" s="96"/>
      <c r="AY213" s="96"/>
      <c r="AZ213" s="96"/>
      <c r="BA213" s="96"/>
      <c r="BB213" s="96"/>
    </row>
    <row r="214" spans="2:54" x14ac:dyDescent="0.25">
      <c r="B214" s="96"/>
      <c r="C214" s="96"/>
      <c r="D214" s="96"/>
      <c r="E214" s="96"/>
      <c r="F214" s="96"/>
      <c r="G214" s="96"/>
      <c r="H214" s="96"/>
      <c r="I214" s="96"/>
      <c r="J214" s="96"/>
      <c r="K214" s="96"/>
      <c r="L214" s="96"/>
      <c r="M214" s="96"/>
      <c r="N214" s="96"/>
      <c r="O214" s="96"/>
      <c r="P214" s="96"/>
      <c r="Q214" s="96"/>
      <c r="R214" s="96"/>
      <c r="S214" s="96"/>
      <c r="T214" s="96"/>
      <c r="U214" s="96"/>
      <c r="V214" s="96"/>
      <c r="W214" s="96"/>
      <c r="X214" s="96"/>
      <c r="Y214" s="96"/>
      <c r="Z214" s="96"/>
      <c r="AA214" s="96"/>
      <c r="AB214" s="96"/>
      <c r="AC214" s="96"/>
      <c r="AD214" s="96"/>
      <c r="AE214" s="96"/>
      <c r="AF214" s="96"/>
      <c r="AG214" s="96"/>
      <c r="AH214" s="96"/>
      <c r="AI214" s="96"/>
      <c r="AJ214" s="96"/>
      <c r="AK214" s="96"/>
      <c r="AL214" s="96"/>
      <c r="AM214" s="96"/>
      <c r="AN214" s="96"/>
      <c r="AO214" s="96"/>
      <c r="AP214" s="96"/>
      <c r="AQ214" s="96"/>
      <c r="AR214" s="96"/>
      <c r="AS214" s="96"/>
      <c r="AT214" s="96"/>
      <c r="AU214" s="96"/>
      <c r="AV214" s="96"/>
      <c r="AW214" s="96"/>
      <c r="AX214" s="96"/>
      <c r="AY214" s="96"/>
      <c r="AZ214" s="96"/>
      <c r="BA214" s="96"/>
      <c r="BB214" s="96"/>
    </row>
    <row r="215" spans="2:54" x14ac:dyDescent="0.25">
      <c r="B215" s="96"/>
      <c r="C215" s="96"/>
      <c r="D215" s="96"/>
      <c r="E215" s="96"/>
      <c r="F215" s="96"/>
      <c r="G215" s="96"/>
      <c r="H215" s="96"/>
      <c r="I215" s="96"/>
      <c r="J215" s="96"/>
      <c r="K215" s="96"/>
      <c r="L215" s="96"/>
      <c r="M215" s="96"/>
      <c r="N215" s="96"/>
      <c r="O215" s="96"/>
      <c r="P215" s="96"/>
      <c r="Q215" s="96"/>
      <c r="R215" s="96"/>
      <c r="S215" s="96"/>
      <c r="T215" s="96"/>
      <c r="U215" s="96"/>
      <c r="V215" s="96"/>
      <c r="W215" s="96"/>
      <c r="X215" s="96"/>
      <c r="Y215" s="96"/>
      <c r="Z215" s="96"/>
      <c r="AA215" s="96"/>
      <c r="AB215" s="96"/>
      <c r="AC215" s="96"/>
      <c r="AD215" s="96"/>
      <c r="AE215" s="96"/>
      <c r="AF215" s="96"/>
      <c r="AG215" s="96"/>
      <c r="AH215" s="96"/>
      <c r="AI215" s="96"/>
      <c r="AJ215" s="96"/>
      <c r="AK215" s="96"/>
      <c r="AL215" s="96"/>
      <c r="AM215" s="96"/>
      <c r="AN215" s="96"/>
      <c r="AO215" s="96"/>
      <c r="AP215" s="96"/>
      <c r="AQ215" s="96"/>
      <c r="AR215" s="96"/>
      <c r="AS215" s="96"/>
      <c r="AT215" s="96"/>
      <c r="AU215" s="96"/>
      <c r="AV215" s="96"/>
      <c r="AW215" s="96"/>
      <c r="AX215" s="96"/>
      <c r="AY215" s="96"/>
      <c r="AZ215" s="96"/>
      <c r="BA215" s="96"/>
      <c r="BB215" s="96"/>
    </row>
    <row r="216" spans="2:54" x14ac:dyDescent="0.25">
      <c r="B216" s="96"/>
      <c r="C216" s="96"/>
      <c r="D216" s="96"/>
      <c r="E216" s="96"/>
      <c r="F216" s="96"/>
      <c r="G216" s="96"/>
      <c r="H216" s="96"/>
      <c r="I216" s="96"/>
      <c r="J216" s="96"/>
      <c r="K216" s="96"/>
      <c r="L216" s="96"/>
      <c r="M216" s="96"/>
      <c r="N216" s="96"/>
      <c r="O216" s="96"/>
      <c r="P216" s="96"/>
      <c r="Q216" s="96"/>
      <c r="R216" s="96"/>
      <c r="S216" s="96"/>
      <c r="T216" s="96"/>
      <c r="U216" s="96"/>
      <c r="V216" s="96"/>
      <c r="W216" s="96"/>
      <c r="X216" s="96"/>
      <c r="Y216" s="96"/>
      <c r="Z216" s="96"/>
      <c r="AA216" s="96"/>
      <c r="AB216" s="96"/>
      <c r="AC216" s="96"/>
      <c r="AD216" s="96"/>
      <c r="AE216" s="96"/>
      <c r="AF216" s="96"/>
      <c r="AG216" s="96"/>
      <c r="AH216" s="96"/>
      <c r="AI216" s="96"/>
      <c r="AJ216" s="96"/>
      <c r="AK216" s="96"/>
      <c r="AL216" s="96"/>
      <c r="AM216" s="96"/>
      <c r="AN216" s="96"/>
      <c r="AO216" s="96"/>
      <c r="AP216" s="96"/>
      <c r="AQ216" s="96"/>
      <c r="AR216" s="96"/>
      <c r="AS216" s="96"/>
      <c r="AT216" s="96"/>
      <c r="AU216" s="96"/>
      <c r="AV216" s="96"/>
      <c r="AW216" s="96"/>
      <c r="AX216" s="96"/>
      <c r="AY216" s="96"/>
      <c r="AZ216" s="96"/>
      <c r="BA216" s="96"/>
      <c r="BB216" s="96"/>
    </row>
    <row r="217" spans="2:54" x14ac:dyDescent="0.25">
      <c r="B217" s="96"/>
      <c r="C217" s="96"/>
      <c r="D217" s="96"/>
      <c r="E217" s="96"/>
      <c r="F217" s="96"/>
      <c r="G217" s="96"/>
      <c r="H217" s="96"/>
      <c r="I217" s="96"/>
      <c r="J217" s="96"/>
      <c r="K217" s="96"/>
      <c r="L217" s="96"/>
      <c r="M217" s="96"/>
      <c r="N217" s="96"/>
      <c r="O217" s="96"/>
      <c r="P217" s="96"/>
      <c r="Q217" s="96"/>
      <c r="R217" s="96"/>
      <c r="S217" s="96"/>
      <c r="T217" s="96"/>
      <c r="U217" s="96"/>
      <c r="V217" s="96"/>
      <c r="W217" s="96"/>
      <c r="X217" s="96"/>
      <c r="Y217" s="96"/>
      <c r="Z217" s="96"/>
      <c r="AA217" s="96"/>
      <c r="AB217" s="96"/>
      <c r="AC217" s="96"/>
      <c r="AD217" s="96"/>
      <c r="AE217" s="96"/>
      <c r="AF217" s="96"/>
      <c r="AG217" s="96"/>
      <c r="AH217" s="96"/>
      <c r="AI217" s="96"/>
      <c r="AJ217" s="96"/>
      <c r="AK217" s="96"/>
      <c r="AL217" s="96"/>
      <c r="AM217" s="96"/>
      <c r="AN217" s="96"/>
      <c r="AO217" s="96"/>
      <c r="AP217" s="96"/>
      <c r="AQ217" s="96"/>
      <c r="AR217" s="96"/>
      <c r="AS217" s="96"/>
      <c r="AT217" s="96"/>
      <c r="AU217" s="96"/>
      <c r="AV217" s="96"/>
      <c r="AW217" s="96"/>
      <c r="AX217" s="96"/>
      <c r="AY217" s="96"/>
      <c r="AZ217" s="96"/>
      <c r="BA217" s="96"/>
      <c r="BB217" s="96"/>
    </row>
    <row r="218" spans="2:54" x14ac:dyDescent="0.25">
      <c r="B218" s="96"/>
      <c r="C218" s="96"/>
      <c r="D218" s="96"/>
      <c r="E218" s="96"/>
      <c r="F218" s="96"/>
      <c r="G218" s="96"/>
      <c r="H218" s="96"/>
      <c r="I218" s="96"/>
      <c r="J218" s="96"/>
      <c r="K218" s="96"/>
      <c r="L218" s="96"/>
      <c r="M218" s="96"/>
      <c r="N218" s="96"/>
      <c r="O218" s="96"/>
      <c r="P218" s="96"/>
      <c r="Q218" s="96"/>
      <c r="R218" s="96"/>
      <c r="S218" s="96"/>
      <c r="T218" s="96"/>
      <c r="U218" s="96"/>
      <c r="V218" s="96"/>
      <c r="W218" s="96"/>
      <c r="X218" s="96"/>
      <c r="Y218" s="96"/>
      <c r="Z218" s="96"/>
      <c r="AA218" s="96"/>
      <c r="AB218" s="96"/>
      <c r="AC218" s="96"/>
      <c r="AD218" s="96"/>
      <c r="AE218" s="96"/>
      <c r="AF218" s="96"/>
      <c r="AG218" s="96"/>
      <c r="AH218" s="96"/>
      <c r="AI218" s="96"/>
      <c r="AJ218" s="96"/>
      <c r="AK218" s="96"/>
      <c r="AL218" s="96"/>
      <c r="AM218" s="96"/>
      <c r="AN218" s="96"/>
      <c r="AO218" s="96"/>
      <c r="AP218" s="96"/>
      <c r="AQ218" s="96"/>
      <c r="AR218" s="96"/>
      <c r="AS218" s="96"/>
      <c r="AT218" s="96"/>
      <c r="AU218" s="96"/>
      <c r="AV218" s="96"/>
      <c r="AW218" s="96"/>
      <c r="AX218" s="96"/>
      <c r="AY218" s="96"/>
      <c r="AZ218" s="96"/>
      <c r="BA218" s="96"/>
      <c r="BB218" s="96"/>
    </row>
    <row r="219" spans="2:54" x14ac:dyDescent="0.25">
      <c r="B219" s="96"/>
      <c r="C219" s="96"/>
      <c r="D219" s="96"/>
      <c r="E219" s="96"/>
      <c r="F219" s="96"/>
      <c r="G219" s="96"/>
      <c r="H219" s="96"/>
      <c r="I219" s="96"/>
      <c r="J219" s="96"/>
      <c r="K219" s="96"/>
      <c r="L219" s="96"/>
      <c r="M219" s="96"/>
      <c r="N219" s="96"/>
      <c r="O219" s="96"/>
      <c r="P219" s="96"/>
      <c r="Q219" s="96"/>
      <c r="R219" s="96"/>
      <c r="S219" s="96"/>
      <c r="T219" s="96"/>
      <c r="U219" s="96"/>
      <c r="V219" s="96"/>
      <c r="W219" s="96"/>
      <c r="X219" s="96"/>
      <c r="Y219" s="96"/>
      <c r="Z219" s="96"/>
      <c r="AA219" s="96"/>
      <c r="AB219" s="96"/>
      <c r="AC219" s="96"/>
      <c r="AD219" s="96"/>
      <c r="AE219" s="96"/>
      <c r="AF219" s="96"/>
      <c r="AG219" s="96"/>
      <c r="AH219" s="96"/>
      <c r="AI219" s="96"/>
      <c r="AJ219" s="96"/>
      <c r="AK219" s="96"/>
      <c r="AL219" s="96"/>
      <c r="AM219" s="96"/>
      <c r="AN219" s="96"/>
      <c r="AO219" s="96"/>
      <c r="AP219" s="96"/>
      <c r="AQ219" s="96"/>
      <c r="AR219" s="96"/>
      <c r="AS219" s="96"/>
      <c r="AT219" s="96"/>
      <c r="AU219" s="96"/>
      <c r="AV219" s="96"/>
      <c r="AW219" s="96"/>
      <c r="AX219" s="96"/>
      <c r="AY219" s="96"/>
      <c r="AZ219" s="96"/>
      <c r="BA219" s="96"/>
      <c r="BB219" s="96"/>
    </row>
    <row r="220" spans="2:54" x14ac:dyDescent="0.25">
      <c r="B220" s="96"/>
      <c r="C220" s="96"/>
      <c r="D220" s="96"/>
      <c r="E220" s="96"/>
      <c r="F220" s="96"/>
      <c r="G220" s="96"/>
      <c r="H220" s="96"/>
      <c r="I220" s="96"/>
      <c r="J220" s="96"/>
      <c r="K220" s="96"/>
      <c r="L220" s="96"/>
      <c r="M220" s="96"/>
      <c r="N220" s="96"/>
      <c r="O220" s="96"/>
      <c r="P220" s="96"/>
      <c r="Q220" s="96"/>
      <c r="R220" s="96"/>
      <c r="S220" s="96"/>
      <c r="T220" s="96"/>
      <c r="U220" s="96"/>
      <c r="V220" s="96"/>
      <c r="W220" s="96"/>
      <c r="X220" s="96"/>
      <c r="Y220" s="96"/>
      <c r="Z220" s="96"/>
      <c r="AA220" s="96"/>
      <c r="AB220" s="96"/>
      <c r="AC220" s="96"/>
      <c r="AD220" s="96"/>
      <c r="AE220" s="96"/>
      <c r="AF220" s="96"/>
      <c r="AG220" s="96"/>
      <c r="AH220" s="96"/>
      <c r="AI220" s="96"/>
      <c r="AJ220" s="96"/>
      <c r="AK220" s="96"/>
      <c r="AL220" s="96"/>
      <c r="AM220" s="96"/>
      <c r="AN220" s="96"/>
      <c r="AO220" s="96"/>
      <c r="AP220" s="96"/>
      <c r="AQ220" s="96"/>
      <c r="AR220" s="96"/>
      <c r="AS220" s="96"/>
      <c r="AT220" s="96"/>
      <c r="AU220" s="96"/>
      <c r="AV220" s="96"/>
      <c r="AW220" s="96"/>
      <c r="AX220" s="96"/>
      <c r="AY220" s="96"/>
      <c r="AZ220" s="96"/>
      <c r="BA220" s="96"/>
      <c r="BB220" s="96"/>
    </row>
    <row r="221" spans="2:54" x14ac:dyDescent="0.25">
      <c r="B221" s="96"/>
      <c r="C221" s="96"/>
      <c r="D221" s="96"/>
      <c r="E221" s="96"/>
      <c r="F221" s="96"/>
      <c r="G221" s="96"/>
      <c r="H221" s="96"/>
      <c r="I221" s="96"/>
      <c r="J221" s="96"/>
      <c r="K221" s="96"/>
      <c r="L221" s="96"/>
      <c r="M221" s="96"/>
      <c r="N221" s="96"/>
      <c r="O221" s="96"/>
      <c r="P221" s="96"/>
      <c r="Q221" s="96"/>
      <c r="R221" s="96"/>
      <c r="S221" s="96"/>
      <c r="T221" s="96"/>
      <c r="U221" s="96"/>
      <c r="V221" s="96"/>
      <c r="W221" s="96"/>
      <c r="X221" s="96"/>
      <c r="Y221" s="96"/>
      <c r="Z221" s="96"/>
      <c r="AA221" s="96"/>
      <c r="AB221" s="96"/>
      <c r="AC221" s="96"/>
      <c r="AD221" s="96"/>
      <c r="AE221" s="96"/>
      <c r="AF221" s="96"/>
      <c r="AG221" s="96"/>
      <c r="AH221" s="96"/>
      <c r="AI221" s="96"/>
      <c r="AJ221" s="96"/>
      <c r="AK221" s="96"/>
      <c r="AL221" s="96"/>
      <c r="AM221" s="96"/>
      <c r="AN221" s="96"/>
      <c r="AO221" s="96"/>
      <c r="AP221" s="96"/>
      <c r="AQ221" s="96"/>
      <c r="AR221" s="96"/>
      <c r="AS221" s="96"/>
      <c r="AT221" s="96"/>
      <c r="AU221" s="96"/>
      <c r="AV221" s="96"/>
      <c r="AW221" s="96"/>
      <c r="AX221" s="96"/>
      <c r="AY221" s="96"/>
      <c r="AZ221" s="96"/>
      <c r="BA221" s="96"/>
      <c r="BB221" s="96"/>
    </row>
    <row r="222" spans="2:54" x14ac:dyDescent="0.25">
      <c r="B222" s="96"/>
      <c r="C222" s="96"/>
      <c r="D222" s="96"/>
      <c r="E222" s="96"/>
      <c r="F222" s="96"/>
      <c r="G222" s="96"/>
      <c r="H222" s="96"/>
      <c r="I222" s="96"/>
      <c r="J222" s="96"/>
      <c r="K222" s="96"/>
      <c r="L222" s="96"/>
      <c r="M222" s="96"/>
      <c r="N222" s="96"/>
      <c r="O222" s="96"/>
      <c r="P222" s="96"/>
      <c r="Q222" s="96"/>
      <c r="R222" s="96"/>
      <c r="S222" s="96"/>
      <c r="T222" s="96"/>
      <c r="U222" s="96"/>
      <c r="V222" s="96"/>
      <c r="W222" s="96"/>
      <c r="X222" s="96"/>
      <c r="Y222" s="96"/>
      <c r="Z222" s="96"/>
      <c r="AA222" s="96"/>
      <c r="AB222" s="96"/>
      <c r="AC222" s="96"/>
      <c r="AD222" s="96"/>
      <c r="AE222" s="96"/>
      <c r="AF222" s="96"/>
      <c r="AG222" s="96"/>
      <c r="AH222" s="96"/>
      <c r="AI222" s="96"/>
      <c r="AJ222" s="96"/>
      <c r="AK222" s="96"/>
      <c r="AL222" s="96"/>
      <c r="AM222" s="96"/>
      <c r="AN222" s="96"/>
      <c r="AO222" s="96"/>
      <c r="AP222" s="96"/>
      <c r="AQ222" s="96"/>
      <c r="AR222" s="96"/>
      <c r="AS222" s="96"/>
      <c r="AT222" s="96"/>
      <c r="AU222" s="96"/>
      <c r="AV222" s="96"/>
      <c r="AW222" s="96"/>
      <c r="AX222" s="96"/>
      <c r="AY222" s="96"/>
      <c r="AZ222" s="96"/>
      <c r="BA222" s="96"/>
      <c r="BB222" s="96"/>
    </row>
    <row r="223" spans="2:54" x14ac:dyDescent="0.25">
      <c r="B223" s="96"/>
      <c r="C223" s="96"/>
      <c r="D223" s="96"/>
      <c r="E223" s="96"/>
      <c r="F223" s="96"/>
      <c r="G223" s="96"/>
      <c r="H223" s="96"/>
      <c r="I223" s="96"/>
      <c r="J223" s="96"/>
      <c r="K223" s="96"/>
      <c r="L223" s="96"/>
      <c r="M223" s="96"/>
      <c r="N223" s="96"/>
      <c r="O223" s="96"/>
      <c r="P223" s="96"/>
      <c r="Q223" s="96"/>
      <c r="R223" s="96"/>
      <c r="S223" s="96"/>
      <c r="T223" s="96"/>
      <c r="U223" s="96"/>
      <c r="V223" s="96"/>
      <c r="W223" s="96"/>
      <c r="X223" s="96"/>
      <c r="Y223" s="96"/>
      <c r="Z223" s="96"/>
      <c r="AA223" s="96"/>
      <c r="AB223" s="96"/>
      <c r="AC223" s="96"/>
      <c r="AD223" s="96"/>
      <c r="AE223" s="96"/>
      <c r="AF223" s="96"/>
      <c r="AG223" s="96"/>
      <c r="AH223" s="96"/>
      <c r="AI223" s="96"/>
      <c r="AJ223" s="96"/>
      <c r="AK223" s="96"/>
      <c r="AL223" s="96"/>
      <c r="AM223" s="96"/>
      <c r="AN223" s="96"/>
      <c r="AO223" s="96"/>
      <c r="AP223" s="96"/>
      <c r="AQ223" s="96"/>
      <c r="AR223" s="96"/>
      <c r="AS223" s="96"/>
      <c r="AT223" s="96"/>
      <c r="AU223" s="96"/>
      <c r="AV223" s="96"/>
      <c r="AW223" s="96"/>
      <c r="AX223" s="96"/>
      <c r="AY223" s="96"/>
      <c r="AZ223" s="96"/>
      <c r="BA223" s="96"/>
      <c r="BB223" s="96"/>
    </row>
    <row r="224" spans="2:54" x14ac:dyDescent="0.25">
      <c r="B224" s="96"/>
      <c r="C224" s="96"/>
      <c r="D224" s="96"/>
      <c r="E224" s="96"/>
      <c r="F224" s="96"/>
      <c r="G224" s="96"/>
      <c r="H224" s="96"/>
      <c r="I224" s="96"/>
      <c r="J224" s="96"/>
      <c r="K224" s="96"/>
      <c r="L224" s="96"/>
      <c r="M224" s="96"/>
      <c r="N224" s="96"/>
      <c r="O224" s="96"/>
      <c r="P224" s="96"/>
      <c r="Q224" s="96"/>
      <c r="R224" s="96"/>
      <c r="S224" s="96"/>
      <c r="T224" s="96"/>
      <c r="U224" s="96"/>
      <c r="V224" s="96"/>
      <c r="W224" s="96"/>
      <c r="X224" s="96"/>
      <c r="Y224" s="96"/>
      <c r="Z224" s="96"/>
      <c r="AA224" s="96"/>
      <c r="AB224" s="96"/>
      <c r="AC224" s="96"/>
      <c r="AD224" s="96"/>
      <c r="AE224" s="96"/>
      <c r="AF224" s="96"/>
      <c r="AG224" s="96"/>
      <c r="AH224" s="96"/>
      <c r="AI224" s="96"/>
      <c r="AJ224" s="96"/>
      <c r="AK224" s="96"/>
      <c r="AL224" s="96"/>
      <c r="AM224" s="96"/>
      <c r="AN224" s="96"/>
      <c r="AO224" s="96"/>
      <c r="AP224" s="96"/>
      <c r="AQ224" s="96"/>
      <c r="AR224" s="96"/>
      <c r="AS224" s="96"/>
      <c r="AT224" s="96"/>
      <c r="AU224" s="96"/>
      <c r="AV224" s="96"/>
      <c r="AW224" s="96"/>
      <c r="AX224" s="96"/>
      <c r="AY224" s="96"/>
      <c r="AZ224" s="96"/>
      <c r="BA224" s="96"/>
      <c r="BB224" s="96"/>
    </row>
    <row r="225" spans="2:54" x14ac:dyDescent="0.25">
      <c r="B225" s="96"/>
      <c r="C225" s="96"/>
      <c r="D225" s="96"/>
      <c r="E225" s="96"/>
      <c r="F225" s="96"/>
      <c r="G225" s="96"/>
      <c r="H225" s="96"/>
      <c r="I225" s="96"/>
      <c r="J225" s="96"/>
      <c r="K225" s="96"/>
      <c r="L225" s="96"/>
      <c r="M225" s="96"/>
      <c r="N225" s="96"/>
      <c r="O225" s="96"/>
      <c r="P225" s="96"/>
      <c r="Q225" s="96"/>
      <c r="R225" s="96"/>
      <c r="S225" s="96"/>
      <c r="T225" s="96"/>
      <c r="U225" s="96"/>
      <c r="V225" s="96"/>
      <c r="W225" s="96"/>
      <c r="X225" s="96"/>
      <c r="Y225" s="96"/>
      <c r="Z225" s="96"/>
      <c r="AA225" s="96"/>
      <c r="AB225" s="96"/>
      <c r="AC225" s="96"/>
      <c r="AD225" s="96"/>
      <c r="AE225" s="96"/>
      <c r="AF225" s="96"/>
      <c r="AG225" s="96"/>
      <c r="AH225" s="96"/>
      <c r="AI225" s="96"/>
      <c r="AJ225" s="96"/>
      <c r="AK225" s="96"/>
      <c r="AL225" s="96"/>
      <c r="AM225" s="96"/>
      <c r="AN225" s="96"/>
      <c r="AO225" s="96"/>
      <c r="AP225" s="96"/>
      <c r="AQ225" s="96"/>
      <c r="AR225" s="96"/>
      <c r="AS225" s="96"/>
      <c r="AT225" s="96"/>
      <c r="AU225" s="96"/>
      <c r="AV225" s="96"/>
      <c r="AW225" s="96"/>
      <c r="AX225" s="96"/>
      <c r="AY225" s="96"/>
      <c r="AZ225" s="96"/>
      <c r="BA225" s="96"/>
      <c r="BB225" s="96"/>
    </row>
    <row r="226" spans="2:54" x14ac:dyDescent="0.25">
      <c r="B226" s="96"/>
      <c r="C226" s="96"/>
      <c r="D226" s="96"/>
      <c r="E226" s="96"/>
      <c r="F226" s="96"/>
      <c r="G226" s="96"/>
      <c r="H226" s="96"/>
      <c r="I226" s="96"/>
      <c r="J226" s="96"/>
      <c r="K226" s="96"/>
      <c r="L226" s="96"/>
      <c r="M226" s="96"/>
      <c r="N226" s="96"/>
      <c r="O226" s="96"/>
      <c r="P226" s="96"/>
      <c r="Q226" s="96"/>
      <c r="R226" s="96"/>
      <c r="S226" s="96"/>
      <c r="T226" s="96"/>
      <c r="U226" s="96"/>
      <c r="V226" s="96"/>
      <c r="W226" s="96"/>
      <c r="X226" s="96"/>
      <c r="Y226" s="96"/>
      <c r="Z226" s="96"/>
      <c r="AA226" s="96"/>
      <c r="AB226" s="96"/>
      <c r="AC226" s="96"/>
      <c r="AD226" s="96"/>
      <c r="AE226" s="96"/>
      <c r="AF226" s="96"/>
      <c r="AG226" s="96"/>
      <c r="AH226" s="96"/>
      <c r="AI226" s="96"/>
      <c r="AJ226" s="96"/>
      <c r="AK226" s="96"/>
      <c r="AL226" s="96"/>
      <c r="AM226" s="96"/>
      <c r="AN226" s="96"/>
      <c r="AO226" s="96"/>
      <c r="AP226" s="96"/>
      <c r="AQ226" s="96"/>
      <c r="AR226" s="96"/>
      <c r="AS226" s="96"/>
      <c r="AT226" s="96"/>
      <c r="AU226" s="96"/>
      <c r="AV226" s="96"/>
      <c r="AW226" s="96"/>
      <c r="AX226" s="96"/>
      <c r="AY226" s="96"/>
      <c r="AZ226" s="96"/>
      <c r="BA226" s="96"/>
      <c r="BB226" s="96"/>
    </row>
    <row r="227" spans="2:54" x14ac:dyDescent="0.25">
      <c r="B227" s="96"/>
      <c r="C227" s="96"/>
      <c r="D227" s="96"/>
      <c r="E227" s="96"/>
      <c r="F227" s="96"/>
      <c r="G227" s="96"/>
      <c r="H227" s="96"/>
      <c r="I227" s="96"/>
      <c r="J227" s="96"/>
      <c r="K227" s="96"/>
      <c r="L227" s="96"/>
      <c r="M227" s="96"/>
      <c r="N227" s="96"/>
      <c r="O227" s="96"/>
      <c r="P227" s="96"/>
      <c r="Q227" s="96"/>
      <c r="R227" s="96"/>
      <c r="S227" s="96"/>
      <c r="T227" s="96"/>
      <c r="U227" s="96"/>
      <c r="V227" s="96"/>
      <c r="W227" s="96"/>
      <c r="X227" s="96"/>
      <c r="Y227" s="96"/>
      <c r="Z227" s="96"/>
      <c r="AA227" s="96"/>
      <c r="AB227" s="96"/>
      <c r="AC227" s="96"/>
      <c r="AD227" s="96"/>
      <c r="AE227" s="96"/>
      <c r="AF227" s="96"/>
      <c r="AG227" s="96"/>
      <c r="AH227" s="96"/>
      <c r="AI227" s="96"/>
      <c r="AJ227" s="96"/>
      <c r="AK227" s="96"/>
      <c r="AL227" s="96"/>
      <c r="AM227" s="96"/>
      <c r="AN227" s="96"/>
      <c r="AO227" s="96"/>
      <c r="AP227" s="96"/>
      <c r="AQ227" s="96"/>
      <c r="AR227" s="96"/>
      <c r="AS227" s="96"/>
      <c r="AT227" s="96"/>
      <c r="AU227" s="96"/>
      <c r="AV227" s="96"/>
      <c r="AW227" s="96"/>
      <c r="AX227" s="96"/>
      <c r="AY227" s="96"/>
      <c r="AZ227" s="96"/>
      <c r="BA227" s="96"/>
      <c r="BB227" s="96"/>
    </row>
    <row r="228" spans="2:54" x14ac:dyDescent="0.25">
      <c r="B228" s="96"/>
      <c r="C228" s="96"/>
      <c r="D228" s="96"/>
      <c r="E228" s="96"/>
      <c r="F228" s="96"/>
      <c r="G228" s="96"/>
      <c r="H228" s="96"/>
      <c r="I228" s="96"/>
      <c r="J228" s="96"/>
      <c r="K228" s="96"/>
      <c r="L228" s="96"/>
      <c r="M228" s="96"/>
      <c r="N228" s="96"/>
      <c r="O228" s="96"/>
      <c r="P228" s="96"/>
      <c r="Q228" s="96"/>
      <c r="R228" s="96"/>
      <c r="S228" s="96"/>
      <c r="T228" s="96"/>
      <c r="U228" s="96"/>
      <c r="V228" s="96"/>
      <c r="W228" s="96"/>
      <c r="X228" s="96"/>
      <c r="Y228" s="96"/>
      <c r="Z228" s="96"/>
      <c r="AA228" s="96"/>
      <c r="AB228" s="96"/>
      <c r="AC228" s="96"/>
      <c r="AD228" s="96"/>
      <c r="AE228" s="96"/>
      <c r="AF228" s="96"/>
      <c r="AG228" s="96"/>
      <c r="AH228" s="96"/>
      <c r="AI228" s="96"/>
      <c r="AJ228" s="96"/>
      <c r="AK228" s="96"/>
      <c r="AL228" s="96"/>
      <c r="AM228" s="96"/>
      <c r="AN228" s="96"/>
      <c r="AO228" s="96"/>
      <c r="AP228" s="96"/>
      <c r="AQ228" s="96"/>
      <c r="AR228" s="96"/>
      <c r="AS228" s="96"/>
      <c r="AT228" s="96"/>
      <c r="AU228" s="96"/>
      <c r="AV228" s="96"/>
      <c r="AW228" s="96"/>
      <c r="AX228" s="96"/>
      <c r="AY228" s="96"/>
      <c r="AZ228" s="96"/>
      <c r="BA228" s="96"/>
      <c r="BB228" s="96"/>
    </row>
    <row r="229" spans="2:54" x14ac:dyDescent="0.25">
      <c r="B229" s="96"/>
      <c r="C229" s="96"/>
      <c r="D229" s="96"/>
      <c r="E229" s="96"/>
      <c r="F229" s="96"/>
      <c r="G229" s="96"/>
      <c r="H229" s="96"/>
      <c r="I229" s="96"/>
      <c r="J229" s="96"/>
      <c r="K229" s="96"/>
      <c r="L229" s="96"/>
      <c r="M229" s="96"/>
      <c r="N229" s="96"/>
      <c r="O229" s="96"/>
      <c r="P229" s="96"/>
      <c r="Q229" s="96"/>
      <c r="R229" s="96"/>
      <c r="S229" s="96"/>
      <c r="T229" s="96"/>
      <c r="U229" s="96"/>
      <c r="V229" s="96"/>
      <c r="W229" s="96"/>
      <c r="X229" s="96"/>
      <c r="Y229" s="96"/>
      <c r="Z229" s="96"/>
      <c r="AA229" s="96"/>
      <c r="AB229" s="96"/>
      <c r="AC229" s="96"/>
      <c r="AD229" s="96"/>
      <c r="AE229" s="96"/>
      <c r="AF229" s="96"/>
      <c r="AG229" s="96"/>
      <c r="AH229" s="96"/>
      <c r="AI229" s="96"/>
      <c r="AJ229" s="96"/>
      <c r="AK229" s="96"/>
      <c r="AL229" s="96"/>
      <c r="AM229" s="96"/>
      <c r="AN229" s="96"/>
      <c r="AO229" s="96"/>
      <c r="AP229" s="96"/>
      <c r="AQ229" s="96"/>
      <c r="AR229" s="96"/>
      <c r="AS229" s="96"/>
      <c r="AT229" s="96"/>
      <c r="AU229" s="96"/>
      <c r="AV229" s="96"/>
      <c r="AW229" s="96"/>
      <c r="AX229" s="96"/>
      <c r="AY229" s="96"/>
      <c r="AZ229" s="96"/>
      <c r="BA229" s="96"/>
      <c r="BB229" s="96"/>
    </row>
    <row r="230" spans="2:54" x14ac:dyDescent="0.25">
      <c r="B230" s="96"/>
      <c r="C230" s="96"/>
      <c r="D230" s="96"/>
      <c r="E230" s="96"/>
      <c r="F230" s="96"/>
      <c r="G230" s="96"/>
      <c r="H230" s="96"/>
      <c r="I230" s="96"/>
      <c r="J230" s="96"/>
      <c r="K230" s="96"/>
      <c r="L230" s="96"/>
      <c r="M230" s="96"/>
      <c r="N230" s="96"/>
      <c r="O230" s="96"/>
      <c r="P230" s="96"/>
      <c r="Q230" s="96"/>
      <c r="R230" s="96"/>
      <c r="S230" s="96"/>
      <c r="T230" s="96"/>
      <c r="U230" s="96"/>
      <c r="V230" s="96"/>
      <c r="W230" s="96"/>
      <c r="X230" s="96"/>
      <c r="Y230" s="96"/>
      <c r="Z230" s="96"/>
      <c r="AA230" s="96"/>
      <c r="AB230" s="96"/>
      <c r="AC230" s="96"/>
      <c r="AD230" s="96"/>
      <c r="AE230" s="96"/>
      <c r="AF230" s="96"/>
      <c r="AG230" s="96"/>
      <c r="AH230" s="96"/>
      <c r="AI230" s="96"/>
      <c r="AJ230" s="96"/>
      <c r="AK230" s="96"/>
      <c r="AL230" s="96"/>
      <c r="AM230" s="96"/>
      <c r="AN230" s="96"/>
      <c r="AO230" s="96"/>
      <c r="AP230" s="96"/>
      <c r="AQ230" s="96"/>
      <c r="AR230" s="96"/>
      <c r="AS230" s="96"/>
      <c r="AT230" s="96"/>
      <c r="AU230" s="96"/>
      <c r="AV230" s="96"/>
      <c r="AW230" s="96"/>
      <c r="AX230" s="96"/>
      <c r="AY230" s="96"/>
      <c r="AZ230" s="96"/>
      <c r="BA230" s="96"/>
      <c r="BB230" s="96"/>
    </row>
    <row r="231" spans="2:54" x14ac:dyDescent="0.25">
      <c r="B231" s="96"/>
      <c r="C231" s="96"/>
      <c r="D231" s="96"/>
      <c r="E231" s="96"/>
      <c r="F231" s="96"/>
      <c r="G231" s="96"/>
      <c r="H231" s="96"/>
      <c r="I231" s="96"/>
      <c r="J231" s="96"/>
      <c r="K231" s="96"/>
      <c r="L231" s="96"/>
      <c r="M231" s="96"/>
      <c r="N231" s="96"/>
      <c r="O231" s="96"/>
      <c r="P231" s="96"/>
      <c r="Q231" s="96"/>
      <c r="R231" s="96"/>
      <c r="S231" s="96"/>
      <c r="T231" s="96"/>
      <c r="U231" s="96"/>
      <c r="V231" s="96"/>
      <c r="W231" s="96"/>
      <c r="X231" s="96"/>
      <c r="Y231" s="96"/>
      <c r="Z231" s="96"/>
      <c r="AA231" s="96"/>
      <c r="AB231" s="96"/>
      <c r="AC231" s="96"/>
      <c r="AD231" s="96"/>
      <c r="AE231" s="96"/>
      <c r="AF231" s="96"/>
      <c r="AG231" s="96"/>
      <c r="AH231" s="96"/>
      <c r="AI231" s="96"/>
      <c r="AJ231" s="96"/>
      <c r="AK231" s="96"/>
      <c r="AL231" s="96"/>
      <c r="AM231" s="96"/>
      <c r="AN231" s="96"/>
      <c r="AO231" s="96"/>
      <c r="AP231" s="96"/>
      <c r="AQ231" s="96"/>
      <c r="AR231" s="96"/>
      <c r="AS231" s="96"/>
      <c r="AT231" s="96"/>
      <c r="AU231" s="96"/>
      <c r="AV231" s="96"/>
      <c r="AW231" s="96"/>
      <c r="AX231" s="96"/>
      <c r="AY231" s="96"/>
      <c r="AZ231" s="96"/>
      <c r="BA231" s="96"/>
      <c r="BB231" s="96"/>
    </row>
    <row r="232" spans="2:54" x14ac:dyDescent="0.25">
      <c r="B232" s="96"/>
      <c r="C232" s="96"/>
      <c r="D232" s="96"/>
      <c r="E232" s="96"/>
      <c r="F232" s="96"/>
      <c r="G232" s="96"/>
      <c r="H232" s="96"/>
      <c r="I232" s="96"/>
      <c r="J232" s="96"/>
      <c r="K232" s="96"/>
      <c r="L232" s="96"/>
      <c r="M232" s="96"/>
      <c r="N232" s="96"/>
      <c r="O232" s="96"/>
      <c r="P232" s="96"/>
      <c r="Q232" s="96"/>
      <c r="R232" s="96"/>
      <c r="S232" s="96"/>
      <c r="T232" s="96"/>
      <c r="U232" s="96"/>
      <c r="V232" s="96"/>
      <c r="W232" s="96"/>
      <c r="X232" s="96"/>
      <c r="Y232" s="96"/>
      <c r="Z232" s="96"/>
      <c r="AA232" s="96"/>
      <c r="AB232" s="96"/>
      <c r="AC232" s="96"/>
      <c r="AD232" s="96"/>
      <c r="AE232" s="96"/>
      <c r="AF232" s="96"/>
      <c r="AG232" s="96"/>
      <c r="AH232" s="96"/>
      <c r="AI232" s="96"/>
      <c r="AJ232" s="96"/>
      <c r="AK232" s="96"/>
      <c r="AL232" s="96"/>
      <c r="AM232" s="96"/>
      <c r="AN232" s="96"/>
      <c r="AO232" s="96"/>
      <c r="AP232" s="96"/>
      <c r="AQ232" s="96"/>
      <c r="AR232" s="96"/>
      <c r="AS232" s="96"/>
      <c r="AT232" s="96"/>
      <c r="AU232" s="96"/>
      <c r="AV232" s="96"/>
      <c r="AW232" s="96"/>
      <c r="AX232" s="96"/>
      <c r="AY232" s="96"/>
      <c r="AZ232" s="96"/>
      <c r="BA232" s="96"/>
      <c r="BB232" s="96"/>
    </row>
    <row r="233" spans="2:54" x14ac:dyDescent="0.25">
      <c r="B233" s="96"/>
      <c r="C233" s="96"/>
      <c r="D233" s="96"/>
      <c r="E233" s="96"/>
      <c r="F233" s="96"/>
      <c r="G233" s="96"/>
      <c r="H233" s="96"/>
      <c r="I233" s="96"/>
      <c r="J233" s="96"/>
      <c r="K233" s="96"/>
      <c r="L233" s="96"/>
      <c r="M233" s="96"/>
      <c r="N233" s="96"/>
      <c r="O233" s="96"/>
      <c r="P233" s="96"/>
      <c r="Q233" s="96"/>
      <c r="R233" s="96"/>
      <c r="S233" s="96"/>
      <c r="T233" s="96"/>
      <c r="U233" s="96"/>
      <c r="V233" s="96"/>
      <c r="W233" s="96"/>
      <c r="X233" s="96"/>
      <c r="Y233" s="96"/>
      <c r="Z233" s="96"/>
      <c r="AA233" s="96"/>
      <c r="AB233" s="96"/>
      <c r="AC233" s="96"/>
      <c r="AD233" s="96"/>
      <c r="AE233" s="96"/>
      <c r="AF233" s="96"/>
      <c r="AG233" s="96"/>
      <c r="AH233" s="96"/>
      <c r="AI233" s="96"/>
      <c r="AJ233" s="96"/>
      <c r="AK233" s="96"/>
      <c r="AL233" s="96"/>
      <c r="AM233" s="96"/>
      <c r="AN233" s="96"/>
      <c r="AO233" s="96"/>
      <c r="AP233" s="96"/>
      <c r="AQ233" s="96"/>
      <c r="AR233" s="96"/>
      <c r="AS233" s="96"/>
      <c r="AT233" s="96"/>
      <c r="AU233" s="96"/>
      <c r="AV233" s="96"/>
      <c r="AW233" s="96"/>
      <c r="AX233" s="96"/>
      <c r="AY233" s="96"/>
      <c r="AZ233" s="96"/>
      <c r="BA233" s="96"/>
      <c r="BB233" s="96"/>
    </row>
    <row r="234" spans="2:54" x14ac:dyDescent="0.25">
      <c r="B234" s="96"/>
      <c r="C234" s="96"/>
      <c r="D234" s="96"/>
      <c r="E234" s="96"/>
      <c r="F234" s="96"/>
      <c r="G234" s="96"/>
      <c r="H234" s="96"/>
      <c r="I234" s="96"/>
      <c r="J234" s="96"/>
      <c r="K234" s="96"/>
      <c r="L234" s="96"/>
      <c r="M234" s="96"/>
      <c r="N234" s="96"/>
      <c r="O234" s="96"/>
      <c r="P234" s="96"/>
      <c r="Q234" s="96"/>
      <c r="R234" s="96"/>
      <c r="S234" s="96"/>
      <c r="T234" s="96"/>
      <c r="U234" s="96"/>
      <c r="V234" s="96"/>
      <c r="W234" s="96"/>
      <c r="X234" s="96"/>
      <c r="Y234" s="96"/>
      <c r="Z234" s="96"/>
      <c r="AA234" s="96"/>
      <c r="AB234" s="96"/>
      <c r="AC234" s="96"/>
      <c r="AD234" s="96"/>
      <c r="AE234" s="96"/>
      <c r="AF234" s="96"/>
      <c r="AG234" s="96"/>
      <c r="AH234" s="96"/>
      <c r="AI234" s="96"/>
      <c r="AJ234" s="96"/>
      <c r="AK234" s="96"/>
      <c r="AL234" s="96"/>
      <c r="AM234" s="96"/>
      <c r="AN234" s="96"/>
      <c r="AO234" s="96"/>
      <c r="AP234" s="96"/>
      <c r="AQ234" s="96"/>
      <c r="AR234" s="96"/>
      <c r="AS234" s="96"/>
      <c r="AT234" s="96"/>
      <c r="AU234" s="96"/>
      <c r="AV234" s="96"/>
      <c r="AW234" s="96"/>
      <c r="AX234" s="96"/>
      <c r="AY234" s="96"/>
      <c r="AZ234" s="96"/>
      <c r="BA234" s="96"/>
      <c r="BB234" s="96"/>
    </row>
    <row r="235" spans="2:54" x14ac:dyDescent="0.25">
      <c r="B235" s="96"/>
      <c r="C235" s="96"/>
      <c r="D235" s="96"/>
      <c r="E235" s="96"/>
      <c r="F235" s="96"/>
      <c r="G235" s="96"/>
      <c r="H235" s="96"/>
      <c r="I235" s="96"/>
      <c r="J235" s="96"/>
      <c r="K235" s="96"/>
      <c r="L235" s="96"/>
      <c r="M235" s="96"/>
      <c r="N235" s="96"/>
      <c r="O235" s="96"/>
      <c r="P235" s="96"/>
      <c r="Q235" s="96"/>
      <c r="R235" s="96"/>
      <c r="S235" s="96"/>
      <c r="T235" s="96"/>
      <c r="U235" s="96"/>
      <c r="V235" s="96"/>
      <c r="W235" s="96"/>
      <c r="X235" s="96"/>
      <c r="Y235" s="96"/>
      <c r="Z235" s="96"/>
      <c r="AA235" s="96"/>
      <c r="AB235" s="96"/>
      <c r="AC235" s="96"/>
      <c r="AD235" s="96"/>
      <c r="AE235" s="96"/>
      <c r="AF235" s="96"/>
      <c r="AG235" s="96"/>
      <c r="AH235" s="96"/>
      <c r="AI235" s="96"/>
      <c r="AJ235" s="96"/>
      <c r="AK235" s="96"/>
      <c r="AL235" s="96"/>
      <c r="AM235" s="96"/>
      <c r="AN235" s="96"/>
      <c r="AO235" s="96"/>
      <c r="AP235" s="96"/>
      <c r="AQ235" s="96"/>
      <c r="AR235" s="96"/>
      <c r="AS235" s="96"/>
      <c r="AT235" s="96"/>
      <c r="AU235" s="96"/>
      <c r="AV235" s="96"/>
      <c r="AW235" s="96"/>
      <c r="AX235" s="96"/>
      <c r="AY235" s="96"/>
      <c r="AZ235" s="96"/>
      <c r="BA235" s="96"/>
      <c r="BB235" s="96"/>
    </row>
    <row r="236" spans="2:54" x14ac:dyDescent="0.25">
      <c r="B236" s="96"/>
      <c r="C236" s="96"/>
      <c r="D236" s="96"/>
      <c r="E236" s="96"/>
      <c r="F236" s="96"/>
      <c r="G236" s="96"/>
      <c r="H236" s="96"/>
      <c r="I236" s="96"/>
      <c r="J236" s="96"/>
      <c r="K236" s="96"/>
      <c r="L236" s="96"/>
      <c r="M236" s="96"/>
      <c r="N236" s="96"/>
      <c r="O236" s="96"/>
      <c r="P236" s="96"/>
      <c r="Q236" s="96"/>
      <c r="R236" s="96"/>
      <c r="S236" s="96"/>
      <c r="T236" s="96"/>
      <c r="U236" s="96"/>
      <c r="V236" s="96"/>
      <c r="W236" s="96"/>
      <c r="X236" s="96"/>
      <c r="Y236" s="96"/>
      <c r="Z236" s="96"/>
      <c r="AA236" s="96"/>
      <c r="AB236" s="96"/>
      <c r="AC236" s="96"/>
      <c r="AD236" s="96"/>
      <c r="AE236" s="96"/>
      <c r="AF236" s="96"/>
      <c r="AG236" s="96"/>
      <c r="AH236" s="96"/>
      <c r="AI236" s="96"/>
      <c r="AJ236" s="96"/>
      <c r="AK236" s="96"/>
      <c r="AL236" s="96"/>
      <c r="AM236" s="96"/>
      <c r="AN236" s="96"/>
      <c r="AO236" s="96"/>
      <c r="AP236" s="96"/>
      <c r="AQ236" s="96"/>
      <c r="AR236" s="96"/>
      <c r="AS236" s="96"/>
      <c r="AT236" s="96"/>
      <c r="AU236" s="96"/>
      <c r="AV236" s="96"/>
      <c r="AW236" s="96"/>
      <c r="AX236" s="96"/>
      <c r="AY236" s="96"/>
      <c r="AZ236" s="96"/>
      <c r="BA236" s="96"/>
      <c r="BB236" s="96"/>
    </row>
    <row r="237" spans="2:54" x14ac:dyDescent="0.25">
      <c r="B237" s="96"/>
      <c r="C237" s="96"/>
      <c r="D237" s="96"/>
      <c r="E237" s="96"/>
      <c r="F237" s="96"/>
      <c r="G237" s="96"/>
      <c r="H237" s="96"/>
      <c r="I237" s="96"/>
      <c r="J237" s="96"/>
      <c r="K237" s="96"/>
      <c r="L237" s="96"/>
      <c r="M237" s="96"/>
      <c r="N237" s="96"/>
      <c r="O237" s="96"/>
      <c r="P237" s="96"/>
      <c r="Q237" s="96"/>
      <c r="R237" s="96"/>
      <c r="S237" s="96"/>
      <c r="T237" s="96"/>
      <c r="U237" s="96"/>
      <c r="V237" s="96"/>
      <c r="W237" s="96"/>
      <c r="X237" s="96"/>
      <c r="Y237" s="96"/>
      <c r="Z237" s="96"/>
      <c r="AA237" s="96"/>
      <c r="AB237" s="96"/>
      <c r="AC237" s="96"/>
      <c r="AD237" s="96"/>
      <c r="AE237" s="96"/>
      <c r="AF237" s="96"/>
      <c r="AG237" s="96"/>
      <c r="AH237" s="96"/>
      <c r="AI237" s="96"/>
      <c r="AJ237" s="96"/>
      <c r="AK237" s="96"/>
      <c r="AL237" s="96"/>
      <c r="AM237" s="96"/>
      <c r="AN237" s="96"/>
      <c r="AO237" s="96"/>
      <c r="AP237" s="96"/>
      <c r="AQ237" s="96"/>
      <c r="AR237" s="96"/>
      <c r="AS237" s="96"/>
      <c r="AT237" s="96"/>
      <c r="AU237" s="96"/>
      <c r="AV237" s="96"/>
      <c r="AW237" s="96"/>
      <c r="AX237" s="96"/>
      <c r="AY237" s="96"/>
      <c r="AZ237" s="96"/>
      <c r="BA237" s="96"/>
      <c r="BB237" s="96"/>
    </row>
    <row r="238" spans="2:54" x14ac:dyDescent="0.25">
      <c r="B238" s="96"/>
      <c r="C238" s="96"/>
      <c r="D238" s="96"/>
      <c r="E238" s="96"/>
      <c r="F238" s="96"/>
      <c r="G238" s="96"/>
      <c r="H238" s="96"/>
      <c r="I238" s="96"/>
      <c r="J238" s="96"/>
      <c r="K238" s="96"/>
      <c r="L238" s="96"/>
      <c r="M238" s="96"/>
      <c r="N238" s="96"/>
      <c r="O238" s="96"/>
      <c r="P238" s="96"/>
      <c r="Q238" s="96"/>
      <c r="R238" s="96"/>
      <c r="S238" s="96"/>
      <c r="T238" s="96"/>
      <c r="U238" s="96"/>
      <c r="V238" s="96"/>
      <c r="W238" s="96"/>
      <c r="X238" s="96"/>
      <c r="Y238" s="96"/>
      <c r="Z238" s="96"/>
      <c r="AA238" s="96"/>
      <c r="AB238" s="96"/>
      <c r="AC238" s="96"/>
      <c r="AD238" s="96"/>
      <c r="AE238" s="96"/>
      <c r="AF238" s="96"/>
      <c r="AG238" s="96"/>
      <c r="AH238" s="96"/>
      <c r="AI238" s="96"/>
      <c r="AJ238" s="96"/>
      <c r="AK238" s="96"/>
      <c r="AL238" s="96"/>
      <c r="AM238" s="96"/>
      <c r="AN238" s="96"/>
      <c r="AO238" s="96"/>
      <c r="AP238" s="96"/>
      <c r="AQ238" s="96"/>
      <c r="AR238" s="96"/>
      <c r="AS238" s="96"/>
      <c r="AT238" s="96"/>
      <c r="AU238" s="96"/>
      <c r="AV238" s="96"/>
      <c r="AW238" s="96"/>
      <c r="AX238" s="96"/>
      <c r="AY238" s="96"/>
      <c r="AZ238" s="96"/>
      <c r="BA238" s="96"/>
      <c r="BB238" s="96"/>
    </row>
    <row r="239" spans="2:54" x14ac:dyDescent="0.25">
      <c r="B239" s="96"/>
      <c r="C239" s="96"/>
      <c r="D239" s="96"/>
      <c r="E239" s="96"/>
      <c r="F239" s="96"/>
      <c r="G239" s="96"/>
      <c r="H239" s="96"/>
      <c r="I239" s="96"/>
      <c r="J239" s="96"/>
      <c r="K239" s="96"/>
      <c r="L239" s="96"/>
      <c r="M239" s="96"/>
      <c r="N239" s="96"/>
      <c r="O239" s="96"/>
      <c r="P239" s="96"/>
      <c r="Q239" s="96"/>
      <c r="R239" s="96"/>
      <c r="S239" s="96"/>
      <c r="T239" s="96"/>
      <c r="U239" s="96"/>
      <c r="V239" s="96"/>
      <c r="W239" s="96"/>
      <c r="X239" s="96"/>
      <c r="Y239" s="96"/>
      <c r="Z239" s="96"/>
      <c r="AA239" s="96"/>
      <c r="AB239" s="96"/>
      <c r="AC239" s="96"/>
      <c r="AD239" s="96"/>
      <c r="AE239" s="96"/>
      <c r="AF239" s="96"/>
      <c r="AG239" s="96"/>
      <c r="AH239" s="96"/>
      <c r="AI239" s="96"/>
      <c r="AJ239" s="96"/>
      <c r="AK239" s="96"/>
      <c r="AL239" s="96"/>
      <c r="AM239" s="96"/>
      <c r="AN239" s="96"/>
      <c r="AO239" s="96"/>
      <c r="AP239" s="96"/>
      <c r="AQ239" s="96"/>
      <c r="AR239" s="96"/>
      <c r="AS239" s="96"/>
      <c r="AT239" s="96"/>
      <c r="AU239" s="96"/>
      <c r="AV239" s="96"/>
      <c r="AW239" s="96"/>
      <c r="AX239" s="96"/>
      <c r="AY239" s="96"/>
      <c r="AZ239" s="96"/>
      <c r="BA239" s="96"/>
      <c r="BB239" s="96"/>
    </row>
    <row r="240" spans="2:54" x14ac:dyDescent="0.25">
      <c r="B240" s="96"/>
      <c r="C240" s="96"/>
      <c r="D240" s="96"/>
      <c r="E240" s="96"/>
      <c r="F240" s="96"/>
      <c r="G240" s="96"/>
      <c r="H240" s="96"/>
      <c r="I240" s="96"/>
      <c r="J240" s="96"/>
      <c r="K240" s="96"/>
      <c r="L240" s="96"/>
      <c r="M240" s="96"/>
      <c r="N240" s="96"/>
      <c r="O240" s="96"/>
      <c r="P240" s="96"/>
      <c r="Q240" s="96"/>
      <c r="R240" s="96"/>
      <c r="S240" s="96"/>
      <c r="T240" s="96"/>
      <c r="U240" s="96"/>
      <c r="V240" s="96"/>
      <c r="W240" s="96"/>
      <c r="X240" s="96"/>
      <c r="Y240" s="96"/>
      <c r="Z240" s="96"/>
      <c r="AA240" s="96"/>
      <c r="AB240" s="96"/>
      <c r="AC240" s="96"/>
      <c r="AD240" s="96"/>
      <c r="AE240" s="96"/>
      <c r="AF240" s="96"/>
      <c r="AG240" s="96"/>
      <c r="AH240" s="96"/>
      <c r="AI240" s="96"/>
      <c r="AJ240" s="96"/>
      <c r="AK240" s="96"/>
      <c r="AL240" s="96"/>
      <c r="AM240" s="96"/>
      <c r="AN240" s="96"/>
      <c r="AO240" s="96"/>
      <c r="AP240" s="96"/>
      <c r="AQ240" s="96"/>
      <c r="AR240" s="96"/>
      <c r="AS240" s="96"/>
      <c r="AT240" s="96"/>
      <c r="AU240" s="96"/>
      <c r="AV240" s="96"/>
      <c r="AW240" s="96"/>
      <c r="AX240" s="96"/>
      <c r="AY240" s="96"/>
      <c r="AZ240" s="96"/>
      <c r="BA240" s="96"/>
      <c r="BB240" s="96"/>
    </row>
    <row r="241" spans="2:54" x14ac:dyDescent="0.25">
      <c r="B241" s="96"/>
      <c r="C241" s="96"/>
      <c r="D241" s="96"/>
      <c r="E241" s="96"/>
      <c r="F241" s="96"/>
      <c r="G241" s="96"/>
      <c r="H241" s="96"/>
      <c r="I241" s="96"/>
      <c r="J241" s="96"/>
      <c r="K241" s="96"/>
      <c r="L241" s="96"/>
      <c r="M241" s="96"/>
      <c r="N241" s="96"/>
      <c r="O241" s="96"/>
      <c r="P241" s="96"/>
      <c r="Q241" s="96"/>
      <c r="R241" s="96"/>
      <c r="S241" s="96"/>
      <c r="T241" s="96"/>
      <c r="U241" s="96"/>
      <c r="V241" s="96"/>
      <c r="W241" s="96"/>
      <c r="X241" s="96"/>
      <c r="Y241" s="96"/>
      <c r="Z241" s="96"/>
      <c r="AA241" s="96"/>
      <c r="AB241" s="96"/>
      <c r="AC241" s="96"/>
      <c r="AD241" s="96"/>
      <c r="AE241" s="96"/>
      <c r="AF241" s="96"/>
      <c r="AG241" s="96"/>
      <c r="AH241" s="96"/>
      <c r="AI241" s="96"/>
      <c r="AJ241" s="96"/>
      <c r="AK241" s="96"/>
      <c r="AL241" s="96"/>
      <c r="AM241" s="96"/>
      <c r="AN241" s="96"/>
      <c r="AO241" s="96"/>
      <c r="AP241" s="96"/>
      <c r="AQ241" s="96"/>
      <c r="AR241" s="96"/>
      <c r="AS241" s="96"/>
      <c r="AT241" s="96"/>
      <c r="AU241" s="96"/>
      <c r="AV241" s="96"/>
      <c r="AW241" s="96"/>
      <c r="AX241" s="96"/>
      <c r="AY241" s="96"/>
      <c r="AZ241" s="96"/>
      <c r="BA241" s="96"/>
      <c r="BB241" s="96"/>
    </row>
    <row r="242" spans="2:54" x14ac:dyDescent="0.25">
      <c r="B242" s="96"/>
      <c r="C242" s="96"/>
      <c r="D242" s="96"/>
      <c r="E242" s="96"/>
      <c r="F242" s="96"/>
      <c r="G242" s="96"/>
      <c r="H242" s="96"/>
      <c r="I242" s="96"/>
      <c r="J242" s="96"/>
      <c r="K242" s="96"/>
      <c r="L242" s="96"/>
      <c r="M242" s="96"/>
      <c r="N242" s="96"/>
      <c r="O242" s="96"/>
      <c r="P242" s="96"/>
      <c r="Q242" s="96"/>
      <c r="R242" s="96"/>
      <c r="S242" s="96"/>
      <c r="T242" s="96"/>
      <c r="U242" s="96"/>
      <c r="V242" s="96"/>
      <c r="W242" s="96"/>
      <c r="X242" s="96"/>
      <c r="Y242" s="96"/>
      <c r="Z242" s="96"/>
      <c r="AA242" s="96"/>
      <c r="AB242" s="96"/>
      <c r="AC242" s="96"/>
      <c r="AD242" s="96"/>
      <c r="AE242" s="96"/>
      <c r="AF242" s="96"/>
      <c r="AG242" s="96"/>
      <c r="AH242" s="96"/>
      <c r="AI242" s="96"/>
      <c r="AJ242" s="96"/>
      <c r="AK242" s="96"/>
      <c r="AL242" s="96"/>
      <c r="AM242" s="96"/>
      <c r="AN242" s="96"/>
      <c r="AO242" s="96"/>
      <c r="AP242" s="96"/>
      <c r="AQ242" s="96"/>
      <c r="AR242" s="96"/>
      <c r="AS242" s="96"/>
      <c r="AT242" s="96"/>
      <c r="AU242" s="96"/>
      <c r="AV242" s="96"/>
      <c r="AW242" s="96"/>
      <c r="AX242" s="96"/>
      <c r="AY242" s="96"/>
      <c r="AZ242" s="96"/>
      <c r="BA242" s="96"/>
      <c r="BB242" s="96"/>
    </row>
    <row r="243" spans="2:54" x14ac:dyDescent="0.25">
      <c r="B243" s="96"/>
      <c r="C243" s="96"/>
      <c r="D243" s="96"/>
      <c r="E243" s="96"/>
      <c r="F243" s="96"/>
      <c r="G243" s="96"/>
      <c r="H243" s="96"/>
      <c r="I243" s="96"/>
      <c r="J243" s="96"/>
      <c r="K243" s="96"/>
      <c r="L243" s="96"/>
      <c r="M243" s="96"/>
      <c r="N243" s="96"/>
      <c r="O243" s="96"/>
      <c r="P243" s="96"/>
      <c r="Q243" s="96"/>
      <c r="R243" s="96"/>
      <c r="S243" s="96"/>
      <c r="T243" s="96"/>
      <c r="U243" s="96"/>
      <c r="V243" s="96"/>
      <c r="W243" s="96"/>
      <c r="X243" s="96"/>
      <c r="Y243" s="96"/>
      <c r="Z243" s="96"/>
      <c r="AA243" s="96"/>
      <c r="AB243" s="96"/>
      <c r="AC243" s="96"/>
      <c r="AD243" s="96"/>
      <c r="AE243" s="96"/>
      <c r="AF243" s="96"/>
      <c r="AG243" s="96"/>
      <c r="AH243" s="96"/>
      <c r="AI243" s="96"/>
      <c r="AJ243" s="96"/>
      <c r="AK243" s="96"/>
      <c r="AL243" s="96"/>
      <c r="AM243" s="96"/>
      <c r="AN243" s="96"/>
      <c r="AO243" s="96"/>
      <c r="AP243" s="96"/>
      <c r="AQ243" s="96"/>
      <c r="AR243" s="96"/>
      <c r="AS243" s="96"/>
      <c r="AT243" s="96"/>
      <c r="AU243" s="96"/>
      <c r="AV243" s="96"/>
      <c r="AW243" s="96"/>
      <c r="AX243" s="96"/>
      <c r="AY243" s="96"/>
      <c r="AZ243" s="96"/>
      <c r="BA243" s="96"/>
      <c r="BB243" s="96"/>
    </row>
    <row r="244" spans="2:54" x14ac:dyDescent="0.25">
      <c r="B244" s="96"/>
      <c r="C244" s="96"/>
      <c r="D244" s="96"/>
      <c r="E244" s="96"/>
      <c r="F244" s="96"/>
      <c r="G244" s="96"/>
      <c r="H244" s="96"/>
      <c r="I244" s="96"/>
      <c r="J244" s="96"/>
      <c r="K244" s="96"/>
      <c r="L244" s="96"/>
      <c r="M244" s="96"/>
      <c r="N244" s="96"/>
      <c r="O244" s="96"/>
      <c r="P244" s="96"/>
      <c r="Q244" s="96"/>
      <c r="R244" s="96"/>
      <c r="S244" s="96"/>
      <c r="T244" s="96"/>
      <c r="U244" s="96"/>
      <c r="V244" s="96"/>
      <c r="W244" s="96"/>
      <c r="X244" s="96"/>
      <c r="Y244" s="96"/>
      <c r="Z244" s="96"/>
      <c r="AA244" s="96"/>
      <c r="AB244" s="96"/>
      <c r="AC244" s="96"/>
      <c r="AD244" s="96"/>
      <c r="AE244" s="96"/>
      <c r="AF244" s="96"/>
      <c r="AG244" s="96"/>
      <c r="AH244" s="96"/>
      <c r="AI244" s="96"/>
      <c r="AJ244" s="96"/>
      <c r="AK244" s="96"/>
      <c r="AL244" s="96"/>
      <c r="AM244" s="96"/>
      <c r="AN244" s="96"/>
      <c r="AO244" s="96"/>
      <c r="AP244" s="96"/>
      <c r="AQ244" s="96"/>
      <c r="AR244" s="96"/>
      <c r="AS244" s="96"/>
      <c r="AT244" s="96"/>
      <c r="AU244" s="96"/>
      <c r="AV244" s="96"/>
      <c r="AW244" s="96"/>
      <c r="AX244" s="96"/>
      <c r="AY244" s="96"/>
      <c r="AZ244" s="96"/>
      <c r="BA244" s="96"/>
      <c r="BB244" s="96"/>
    </row>
    <row r="245" spans="2:54" x14ac:dyDescent="0.25">
      <c r="B245" s="96"/>
      <c r="C245" s="96"/>
      <c r="D245" s="96"/>
      <c r="E245" s="96"/>
      <c r="F245" s="96"/>
      <c r="G245" s="96"/>
      <c r="H245" s="96"/>
      <c r="I245" s="96"/>
      <c r="J245" s="96"/>
      <c r="K245" s="96"/>
      <c r="L245" s="96"/>
      <c r="M245" s="96"/>
      <c r="N245" s="96"/>
      <c r="O245" s="96"/>
      <c r="P245" s="96"/>
      <c r="Q245" s="96"/>
      <c r="R245" s="96"/>
      <c r="S245" s="96"/>
      <c r="T245" s="96"/>
      <c r="U245" s="96"/>
      <c r="V245" s="96"/>
      <c r="W245" s="96"/>
      <c r="X245" s="96"/>
      <c r="Y245" s="96"/>
      <c r="Z245" s="96"/>
      <c r="AA245" s="96"/>
      <c r="AB245" s="96"/>
      <c r="AC245" s="96"/>
      <c r="AD245" s="96"/>
      <c r="AE245" s="96"/>
      <c r="AF245" s="96"/>
      <c r="AG245" s="96"/>
      <c r="AH245" s="96"/>
      <c r="AI245" s="96"/>
      <c r="AJ245" s="96"/>
      <c r="AK245" s="96"/>
      <c r="AL245" s="96"/>
      <c r="AM245" s="96"/>
      <c r="AN245" s="96"/>
      <c r="AO245" s="96"/>
      <c r="AP245" s="96"/>
      <c r="AQ245" s="96"/>
      <c r="AR245" s="96"/>
      <c r="AS245" s="96"/>
      <c r="AT245" s="96"/>
      <c r="AU245" s="96"/>
      <c r="AV245" s="96"/>
      <c r="AW245" s="96"/>
      <c r="AX245" s="96"/>
      <c r="AY245" s="96"/>
      <c r="AZ245" s="96"/>
      <c r="BA245" s="96"/>
      <c r="BB245" s="96"/>
    </row>
    <row r="246" spans="2:54" x14ac:dyDescent="0.25">
      <c r="B246" s="96"/>
      <c r="C246" s="96"/>
      <c r="D246" s="96"/>
      <c r="E246" s="96"/>
      <c r="F246" s="96"/>
      <c r="G246" s="96"/>
      <c r="H246" s="96"/>
      <c r="I246" s="96"/>
      <c r="J246" s="96"/>
      <c r="K246" s="96"/>
      <c r="L246" s="96"/>
      <c r="M246" s="96"/>
      <c r="N246" s="96"/>
      <c r="O246" s="96"/>
      <c r="P246" s="96"/>
      <c r="Q246" s="96"/>
      <c r="R246" s="96"/>
      <c r="S246" s="96"/>
      <c r="T246" s="96"/>
      <c r="U246" s="96"/>
      <c r="V246" s="96"/>
      <c r="W246" s="96"/>
      <c r="X246" s="96"/>
      <c r="Y246" s="96"/>
      <c r="Z246" s="96"/>
      <c r="AA246" s="96"/>
      <c r="AB246" s="96"/>
      <c r="AC246" s="96"/>
      <c r="AD246" s="96"/>
      <c r="AE246" s="96"/>
      <c r="AF246" s="96"/>
      <c r="AG246" s="96"/>
      <c r="AH246" s="96"/>
      <c r="AI246" s="96"/>
      <c r="AJ246" s="96"/>
      <c r="AK246" s="96"/>
      <c r="AL246" s="96"/>
      <c r="AM246" s="96"/>
      <c r="AN246" s="96"/>
      <c r="AO246" s="96"/>
      <c r="AP246" s="96"/>
      <c r="AQ246" s="96"/>
      <c r="AR246" s="96"/>
      <c r="AS246" s="96"/>
      <c r="AT246" s="96"/>
      <c r="AU246" s="96"/>
      <c r="AV246" s="96"/>
      <c r="AW246" s="96"/>
      <c r="AX246" s="96"/>
      <c r="AY246" s="96"/>
      <c r="AZ246" s="96"/>
      <c r="BA246" s="96"/>
      <c r="BB246" s="96"/>
    </row>
    <row r="247" spans="2:54" x14ac:dyDescent="0.25">
      <c r="B247" s="96"/>
      <c r="C247" s="96"/>
      <c r="D247" s="96"/>
      <c r="E247" s="96"/>
      <c r="F247" s="96"/>
      <c r="G247" s="96"/>
      <c r="H247" s="96"/>
      <c r="I247" s="96"/>
      <c r="J247" s="96"/>
      <c r="K247" s="96"/>
      <c r="L247" s="96"/>
      <c r="M247" s="96"/>
      <c r="N247" s="96"/>
      <c r="O247" s="96"/>
      <c r="P247" s="96"/>
      <c r="Q247" s="96"/>
      <c r="R247" s="96"/>
      <c r="S247" s="96"/>
      <c r="T247" s="96"/>
      <c r="U247" s="96"/>
      <c r="V247" s="96"/>
      <c r="W247" s="96"/>
      <c r="X247" s="96"/>
      <c r="Y247" s="96"/>
      <c r="Z247" s="96"/>
      <c r="AA247" s="96"/>
      <c r="AB247" s="96"/>
      <c r="AC247" s="96"/>
      <c r="AD247" s="96"/>
      <c r="AE247" s="96"/>
      <c r="AF247" s="96"/>
      <c r="AG247" s="96"/>
      <c r="AH247" s="96"/>
      <c r="AI247" s="96"/>
      <c r="AJ247" s="96"/>
      <c r="AK247" s="96"/>
      <c r="AL247" s="96"/>
      <c r="AM247" s="96"/>
      <c r="AN247" s="96"/>
      <c r="AO247" s="96"/>
      <c r="AP247" s="96"/>
      <c r="AQ247" s="96"/>
      <c r="AR247" s="96"/>
      <c r="AS247" s="96"/>
      <c r="AT247" s="96"/>
      <c r="AU247" s="96"/>
      <c r="AV247" s="96"/>
      <c r="AW247" s="96"/>
      <c r="AX247" s="96"/>
      <c r="AY247" s="96"/>
      <c r="AZ247" s="96"/>
      <c r="BA247" s="96"/>
      <c r="BB247" s="96"/>
    </row>
    <row r="248" spans="2:54" x14ac:dyDescent="0.25">
      <c r="B248" s="96"/>
      <c r="C248" s="96"/>
      <c r="D248" s="96"/>
      <c r="E248" s="96"/>
      <c r="F248" s="96"/>
      <c r="G248" s="96"/>
      <c r="H248" s="96"/>
      <c r="I248" s="96"/>
      <c r="J248" s="96"/>
      <c r="K248" s="96"/>
      <c r="L248" s="96"/>
      <c r="M248" s="96"/>
      <c r="N248" s="96"/>
      <c r="O248" s="96"/>
      <c r="P248" s="96"/>
      <c r="Q248" s="96"/>
      <c r="R248" s="96"/>
      <c r="S248" s="96"/>
      <c r="T248" s="96"/>
      <c r="U248" s="96"/>
      <c r="V248" s="96"/>
      <c r="W248" s="96"/>
      <c r="X248" s="96"/>
      <c r="Y248" s="96"/>
      <c r="Z248" s="96"/>
      <c r="AA248" s="96"/>
      <c r="AB248" s="96"/>
      <c r="AC248" s="96"/>
      <c r="AD248" s="96"/>
      <c r="AE248" s="96"/>
      <c r="AF248" s="96"/>
      <c r="AG248" s="96"/>
      <c r="AH248" s="96"/>
      <c r="AI248" s="96"/>
      <c r="AJ248" s="96"/>
      <c r="AK248" s="96"/>
      <c r="AL248" s="96"/>
      <c r="AM248" s="96"/>
      <c r="AN248" s="96"/>
      <c r="AO248" s="96"/>
      <c r="AP248" s="96"/>
      <c r="AQ248" s="96"/>
      <c r="AR248" s="96"/>
      <c r="AS248" s="96"/>
      <c r="AT248" s="96"/>
      <c r="AU248" s="96"/>
      <c r="AV248" s="96"/>
      <c r="AW248" s="96"/>
      <c r="AX248" s="96"/>
      <c r="AY248" s="96"/>
      <c r="AZ248" s="96"/>
      <c r="BA248" s="96"/>
      <c r="BB248" s="96"/>
    </row>
    <row r="249" spans="2:54" x14ac:dyDescent="0.25">
      <c r="B249" s="96"/>
      <c r="C249" s="96"/>
      <c r="D249" s="96"/>
      <c r="E249" s="96"/>
      <c r="F249" s="96"/>
      <c r="G249" s="96"/>
      <c r="H249" s="96"/>
      <c r="I249" s="96"/>
      <c r="J249" s="96"/>
      <c r="K249" s="96"/>
      <c r="L249" s="96"/>
      <c r="M249" s="96"/>
      <c r="N249" s="96"/>
      <c r="O249" s="96"/>
      <c r="P249" s="96"/>
      <c r="Q249" s="96"/>
      <c r="R249" s="96"/>
      <c r="S249" s="96"/>
      <c r="T249" s="96"/>
      <c r="U249" s="96"/>
      <c r="V249" s="96"/>
      <c r="W249" s="96"/>
      <c r="X249" s="96"/>
      <c r="Y249" s="96"/>
      <c r="Z249" s="96"/>
      <c r="AA249" s="96"/>
      <c r="AB249" s="96"/>
      <c r="AC249" s="96"/>
      <c r="AD249" s="96"/>
      <c r="AE249" s="96"/>
      <c r="AF249" s="96"/>
      <c r="AG249" s="96"/>
      <c r="AH249" s="96"/>
      <c r="AI249" s="96"/>
      <c r="AJ249" s="96"/>
      <c r="AK249" s="96"/>
      <c r="AL249" s="96"/>
      <c r="AM249" s="96"/>
      <c r="AN249" s="96"/>
      <c r="AO249" s="96"/>
      <c r="AP249" s="96"/>
      <c r="AQ249" s="96"/>
      <c r="AR249" s="96"/>
      <c r="AS249" s="96"/>
      <c r="AT249" s="96"/>
      <c r="AU249" s="96"/>
      <c r="AV249" s="96"/>
      <c r="AW249" s="96"/>
      <c r="AX249" s="96"/>
      <c r="AY249" s="96"/>
      <c r="AZ249" s="96"/>
      <c r="BA249" s="96"/>
      <c r="BB249" s="96"/>
    </row>
    <row r="250" spans="2:54" x14ac:dyDescent="0.25">
      <c r="B250" s="96"/>
      <c r="C250" s="96"/>
      <c r="D250" s="96"/>
      <c r="E250" s="96"/>
      <c r="F250" s="96"/>
      <c r="G250" s="96"/>
      <c r="H250" s="96"/>
      <c r="I250" s="96"/>
      <c r="J250" s="96"/>
      <c r="K250" s="96"/>
      <c r="L250" s="96"/>
      <c r="M250" s="96"/>
      <c r="N250" s="96"/>
      <c r="O250" s="96"/>
      <c r="P250" s="96"/>
      <c r="Q250" s="96"/>
      <c r="R250" s="96"/>
      <c r="S250" s="96"/>
      <c r="T250" s="96"/>
      <c r="U250" s="96"/>
      <c r="V250" s="96"/>
      <c r="W250" s="96"/>
      <c r="X250" s="96"/>
      <c r="Y250" s="96"/>
      <c r="Z250" s="96"/>
      <c r="AA250" s="96"/>
      <c r="AB250" s="96"/>
      <c r="AC250" s="96"/>
      <c r="AD250" s="96"/>
      <c r="AE250" s="96"/>
      <c r="AF250" s="96"/>
      <c r="AG250" s="96"/>
      <c r="AH250" s="96"/>
      <c r="AI250" s="96"/>
      <c r="AJ250" s="96"/>
      <c r="AK250" s="96"/>
      <c r="AL250" s="96"/>
      <c r="AM250" s="96"/>
      <c r="AN250" s="96"/>
      <c r="AO250" s="96"/>
      <c r="AP250" s="96"/>
      <c r="AQ250" s="96"/>
      <c r="AR250" s="96"/>
      <c r="AS250" s="96"/>
      <c r="AT250" s="96"/>
      <c r="AU250" s="96"/>
      <c r="AV250" s="96"/>
      <c r="AW250" s="96"/>
      <c r="AX250" s="96"/>
      <c r="AY250" s="96"/>
      <c r="AZ250" s="96"/>
      <c r="BA250" s="96"/>
      <c r="BB250" s="96"/>
    </row>
    <row r="251" spans="2:54" x14ac:dyDescent="0.25">
      <c r="B251" s="96"/>
      <c r="C251" s="96"/>
      <c r="D251" s="96"/>
      <c r="E251" s="96"/>
      <c r="F251" s="96"/>
      <c r="G251" s="96"/>
      <c r="H251" s="96"/>
      <c r="I251" s="96"/>
      <c r="J251" s="96"/>
      <c r="K251" s="96"/>
      <c r="L251" s="96"/>
      <c r="M251" s="96"/>
      <c r="N251" s="96"/>
      <c r="O251" s="96"/>
      <c r="P251" s="96"/>
      <c r="Q251" s="96"/>
      <c r="R251" s="96"/>
      <c r="S251" s="96"/>
      <c r="T251" s="96"/>
      <c r="U251" s="96"/>
      <c r="V251" s="96"/>
      <c r="W251" s="96"/>
      <c r="X251" s="96"/>
      <c r="Y251" s="96"/>
      <c r="Z251" s="96"/>
      <c r="AA251" s="96"/>
      <c r="AB251" s="96"/>
      <c r="AC251" s="96"/>
      <c r="AD251" s="96"/>
      <c r="AE251" s="96"/>
      <c r="AF251" s="96"/>
      <c r="AG251" s="96"/>
      <c r="AH251" s="96"/>
      <c r="AI251" s="96"/>
      <c r="AJ251" s="96"/>
      <c r="AK251" s="96"/>
      <c r="AL251" s="96"/>
      <c r="AM251" s="96"/>
      <c r="AN251" s="96"/>
      <c r="AO251" s="96"/>
      <c r="AP251" s="96"/>
      <c r="AQ251" s="96"/>
      <c r="AR251" s="96"/>
      <c r="AS251" s="96"/>
      <c r="AT251" s="96"/>
      <c r="AU251" s="96"/>
      <c r="AV251" s="96"/>
      <c r="AW251" s="96"/>
      <c r="AX251" s="96"/>
      <c r="AY251" s="96"/>
      <c r="AZ251" s="96"/>
      <c r="BA251" s="96"/>
      <c r="BB251" s="96"/>
    </row>
    <row r="252" spans="2:54" x14ac:dyDescent="0.25">
      <c r="B252" s="96"/>
      <c r="C252" s="96"/>
      <c r="D252" s="96"/>
      <c r="E252" s="96"/>
      <c r="F252" s="96"/>
      <c r="G252" s="96"/>
      <c r="H252" s="96"/>
      <c r="I252" s="96"/>
      <c r="J252" s="96"/>
      <c r="K252" s="96"/>
      <c r="L252" s="96"/>
      <c r="M252" s="96"/>
      <c r="N252" s="96"/>
      <c r="O252" s="96"/>
      <c r="P252" s="96"/>
      <c r="Q252" s="96"/>
      <c r="R252" s="96"/>
      <c r="S252" s="96"/>
      <c r="T252" s="96"/>
      <c r="U252" s="96"/>
      <c r="V252" s="96"/>
      <c r="W252" s="96"/>
      <c r="X252" s="96"/>
      <c r="Y252" s="96"/>
      <c r="Z252" s="96"/>
      <c r="AA252" s="96"/>
      <c r="AB252" s="96"/>
      <c r="AC252" s="96"/>
      <c r="AD252" s="96"/>
      <c r="AE252" s="96"/>
      <c r="AF252" s="96"/>
      <c r="AG252" s="96"/>
      <c r="AH252" s="96"/>
      <c r="AI252" s="96"/>
      <c r="AJ252" s="96"/>
      <c r="AK252" s="96"/>
      <c r="AL252" s="96"/>
      <c r="AM252" s="96"/>
      <c r="AN252" s="96"/>
      <c r="AO252" s="96"/>
      <c r="AP252" s="96"/>
      <c r="AQ252" s="96"/>
      <c r="AR252" s="96"/>
      <c r="AS252" s="96"/>
      <c r="AT252" s="96"/>
      <c r="AU252" s="96"/>
      <c r="AV252" s="96"/>
      <c r="AW252" s="96"/>
      <c r="AX252" s="96"/>
      <c r="AY252" s="96"/>
      <c r="AZ252" s="96"/>
      <c r="BA252" s="96"/>
      <c r="BB252" s="96"/>
    </row>
    <row r="253" spans="2:54" x14ac:dyDescent="0.25">
      <c r="B253" s="96"/>
      <c r="C253" s="96"/>
      <c r="D253" s="96"/>
      <c r="E253" s="96"/>
      <c r="F253" s="96"/>
      <c r="G253" s="96"/>
      <c r="H253" s="96"/>
      <c r="I253" s="96"/>
      <c r="J253" s="96"/>
      <c r="K253" s="96"/>
      <c r="L253" s="96"/>
      <c r="M253" s="96"/>
      <c r="N253" s="96"/>
      <c r="O253" s="96"/>
      <c r="P253" s="96"/>
      <c r="Q253" s="96"/>
      <c r="R253" s="96"/>
      <c r="S253" s="96"/>
      <c r="T253" s="96"/>
      <c r="U253" s="96"/>
      <c r="V253" s="96"/>
      <c r="W253" s="96"/>
      <c r="X253" s="96"/>
      <c r="Y253" s="96"/>
      <c r="Z253" s="96"/>
      <c r="AA253" s="96"/>
      <c r="AB253" s="96"/>
      <c r="AC253" s="96"/>
      <c r="AD253" s="96"/>
      <c r="AE253" s="96"/>
      <c r="AF253" s="96"/>
      <c r="AG253" s="96"/>
      <c r="AH253" s="96"/>
      <c r="AI253" s="96"/>
      <c r="AJ253" s="96"/>
      <c r="AK253" s="96"/>
      <c r="AL253" s="96"/>
      <c r="AM253" s="96"/>
      <c r="AN253" s="96"/>
      <c r="AO253" s="96"/>
      <c r="AP253" s="96"/>
      <c r="AQ253" s="96"/>
      <c r="AR253" s="96"/>
      <c r="AS253" s="96"/>
      <c r="AT253" s="96"/>
      <c r="AU253" s="96"/>
      <c r="AV253" s="96"/>
      <c r="AW253" s="96"/>
      <c r="AX253" s="96"/>
      <c r="AY253" s="96"/>
      <c r="AZ253" s="96"/>
      <c r="BA253" s="96"/>
      <c r="BB253" s="96"/>
    </row>
    <row r="254" spans="2:54" x14ac:dyDescent="0.25">
      <c r="B254" s="96"/>
      <c r="C254" s="96"/>
      <c r="D254" s="96"/>
      <c r="E254" s="96"/>
      <c r="F254" s="96"/>
      <c r="G254" s="96"/>
      <c r="H254" s="96"/>
      <c r="I254" s="96"/>
      <c r="J254" s="96"/>
      <c r="K254" s="96"/>
      <c r="L254" s="96"/>
      <c r="M254" s="96"/>
      <c r="N254" s="96"/>
      <c r="O254" s="96"/>
      <c r="P254" s="96"/>
      <c r="Q254" s="96"/>
      <c r="R254" s="96"/>
      <c r="S254" s="96"/>
      <c r="T254" s="96"/>
      <c r="U254" s="96"/>
      <c r="V254" s="96"/>
      <c r="W254" s="96"/>
      <c r="X254" s="96"/>
      <c r="Y254" s="96"/>
      <c r="Z254" s="96"/>
      <c r="AA254" s="96"/>
      <c r="AB254" s="96"/>
      <c r="AC254" s="96"/>
      <c r="AD254" s="96"/>
      <c r="AE254" s="96"/>
      <c r="AF254" s="96"/>
      <c r="AG254" s="96"/>
      <c r="AH254" s="96"/>
      <c r="AI254" s="96"/>
      <c r="AJ254" s="96"/>
      <c r="AK254" s="96"/>
      <c r="AL254" s="96"/>
      <c r="AM254" s="96"/>
      <c r="AN254" s="96"/>
      <c r="AO254" s="96"/>
      <c r="AP254" s="96"/>
      <c r="AQ254" s="96"/>
      <c r="AR254" s="96"/>
      <c r="AS254" s="96"/>
      <c r="AT254" s="96"/>
      <c r="AU254" s="96"/>
      <c r="AV254" s="96"/>
      <c r="AW254" s="96"/>
      <c r="AX254" s="96"/>
      <c r="AY254" s="96"/>
      <c r="AZ254" s="96"/>
      <c r="BA254" s="96"/>
      <c r="BB254" s="96"/>
    </row>
    <row r="255" spans="2:54" x14ac:dyDescent="0.25">
      <c r="B255" s="96"/>
      <c r="C255" s="96"/>
      <c r="D255" s="96"/>
      <c r="E255" s="96"/>
      <c r="F255" s="96"/>
      <c r="G255" s="96"/>
      <c r="H255" s="96"/>
      <c r="I255" s="96"/>
      <c r="J255" s="96"/>
      <c r="K255" s="96"/>
      <c r="L255" s="96"/>
      <c r="M255" s="96"/>
      <c r="N255" s="96"/>
      <c r="O255" s="96"/>
      <c r="P255" s="96"/>
      <c r="Q255" s="96"/>
      <c r="R255" s="96"/>
      <c r="S255" s="96"/>
      <c r="T255" s="96"/>
      <c r="U255" s="96"/>
      <c r="V255" s="96"/>
      <c r="W255" s="96"/>
      <c r="X255" s="96"/>
      <c r="Y255" s="96"/>
      <c r="Z255" s="96"/>
      <c r="AA255" s="96"/>
      <c r="AB255" s="96"/>
      <c r="AC255" s="96"/>
      <c r="AD255" s="96"/>
      <c r="AE255" s="96"/>
      <c r="AF255" s="96"/>
      <c r="AG255" s="96"/>
      <c r="AH255" s="96"/>
      <c r="AI255" s="96"/>
      <c r="AJ255" s="96"/>
      <c r="AK255" s="96"/>
      <c r="AL255" s="96"/>
      <c r="AM255" s="96"/>
      <c r="AN255" s="96"/>
      <c r="AO255" s="96"/>
      <c r="AP255" s="96"/>
      <c r="AQ255" s="96"/>
      <c r="AR255" s="96"/>
      <c r="AS255" s="96"/>
      <c r="AT255" s="96"/>
      <c r="AU255" s="96"/>
      <c r="AV255" s="96"/>
      <c r="AW255" s="96"/>
      <c r="AX255" s="96"/>
      <c r="AY255" s="96"/>
      <c r="AZ255" s="96"/>
      <c r="BA255" s="96"/>
      <c r="BB255" s="96"/>
    </row>
    <row r="256" spans="2:54" x14ac:dyDescent="0.25">
      <c r="B256" s="96"/>
      <c r="C256" s="96"/>
      <c r="D256" s="96"/>
      <c r="E256" s="96"/>
      <c r="F256" s="96"/>
      <c r="G256" s="96"/>
      <c r="H256" s="96"/>
      <c r="I256" s="96"/>
      <c r="J256" s="96"/>
      <c r="K256" s="96"/>
      <c r="L256" s="96"/>
      <c r="M256" s="96"/>
      <c r="N256" s="96"/>
      <c r="O256" s="96"/>
      <c r="P256" s="96"/>
      <c r="Q256" s="96"/>
      <c r="R256" s="96"/>
      <c r="S256" s="96"/>
      <c r="T256" s="96"/>
      <c r="U256" s="96"/>
      <c r="V256" s="96"/>
      <c r="W256" s="96"/>
      <c r="X256" s="96"/>
      <c r="Y256" s="96"/>
      <c r="Z256" s="96"/>
      <c r="AA256" s="96"/>
      <c r="AB256" s="96"/>
      <c r="AC256" s="96"/>
      <c r="AD256" s="96"/>
      <c r="AE256" s="96"/>
      <c r="AF256" s="96"/>
      <c r="AG256" s="96"/>
      <c r="AH256" s="96"/>
      <c r="AI256" s="96"/>
      <c r="AJ256" s="96"/>
      <c r="AK256" s="96"/>
      <c r="AL256" s="96"/>
      <c r="AM256" s="96"/>
      <c r="AN256" s="96"/>
      <c r="AO256" s="96"/>
      <c r="AP256" s="96"/>
      <c r="AQ256" s="96"/>
      <c r="AR256" s="96"/>
      <c r="AS256" s="96"/>
      <c r="AT256" s="96"/>
      <c r="AU256" s="96"/>
      <c r="AV256" s="96"/>
      <c r="AW256" s="96"/>
      <c r="AX256" s="96"/>
      <c r="AY256" s="96"/>
      <c r="AZ256" s="96"/>
      <c r="BA256" s="96"/>
      <c r="BB256" s="96"/>
    </row>
    <row r="257" spans="2:54" x14ac:dyDescent="0.25">
      <c r="B257" s="96"/>
      <c r="C257" s="96"/>
      <c r="D257" s="96"/>
      <c r="E257" s="96"/>
      <c r="F257" s="96"/>
      <c r="G257" s="96"/>
      <c r="H257" s="96"/>
      <c r="I257" s="96"/>
      <c r="J257" s="96"/>
      <c r="K257" s="96"/>
      <c r="L257" s="96"/>
      <c r="M257" s="96"/>
      <c r="N257" s="96"/>
      <c r="O257" s="96"/>
      <c r="P257" s="96"/>
      <c r="Q257" s="96"/>
      <c r="R257" s="96"/>
      <c r="S257" s="96"/>
      <c r="T257" s="96"/>
      <c r="U257" s="96"/>
      <c r="V257" s="96"/>
      <c r="W257" s="96"/>
      <c r="X257" s="96"/>
      <c r="Y257" s="96"/>
      <c r="Z257" s="96"/>
      <c r="AA257" s="96"/>
      <c r="AB257" s="96"/>
      <c r="AC257" s="96"/>
      <c r="AD257" s="96"/>
      <c r="AE257" s="96"/>
      <c r="AF257" s="96"/>
      <c r="AG257" s="96"/>
      <c r="AH257" s="96"/>
      <c r="AI257" s="96"/>
      <c r="AJ257" s="96"/>
      <c r="AK257" s="96"/>
      <c r="AL257" s="96"/>
      <c r="AM257" s="96"/>
      <c r="AN257" s="96"/>
      <c r="AO257" s="96"/>
      <c r="AP257" s="96"/>
      <c r="AQ257" s="96"/>
      <c r="AR257" s="96"/>
      <c r="AS257" s="96"/>
      <c r="AT257" s="96"/>
      <c r="AU257" s="96"/>
      <c r="AV257" s="96"/>
      <c r="AW257" s="96"/>
      <c r="AX257" s="96"/>
      <c r="AY257" s="96"/>
      <c r="AZ257" s="96"/>
      <c r="BA257" s="96"/>
      <c r="BB257" s="96"/>
    </row>
    <row r="258" spans="2:54" x14ac:dyDescent="0.25">
      <c r="B258" s="96"/>
      <c r="C258" s="96"/>
      <c r="D258" s="96"/>
      <c r="E258" s="96"/>
      <c r="F258" s="96"/>
      <c r="G258" s="96"/>
      <c r="H258" s="96"/>
      <c r="I258" s="96"/>
      <c r="J258" s="96"/>
      <c r="K258" s="96"/>
      <c r="L258" s="96"/>
      <c r="M258" s="96"/>
      <c r="N258" s="96"/>
      <c r="O258" s="96"/>
      <c r="P258" s="96"/>
      <c r="Q258" s="96"/>
      <c r="R258" s="96"/>
      <c r="S258" s="96"/>
      <c r="T258" s="96"/>
      <c r="U258" s="96"/>
      <c r="V258" s="96"/>
      <c r="W258" s="96"/>
      <c r="X258" s="96"/>
      <c r="Y258" s="96"/>
      <c r="Z258" s="96"/>
      <c r="AA258" s="96"/>
      <c r="AB258" s="96"/>
      <c r="AC258" s="96"/>
      <c r="AD258" s="96"/>
      <c r="AE258" s="96"/>
      <c r="AF258" s="96"/>
      <c r="AG258" s="96"/>
      <c r="AH258" s="96"/>
      <c r="AI258" s="96"/>
      <c r="AJ258" s="96"/>
      <c r="AK258" s="96"/>
      <c r="AL258" s="96"/>
      <c r="AM258" s="96"/>
      <c r="AN258" s="96"/>
      <c r="AO258" s="96"/>
      <c r="AP258" s="96"/>
      <c r="AQ258" s="96"/>
      <c r="AR258" s="96"/>
      <c r="AS258" s="96"/>
      <c r="AT258" s="96"/>
      <c r="AU258" s="96"/>
      <c r="AV258" s="96"/>
      <c r="AW258" s="96"/>
      <c r="AX258" s="96"/>
      <c r="AY258" s="96"/>
      <c r="AZ258" s="96"/>
      <c r="BA258" s="96"/>
      <c r="BB258" s="96"/>
    </row>
    <row r="259" spans="2:54" x14ac:dyDescent="0.25">
      <c r="B259" s="96"/>
      <c r="C259" s="96"/>
      <c r="D259" s="96"/>
      <c r="E259" s="96"/>
      <c r="F259" s="96"/>
      <c r="G259" s="96"/>
      <c r="H259" s="96"/>
      <c r="I259" s="96"/>
      <c r="J259" s="96"/>
      <c r="K259" s="96"/>
      <c r="L259" s="96"/>
      <c r="M259" s="96"/>
      <c r="N259" s="96"/>
      <c r="O259" s="96"/>
      <c r="P259" s="96"/>
      <c r="Q259" s="96"/>
      <c r="R259" s="96"/>
      <c r="S259" s="96"/>
      <c r="T259" s="96"/>
      <c r="U259" s="96"/>
      <c r="V259" s="96"/>
      <c r="W259" s="96"/>
      <c r="X259" s="96"/>
      <c r="Y259" s="96"/>
      <c r="Z259" s="96"/>
      <c r="AA259" s="96"/>
      <c r="AB259" s="96"/>
      <c r="AC259" s="96"/>
      <c r="AD259" s="96"/>
      <c r="AE259" s="96"/>
      <c r="AF259" s="96"/>
      <c r="AG259" s="96"/>
      <c r="AH259" s="96"/>
      <c r="AI259" s="96"/>
      <c r="AJ259" s="96"/>
      <c r="AK259" s="96"/>
      <c r="AL259" s="96"/>
      <c r="AM259" s="96"/>
      <c r="AN259" s="96"/>
      <c r="AO259" s="96"/>
      <c r="AP259" s="96"/>
      <c r="AQ259" s="96"/>
      <c r="AR259" s="96"/>
      <c r="AS259" s="96"/>
      <c r="AT259" s="96"/>
      <c r="AU259" s="96"/>
      <c r="AV259" s="96"/>
      <c r="AW259" s="96"/>
      <c r="AX259" s="96"/>
      <c r="AY259" s="96"/>
      <c r="AZ259" s="96"/>
      <c r="BA259" s="96"/>
      <c r="BB259" s="96"/>
    </row>
    <row r="260" spans="2:54" x14ac:dyDescent="0.25">
      <c r="B260" s="96"/>
      <c r="C260" s="96"/>
      <c r="D260" s="96"/>
      <c r="E260" s="96"/>
      <c r="F260" s="96"/>
      <c r="G260" s="96"/>
      <c r="H260" s="96"/>
      <c r="I260" s="96"/>
      <c r="J260" s="96"/>
      <c r="K260" s="96"/>
      <c r="L260" s="96"/>
      <c r="M260" s="96"/>
      <c r="N260" s="96"/>
      <c r="O260" s="96"/>
      <c r="P260" s="96"/>
      <c r="Q260" s="96"/>
      <c r="R260" s="96"/>
      <c r="S260" s="96"/>
      <c r="T260" s="96"/>
      <c r="U260" s="96"/>
      <c r="V260" s="96"/>
      <c r="W260" s="96"/>
      <c r="X260" s="96"/>
      <c r="Y260" s="96"/>
      <c r="Z260" s="96"/>
      <c r="AA260" s="96"/>
      <c r="AB260" s="96"/>
      <c r="AC260" s="96"/>
      <c r="AD260" s="96"/>
      <c r="AE260" s="96"/>
      <c r="AF260" s="96"/>
      <c r="AG260" s="96"/>
      <c r="AH260" s="96"/>
      <c r="AI260" s="96"/>
      <c r="AJ260" s="96"/>
      <c r="AK260" s="96"/>
      <c r="AL260" s="96"/>
      <c r="AM260" s="96"/>
      <c r="AN260" s="96"/>
      <c r="AO260" s="96"/>
      <c r="AP260" s="96"/>
      <c r="AQ260" s="96"/>
      <c r="AR260" s="96"/>
      <c r="AS260" s="96"/>
      <c r="AT260" s="96"/>
      <c r="AU260" s="96"/>
      <c r="AV260" s="96"/>
      <c r="AW260" s="96"/>
      <c r="AX260" s="96"/>
      <c r="AY260" s="96"/>
      <c r="AZ260" s="96"/>
      <c r="BA260" s="96"/>
      <c r="BB260" s="96"/>
    </row>
    <row r="261" spans="2:54" x14ac:dyDescent="0.25">
      <c r="B261" s="96"/>
      <c r="C261" s="96"/>
      <c r="D261" s="96"/>
      <c r="E261" s="96"/>
      <c r="F261" s="96"/>
      <c r="G261" s="96"/>
      <c r="H261" s="96"/>
      <c r="I261" s="96"/>
      <c r="J261" s="96"/>
      <c r="K261" s="96"/>
      <c r="L261" s="96"/>
      <c r="M261" s="96"/>
      <c r="N261" s="96"/>
      <c r="O261" s="96"/>
      <c r="P261" s="96"/>
      <c r="Q261" s="96"/>
      <c r="R261" s="96"/>
      <c r="S261" s="96"/>
      <c r="T261" s="96"/>
      <c r="U261" s="96"/>
      <c r="V261" s="96"/>
      <c r="W261" s="96"/>
      <c r="X261" s="96"/>
      <c r="Y261" s="96"/>
      <c r="Z261" s="96"/>
      <c r="AA261" s="96"/>
      <c r="AB261" s="96"/>
      <c r="AC261" s="96"/>
      <c r="AD261" s="96"/>
      <c r="AE261" s="96"/>
      <c r="AF261" s="96"/>
      <c r="AG261" s="96"/>
      <c r="AH261" s="96"/>
      <c r="AI261" s="96"/>
      <c r="AJ261" s="96"/>
      <c r="AK261" s="96"/>
      <c r="AL261" s="96"/>
      <c r="AM261" s="96"/>
      <c r="AN261" s="96"/>
      <c r="AO261" s="96"/>
      <c r="AP261" s="96"/>
      <c r="AQ261" s="96"/>
      <c r="AR261" s="96"/>
      <c r="AS261" s="96"/>
      <c r="AT261" s="96"/>
      <c r="AU261" s="96"/>
      <c r="AV261" s="96"/>
      <c r="AW261" s="96"/>
      <c r="AX261" s="96"/>
      <c r="AY261" s="96"/>
      <c r="AZ261" s="96"/>
      <c r="BA261" s="96"/>
      <c r="BB261" s="96"/>
    </row>
    <row r="262" spans="2:54" x14ac:dyDescent="0.25">
      <c r="B262" s="96"/>
      <c r="C262" s="96"/>
      <c r="D262" s="96"/>
      <c r="E262" s="96"/>
      <c r="F262" s="96"/>
      <c r="G262" s="96"/>
      <c r="H262" s="96"/>
      <c r="I262" s="96"/>
      <c r="J262" s="96"/>
      <c r="K262" s="96"/>
      <c r="L262" s="96"/>
      <c r="M262" s="96"/>
      <c r="N262" s="96"/>
      <c r="O262" s="96"/>
      <c r="P262" s="96"/>
      <c r="Q262" s="96"/>
      <c r="R262" s="96"/>
      <c r="S262" s="96"/>
      <c r="T262" s="96"/>
      <c r="U262" s="96"/>
      <c r="V262" s="96"/>
      <c r="W262" s="96"/>
      <c r="X262" s="96"/>
      <c r="Y262" s="96"/>
      <c r="Z262" s="96"/>
      <c r="AA262" s="96"/>
      <c r="AB262" s="96"/>
      <c r="AC262" s="96"/>
      <c r="AD262" s="96"/>
      <c r="AE262" s="96"/>
      <c r="AF262" s="96"/>
      <c r="AG262" s="96"/>
      <c r="AH262" s="96"/>
      <c r="AI262" s="96"/>
      <c r="AJ262" s="96"/>
      <c r="AK262" s="96"/>
      <c r="AL262" s="96"/>
      <c r="AM262" s="96"/>
      <c r="AN262" s="96"/>
      <c r="AO262" s="96"/>
      <c r="AP262" s="96"/>
      <c r="AQ262" s="96"/>
      <c r="AR262" s="96"/>
      <c r="AS262" s="96"/>
      <c r="AT262" s="96"/>
      <c r="AU262" s="96"/>
      <c r="AV262" s="96"/>
      <c r="AW262" s="96"/>
      <c r="AX262" s="96"/>
      <c r="AY262" s="96"/>
      <c r="AZ262" s="96"/>
      <c r="BA262" s="96"/>
      <c r="BB262" s="96"/>
    </row>
    <row r="263" spans="2:54" x14ac:dyDescent="0.25">
      <c r="B263" s="96"/>
      <c r="C263" s="96"/>
      <c r="D263" s="96"/>
      <c r="E263" s="96"/>
      <c r="F263" s="96"/>
      <c r="G263" s="96"/>
      <c r="H263" s="96"/>
      <c r="I263" s="96"/>
      <c r="J263" s="96"/>
      <c r="K263" s="96"/>
      <c r="L263" s="96"/>
      <c r="M263" s="96"/>
      <c r="N263" s="96"/>
      <c r="O263" s="96"/>
      <c r="P263" s="96"/>
      <c r="Q263" s="96"/>
      <c r="R263" s="96"/>
      <c r="S263" s="96"/>
      <c r="T263" s="96"/>
      <c r="U263" s="96"/>
      <c r="V263" s="96"/>
      <c r="W263" s="96"/>
      <c r="X263" s="96"/>
      <c r="Y263" s="96"/>
      <c r="Z263" s="96"/>
      <c r="AA263" s="96"/>
      <c r="AB263" s="96"/>
      <c r="AC263" s="96"/>
      <c r="AD263" s="96"/>
      <c r="AE263" s="96"/>
      <c r="AF263" s="96"/>
      <c r="AG263" s="96"/>
      <c r="AH263" s="96"/>
      <c r="AI263" s="96"/>
      <c r="AJ263" s="96"/>
      <c r="AK263" s="96"/>
      <c r="AL263" s="96"/>
      <c r="AM263" s="96"/>
      <c r="AN263" s="96"/>
      <c r="AO263" s="96"/>
      <c r="AP263" s="96"/>
      <c r="AQ263" s="96"/>
      <c r="AR263" s="96"/>
      <c r="AS263" s="96"/>
      <c r="AT263" s="96"/>
      <c r="AU263" s="96"/>
      <c r="AV263" s="96"/>
      <c r="AW263" s="96"/>
      <c r="AX263" s="96"/>
      <c r="AY263" s="96"/>
      <c r="AZ263" s="96"/>
      <c r="BA263" s="96"/>
      <c r="BB263" s="96"/>
    </row>
    <row r="264" spans="2:54" x14ac:dyDescent="0.25">
      <c r="B264" s="96"/>
      <c r="C264" s="96"/>
      <c r="D264" s="96"/>
      <c r="E264" s="96"/>
      <c r="F264" s="96"/>
      <c r="G264" s="96"/>
      <c r="H264" s="96"/>
      <c r="I264" s="96"/>
      <c r="J264" s="96"/>
      <c r="K264" s="96"/>
      <c r="L264" s="96"/>
      <c r="M264" s="96"/>
      <c r="N264" s="96"/>
      <c r="O264" s="96"/>
      <c r="P264" s="96"/>
      <c r="Q264" s="96"/>
      <c r="R264" s="96"/>
      <c r="S264" s="96"/>
      <c r="T264" s="96"/>
      <c r="U264" s="96"/>
      <c r="V264" s="96"/>
      <c r="W264" s="96"/>
      <c r="X264" s="96"/>
      <c r="Y264" s="96"/>
      <c r="Z264" s="96"/>
      <c r="AA264" s="96"/>
      <c r="AB264" s="96"/>
      <c r="AC264" s="96"/>
      <c r="AD264" s="96"/>
      <c r="AE264" s="96"/>
      <c r="AF264" s="96"/>
      <c r="AG264" s="96"/>
      <c r="AH264" s="96"/>
      <c r="AI264" s="96"/>
      <c r="AJ264" s="96"/>
      <c r="AK264" s="96"/>
      <c r="AL264" s="96"/>
      <c r="AM264" s="96"/>
      <c r="AN264" s="96"/>
      <c r="AO264" s="96"/>
      <c r="AP264" s="96"/>
      <c r="AQ264" s="96"/>
      <c r="AR264" s="96"/>
      <c r="AS264" s="96"/>
      <c r="AT264" s="96"/>
      <c r="AU264" s="96"/>
      <c r="AV264" s="96"/>
      <c r="AW264" s="96"/>
      <c r="AX264" s="96"/>
      <c r="AY264" s="96"/>
      <c r="AZ264" s="96"/>
      <c r="BA264" s="96"/>
      <c r="BB264" s="96"/>
    </row>
    <row r="265" spans="2:54" x14ac:dyDescent="0.25">
      <c r="B265" s="96"/>
      <c r="C265" s="96"/>
      <c r="D265" s="96"/>
      <c r="E265" s="96"/>
      <c r="F265" s="96"/>
      <c r="G265" s="96"/>
      <c r="H265" s="96"/>
      <c r="I265" s="96"/>
      <c r="J265" s="96"/>
      <c r="K265" s="96"/>
      <c r="L265" s="96"/>
      <c r="M265" s="96"/>
      <c r="N265" s="96"/>
      <c r="O265" s="96"/>
      <c r="P265" s="96"/>
      <c r="Q265" s="96"/>
      <c r="R265" s="96"/>
      <c r="S265" s="96"/>
      <c r="T265" s="96"/>
      <c r="U265" s="96"/>
      <c r="V265" s="96"/>
      <c r="W265" s="96"/>
      <c r="X265" s="96"/>
      <c r="Y265" s="96"/>
      <c r="Z265" s="96"/>
      <c r="AA265" s="96"/>
      <c r="AB265" s="96"/>
      <c r="AC265" s="96"/>
      <c r="AD265" s="96"/>
      <c r="AE265" s="96"/>
      <c r="AF265" s="96"/>
      <c r="AG265" s="96"/>
      <c r="AH265" s="96"/>
      <c r="AI265" s="96"/>
      <c r="AJ265" s="96"/>
      <c r="AK265" s="96"/>
      <c r="AL265" s="96"/>
      <c r="AM265" s="96"/>
      <c r="AN265" s="96"/>
      <c r="AO265" s="96"/>
      <c r="AP265" s="96"/>
      <c r="AQ265" s="96"/>
      <c r="AR265" s="96"/>
      <c r="AS265" s="96"/>
      <c r="AT265" s="96"/>
      <c r="AU265" s="96"/>
      <c r="AV265" s="96"/>
      <c r="AW265" s="96"/>
      <c r="AX265" s="96"/>
      <c r="AY265" s="96"/>
      <c r="AZ265" s="96"/>
      <c r="BA265" s="96"/>
      <c r="BB265" s="96"/>
    </row>
    <row r="266" spans="2:54" x14ac:dyDescent="0.25">
      <c r="B266" s="96"/>
      <c r="C266" s="96"/>
      <c r="D266" s="96"/>
      <c r="E266" s="96"/>
      <c r="F266" s="96"/>
      <c r="G266" s="96"/>
      <c r="H266" s="96"/>
      <c r="I266" s="96"/>
      <c r="J266" s="96"/>
      <c r="K266" s="96"/>
      <c r="L266" s="96"/>
      <c r="M266" s="96"/>
      <c r="N266" s="96"/>
      <c r="O266" s="96"/>
      <c r="P266" s="96"/>
      <c r="Q266" s="96"/>
      <c r="R266" s="96"/>
      <c r="S266" s="96"/>
      <c r="T266" s="96"/>
      <c r="U266" s="96"/>
      <c r="V266" s="96"/>
      <c r="W266" s="96"/>
      <c r="X266" s="96"/>
      <c r="Y266" s="96"/>
      <c r="Z266" s="96"/>
      <c r="AA266" s="96"/>
      <c r="AB266" s="96"/>
      <c r="AC266" s="96"/>
      <c r="AD266" s="96"/>
      <c r="AE266" s="96"/>
      <c r="AF266" s="96"/>
      <c r="AG266" s="96"/>
      <c r="AH266" s="96"/>
      <c r="AI266" s="96"/>
      <c r="AJ266" s="96"/>
      <c r="AK266" s="96"/>
      <c r="AL266" s="96"/>
      <c r="AM266" s="96"/>
      <c r="AN266" s="96"/>
      <c r="AO266" s="96"/>
      <c r="AP266" s="96"/>
      <c r="AQ266" s="96"/>
      <c r="AR266" s="96"/>
      <c r="AS266" s="96"/>
      <c r="AT266" s="96"/>
      <c r="AU266" s="96"/>
      <c r="AV266" s="96"/>
      <c r="AW266" s="96"/>
      <c r="AX266" s="96"/>
      <c r="AY266" s="96"/>
      <c r="AZ266" s="96"/>
      <c r="BA266" s="96"/>
      <c r="BB266" s="96"/>
    </row>
    <row r="267" spans="2:54" x14ac:dyDescent="0.25">
      <c r="B267" s="96"/>
      <c r="C267" s="96"/>
      <c r="D267" s="96"/>
      <c r="E267" s="96"/>
      <c r="F267" s="96"/>
      <c r="G267" s="96"/>
      <c r="H267" s="96"/>
      <c r="I267" s="96"/>
      <c r="J267" s="96"/>
      <c r="K267" s="96"/>
      <c r="L267" s="96"/>
      <c r="M267" s="96"/>
      <c r="N267" s="96"/>
      <c r="O267" s="96"/>
      <c r="P267" s="96"/>
      <c r="Q267" s="96"/>
      <c r="R267" s="96"/>
      <c r="S267" s="96"/>
      <c r="T267" s="96"/>
      <c r="U267" s="96"/>
      <c r="V267" s="96"/>
      <c r="W267" s="96"/>
      <c r="X267" s="96"/>
      <c r="Y267" s="96"/>
      <c r="Z267" s="96"/>
      <c r="AA267" s="96"/>
      <c r="AB267" s="96"/>
      <c r="AC267" s="96"/>
      <c r="AD267" s="96"/>
      <c r="AE267" s="96"/>
      <c r="AF267" s="96"/>
      <c r="AG267" s="96"/>
      <c r="AH267" s="96"/>
      <c r="AI267" s="96"/>
      <c r="AJ267" s="96"/>
      <c r="AK267" s="96"/>
      <c r="AL267" s="96"/>
      <c r="AM267" s="96"/>
      <c r="AN267" s="96"/>
      <c r="AO267" s="96"/>
      <c r="AP267" s="96"/>
      <c r="AQ267" s="96"/>
      <c r="AR267" s="96"/>
      <c r="AS267" s="96"/>
      <c r="AT267" s="96"/>
      <c r="AU267" s="96"/>
      <c r="AV267" s="96"/>
      <c r="AW267" s="96"/>
      <c r="AX267" s="96"/>
      <c r="AY267" s="96"/>
      <c r="AZ267" s="96"/>
      <c r="BA267" s="96"/>
      <c r="BB267" s="96"/>
    </row>
    <row r="268" spans="2:54" x14ac:dyDescent="0.25">
      <c r="B268" s="96"/>
      <c r="C268" s="96"/>
      <c r="D268" s="96"/>
      <c r="E268" s="96"/>
      <c r="F268" s="96"/>
      <c r="G268" s="96"/>
      <c r="H268" s="96"/>
      <c r="I268" s="96"/>
      <c r="J268" s="96"/>
      <c r="K268" s="96"/>
      <c r="L268" s="96"/>
      <c r="M268" s="96"/>
      <c r="N268" s="96"/>
      <c r="O268" s="96"/>
      <c r="P268" s="96"/>
      <c r="Q268" s="96"/>
      <c r="R268" s="96"/>
      <c r="S268" s="96"/>
      <c r="T268" s="96"/>
      <c r="U268" s="96"/>
      <c r="V268" s="96"/>
      <c r="W268" s="96"/>
      <c r="X268" s="96"/>
      <c r="Y268" s="96"/>
      <c r="Z268" s="96"/>
      <c r="AA268" s="96"/>
      <c r="AB268" s="96"/>
      <c r="AC268" s="96"/>
      <c r="AD268" s="96"/>
      <c r="AE268" s="96"/>
      <c r="AF268" s="96"/>
      <c r="AG268" s="96"/>
      <c r="AH268" s="96"/>
      <c r="AI268" s="96"/>
      <c r="AJ268" s="96"/>
      <c r="AK268" s="96"/>
      <c r="AL268" s="96"/>
      <c r="AM268" s="96"/>
      <c r="AN268" s="96"/>
      <c r="AO268" s="96"/>
      <c r="AP268" s="96"/>
      <c r="AQ268" s="96"/>
      <c r="AR268" s="96"/>
      <c r="AS268" s="96"/>
      <c r="AT268" s="96"/>
      <c r="AU268" s="96"/>
      <c r="AV268" s="96"/>
      <c r="AW268" s="96"/>
      <c r="AX268" s="96"/>
      <c r="AY268" s="96"/>
      <c r="AZ268" s="96"/>
      <c r="BA268" s="96"/>
      <c r="BB268" s="96"/>
    </row>
    <row r="269" spans="2:54" x14ac:dyDescent="0.25">
      <c r="B269" s="96"/>
      <c r="C269" s="96"/>
      <c r="D269" s="96"/>
      <c r="E269" s="96"/>
      <c r="F269" s="96"/>
      <c r="G269" s="96"/>
      <c r="H269" s="96"/>
      <c r="I269" s="96"/>
      <c r="J269" s="96"/>
      <c r="K269" s="96"/>
      <c r="L269" s="96"/>
      <c r="M269" s="96"/>
      <c r="N269" s="96"/>
      <c r="O269" s="96"/>
      <c r="P269" s="96"/>
      <c r="Q269" s="96"/>
      <c r="R269" s="96"/>
      <c r="S269" s="96"/>
      <c r="T269" s="96"/>
      <c r="U269" s="96"/>
      <c r="V269" s="96"/>
      <c r="W269" s="96"/>
      <c r="X269" s="96"/>
      <c r="Y269" s="96"/>
      <c r="Z269" s="96"/>
      <c r="AA269" s="96"/>
      <c r="AB269" s="96"/>
      <c r="AC269" s="96"/>
      <c r="AD269" s="96"/>
      <c r="AE269" s="96"/>
      <c r="AF269" s="96"/>
      <c r="AG269" s="96"/>
      <c r="AH269" s="96"/>
      <c r="AI269" s="96"/>
      <c r="AJ269" s="96"/>
      <c r="AK269" s="96"/>
      <c r="AL269" s="96"/>
      <c r="AM269" s="96"/>
      <c r="AN269" s="96"/>
      <c r="AO269" s="96"/>
      <c r="AP269" s="96"/>
      <c r="AQ269" s="96"/>
      <c r="AR269" s="96"/>
      <c r="AS269" s="96"/>
      <c r="AT269" s="96"/>
      <c r="AU269" s="96"/>
      <c r="AV269" s="96"/>
      <c r="AW269" s="96"/>
      <c r="AX269" s="96"/>
      <c r="AY269" s="96"/>
      <c r="AZ269" s="96"/>
      <c r="BA269" s="96"/>
      <c r="BB269" s="96"/>
    </row>
    <row r="270" spans="2:54" x14ac:dyDescent="0.25">
      <c r="B270" s="96"/>
      <c r="C270" s="96"/>
      <c r="D270" s="96"/>
      <c r="E270" s="96"/>
      <c r="F270" s="96"/>
      <c r="G270" s="96"/>
      <c r="H270" s="96"/>
      <c r="I270" s="96"/>
      <c r="J270" s="96"/>
      <c r="K270" s="96"/>
      <c r="L270" s="96"/>
      <c r="M270" s="96"/>
      <c r="N270" s="96"/>
      <c r="O270" s="96"/>
      <c r="P270" s="96"/>
      <c r="Q270" s="96"/>
      <c r="R270" s="96"/>
      <c r="S270" s="96"/>
      <c r="T270" s="96"/>
      <c r="U270" s="96"/>
      <c r="V270" s="96"/>
      <c r="W270" s="96"/>
      <c r="X270" s="96"/>
      <c r="Y270" s="96"/>
      <c r="Z270" s="96"/>
      <c r="AA270" s="96"/>
      <c r="AB270" s="96"/>
      <c r="AC270" s="96"/>
      <c r="AD270" s="96"/>
      <c r="AE270" s="96"/>
      <c r="AF270" s="96"/>
      <c r="AG270" s="96"/>
      <c r="AH270" s="96"/>
      <c r="AI270" s="96"/>
      <c r="AJ270" s="96"/>
      <c r="AK270" s="96"/>
      <c r="AL270" s="96"/>
      <c r="AM270" s="96"/>
      <c r="AN270" s="96"/>
      <c r="AO270" s="96"/>
      <c r="AP270" s="96"/>
      <c r="AQ270" s="96"/>
      <c r="AR270" s="96"/>
      <c r="AS270" s="96"/>
      <c r="AT270" s="96"/>
      <c r="AU270" s="96"/>
      <c r="AV270" s="96"/>
      <c r="AW270" s="96"/>
      <c r="AX270" s="96"/>
      <c r="AY270" s="96"/>
      <c r="AZ270" s="96"/>
      <c r="BA270" s="96"/>
      <c r="BB270" s="96"/>
    </row>
    <row r="271" spans="2:54" x14ac:dyDescent="0.25">
      <c r="B271" s="96"/>
      <c r="C271" s="96"/>
      <c r="D271" s="96"/>
      <c r="E271" s="96"/>
      <c r="F271" s="96"/>
      <c r="G271" s="96"/>
      <c r="H271" s="96"/>
      <c r="I271" s="96"/>
      <c r="J271" s="96"/>
      <c r="K271" s="96"/>
      <c r="L271" s="96"/>
      <c r="M271" s="96"/>
      <c r="N271" s="96"/>
      <c r="O271" s="96"/>
      <c r="P271" s="96"/>
      <c r="Q271" s="96"/>
      <c r="R271" s="96"/>
      <c r="S271" s="96"/>
      <c r="T271" s="96"/>
      <c r="U271" s="96"/>
      <c r="V271" s="96"/>
      <c r="W271" s="96"/>
      <c r="X271" s="96"/>
      <c r="Y271" s="96"/>
      <c r="Z271" s="96"/>
      <c r="AA271" s="96"/>
      <c r="AB271" s="96"/>
      <c r="AC271" s="96"/>
      <c r="AD271" s="96"/>
      <c r="AE271" s="96"/>
      <c r="AF271" s="96"/>
      <c r="AG271" s="96"/>
      <c r="AH271" s="96"/>
      <c r="AI271" s="96"/>
      <c r="AJ271" s="96"/>
      <c r="AK271" s="96"/>
      <c r="AL271" s="96"/>
      <c r="AM271" s="96"/>
      <c r="AN271" s="96"/>
      <c r="AO271" s="96"/>
      <c r="AP271" s="96"/>
      <c r="AQ271" s="96"/>
      <c r="AR271" s="96"/>
      <c r="AS271" s="96"/>
      <c r="AT271" s="96"/>
      <c r="AU271" s="96"/>
      <c r="AV271" s="96"/>
      <c r="AW271" s="96"/>
      <c r="AX271" s="96"/>
      <c r="AY271" s="96"/>
      <c r="AZ271" s="96"/>
      <c r="BA271" s="96"/>
      <c r="BB271" s="96"/>
    </row>
    <row r="272" spans="2:54" x14ac:dyDescent="0.25">
      <c r="B272" s="96"/>
      <c r="C272" s="96"/>
      <c r="D272" s="96"/>
      <c r="E272" s="96"/>
      <c r="F272" s="96"/>
      <c r="G272" s="96"/>
      <c r="H272" s="96"/>
      <c r="I272" s="96"/>
      <c r="J272" s="96"/>
      <c r="K272" s="96"/>
      <c r="L272" s="96"/>
      <c r="M272" s="96"/>
      <c r="N272" s="96"/>
      <c r="O272" s="96"/>
      <c r="P272" s="96"/>
      <c r="Q272" s="96"/>
      <c r="R272" s="96"/>
      <c r="S272" s="96"/>
      <c r="T272" s="96"/>
      <c r="U272" s="96"/>
      <c r="V272" s="96"/>
      <c r="W272" s="96"/>
      <c r="X272" s="96"/>
      <c r="Y272" s="96"/>
      <c r="Z272" s="96"/>
      <c r="AA272" s="96"/>
      <c r="AB272" s="96"/>
      <c r="AC272" s="96"/>
      <c r="AD272" s="96"/>
      <c r="AE272" s="96"/>
      <c r="AF272" s="96"/>
      <c r="AG272" s="96"/>
      <c r="AH272" s="96"/>
      <c r="AI272" s="96"/>
      <c r="AJ272" s="96"/>
      <c r="AK272" s="96"/>
      <c r="AL272" s="96"/>
      <c r="AM272" s="96"/>
      <c r="AN272" s="96"/>
      <c r="AO272" s="96"/>
      <c r="AP272" s="96"/>
      <c r="AQ272" s="96"/>
      <c r="AR272" s="96"/>
      <c r="AS272" s="96"/>
      <c r="AT272" s="96"/>
      <c r="AU272" s="96"/>
      <c r="AV272" s="96"/>
      <c r="AW272" s="96"/>
      <c r="AX272" s="96"/>
      <c r="AY272" s="96"/>
      <c r="AZ272" s="96"/>
      <c r="BA272" s="96"/>
      <c r="BB272" s="96"/>
    </row>
    <row r="273" spans="2:54" x14ac:dyDescent="0.25">
      <c r="B273" s="96"/>
      <c r="C273" s="96"/>
      <c r="D273" s="96"/>
      <c r="E273" s="96"/>
      <c r="F273" s="96"/>
      <c r="G273" s="96"/>
      <c r="H273" s="96"/>
      <c r="I273" s="96"/>
      <c r="J273" s="96"/>
      <c r="K273" s="96"/>
      <c r="L273" s="96"/>
      <c r="M273" s="96"/>
      <c r="N273" s="96"/>
      <c r="O273" s="96"/>
      <c r="P273" s="96"/>
      <c r="Q273" s="96"/>
      <c r="R273" s="96"/>
      <c r="S273" s="96"/>
      <c r="T273" s="96"/>
      <c r="U273" s="96"/>
      <c r="V273" s="96"/>
      <c r="W273" s="96"/>
      <c r="X273" s="96"/>
      <c r="Y273" s="96"/>
      <c r="Z273" s="96"/>
      <c r="AA273" s="96"/>
      <c r="AB273" s="96"/>
      <c r="AC273" s="96"/>
      <c r="AD273" s="96"/>
      <c r="AE273" s="96"/>
      <c r="AF273" s="96"/>
      <c r="AG273" s="96"/>
      <c r="AH273" s="96"/>
      <c r="AI273" s="96"/>
      <c r="AJ273" s="96"/>
      <c r="AK273" s="96"/>
      <c r="AL273" s="96"/>
      <c r="AM273" s="96"/>
      <c r="AN273" s="96"/>
      <c r="AO273" s="96"/>
      <c r="AP273" s="96"/>
      <c r="AQ273" s="96"/>
      <c r="AR273" s="96"/>
      <c r="AS273" s="96"/>
      <c r="AT273" s="96"/>
      <c r="AU273" s="96"/>
      <c r="AV273" s="96"/>
      <c r="AW273" s="96"/>
      <c r="AX273" s="96"/>
      <c r="AY273" s="96"/>
      <c r="AZ273" s="96"/>
      <c r="BA273" s="96"/>
      <c r="BB273" s="96"/>
    </row>
    <row r="274" spans="2:54" x14ac:dyDescent="0.25">
      <c r="B274" s="96"/>
      <c r="C274" s="96"/>
      <c r="D274" s="96"/>
      <c r="E274" s="96"/>
      <c r="F274" s="96"/>
      <c r="G274" s="96"/>
      <c r="H274" s="96"/>
      <c r="I274" s="96"/>
      <c r="J274" s="96"/>
      <c r="K274" s="96"/>
      <c r="L274" s="96"/>
      <c r="M274" s="96"/>
      <c r="N274" s="96"/>
      <c r="O274" s="96"/>
      <c r="P274" s="96"/>
      <c r="Q274" s="96"/>
      <c r="R274" s="96"/>
      <c r="S274" s="96"/>
      <c r="T274" s="96"/>
      <c r="U274" s="96"/>
      <c r="V274" s="96"/>
      <c r="W274" s="96"/>
      <c r="X274" s="96"/>
      <c r="Y274" s="96"/>
      <c r="Z274" s="96"/>
      <c r="AA274" s="96"/>
      <c r="AB274" s="96"/>
      <c r="AC274" s="96"/>
      <c r="AD274" s="96"/>
      <c r="AE274" s="96"/>
      <c r="AF274" s="96"/>
      <c r="AG274" s="96"/>
      <c r="AH274" s="96"/>
      <c r="AI274" s="96"/>
      <c r="AJ274" s="96"/>
      <c r="AK274" s="96"/>
      <c r="AL274" s="96"/>
      <c r="AM274" s="96"/>
      <c r="AN274" s="96"/>
      <c r="AO274" s="96"/>
      <c r="AP274" s="96"/>
      <c r="AQ274" s="96"/>
      <c r="AR274" s="96"/>
      <c r="AS274" s="96"/>
      <c r="AT274" s="96"/>
      <c r="AU274" s="96"/>
      <c r="AV274" s="96"/>
      <c r="AW274" s="96"/>
      <c r="AX274" s="96"/>
      <c r="AY274" s="96"/>
      <c r="AZ274" s="96"/>
      <c r="BA274" s="96"/>
      <c r="BB274" s="96"/>
    </row>
    <row r="275" spans="2:54" x14ac:dyDescent="0.25">
      <c r="B275" s="96"/>
      <c r="C275" s="96"/>
      <c r="D275" s="96"/>
      <c r="E275" s="96"/>
      <c r="F275" s="96"/>
      <c r="G275" s="96"/>
      <c r="H275" s="96"/>
      <c r="I275" s="96"/>
      <c r="J275" s="96"/>
      <c r="K275" s="96"/>
      <c r="L275" s="96"/>
      <c r="M275" s="96"/>
      <c r="N275" s="96"/>
      <c r="O275" s="96"/>
      <c r="P275" s="96"/>
      <c r="Q275" s="96"/>
      <c r="R275" s="96"/>
      <c r="S275" s="96"/>
      <c r="T275" s="96"/>
      <c r="U275" s="96"/>
      <c r="V275" s="96"/>
      <c r="W275" s="96"/>
      <c r="X275" s="96"/>
      <c r="Y275" s="96"/>
      <c r="Z275" s="96"/>
      <c r="AA275" s="96"/>
      <c r="AB275" s="96"/>
      <c r="AC275" s="96"/>
      <c r="AD275" s="96"/>
      <c r="AE275" s="96"/>
      <c r="AF275" s="96"/>
      <c r="AG275" s="96"/>
      <c r="AH275" s="96"/>
      <c r="AI275" s="96"/>
      <c r="AJ275" s="96"/>
      <c r="AK275" s="96"/>
      <c r="AL275" s="96"/>
      <c r="AM275" s="96"/>
      <c r="AN275" s="96"/>
      <c r="AO275" s="96"/>
      <c r="AP275" s="96"/>
      <c r="AQ275" s="96"/>
      <c r="AR275" s="96"/>
      <c r="AS275" s="96"/>
      <c r="AT275" s="96"/>
      <c r="AU275" s="96"/>
      <c r="AV275" s="96"/>
      <c r="AW275" s="96"/>
      <c r="AX275" s="96"/>
      <c r="AY275" s="96"/>
      <c r="AZ275" s="96"/>
      <c r="BA275" s="96"/>
      <c r="BB275" s="96"/>
    </row>
    <row r="276" spans="2:54" x14ac:dyDescent="0.25">
      <c r="B276" s="96"/>
      <c r="C276" s="96"/>
      <c r="D276" s="96"/>
      <c r="E276" s="96"/>
      <c r="F276" s="96"/>
      <c r="G276" s="96"/>
      <c r="H276" s="96"/>
      <c r="I276" s="96"/>
      <c r="J276" s="96"/>
      <c r="K276" s="96"/>
      <c r="L276" s="96"/>
      <c r="M276" s="96"/>
      <c r="N276" s="96"/>
      <c r="O276" s="96"/>
      <c r="P276" s="96"/>
      <c r="Q276" s="96"/>
      <c r="R276" s="96"/>
      <c r="S276" s="96"/>
      <c r="T276" s="96"/>
      <c r="U276" s="96"/>
      <c r="V276" s="96"/>
      <c r="W276" s="96"/>
      <c r="X276" s="96"/>
      <c r="Y276" s="96"/>
      <c r="Z276" s="96"/>
      <c r="AA276" s="96"/>
      <c r="AB276" s="96"/>
      <c r="AC276" s="96"/>
      <c r="AD276" s="96"/>
      <c r="AE276" s="96"/>
      <c r="AF276" s="96"/>
      <c r="AG276" s="96"/>
      <c r="AH276" s="96"/>
      <c r="AI276" s="96"/>
      <c r="AJ276" s="96"/>
      <c r="AK276" s="96"/>
      <c r="AL276" s="96"/>
      <c r="AM276" s="96"/>
      <c r="AN276" s="96"/>
      <c r="AO276" s="96"/>
      <c r="AP276" s="96"/>
      <c r="AQ276" s="96"/>
      <c r="AR276" s="96"/>
      <c r="AS276" s="96"/>
      <c r="AT276" s="96"/>
      <c r="AU276" s="96"/>
      <c r="AV276" s="96"/>
      <c r="AW276" s="96"/>
      <c r="AX276" s="96"/>
      <c r="AY276" s="96"/>
      <c r="AZ276" s="96"/>
      <c r="BA276" s="96"/>
      <c r="BB276" s="96"/>
    </row>
    <row r="277" spans="2:54" x14ac:dyDescent="0.25">
      <c r="B277" s="96"/>
      <c r="C277" s="96"/>
      <c r="D277" s="96"/>
      <c r="E277" s="96"/>
      <c r="F277" s="96"/>
      <c r="G277" s="96"/>
      <c r="H277" s="96"/>
      <c r="I277" s="96"/>
      <c r="J277" s="96"/>
      <c r="K277" s="96"/>
      <c r="L277" s="96"/>
      <c r="M277" s="96"/>
      <c r="N277" s="96"/>
      <c r="O277" s="96"/>
      <c r="P277" s="96"/>
      <c r="Q277" s="96"/>
      <c r="R277" s="96"/>
      <c r="S277" s="96"/>
      <c r="T277" s="96"/>
      <c r="U277" s="96"/>
      <c r="V277" s="96"/>
      <c r="W277" s="96"/>
      <c r="X277" s="96"/>
      <c r="Y277" s="96"/>
      <c r="Z277" s="96"/>
      <c r="AA277" s="96"/>
      <c r="AB277" s="96"/>
      <c r="AC277" s="96"/>
      <c r="AD277" s="96"/>
      <c r="AE277" s="96"/>
      <c r="AF277" s="96"/>
      <c r="AG277" s="96"/>
      <c r="AH277" s="96"/>
      <c r="AI277" s="96"/>
      <c r="AJ277" s="96"/>
      <c r="AK277" s="96"/>
      <c r="AL277" s="96"/>
      <c r="AM277" s="96"/>
      <c r="AN277" s="96"/>
      <c r="AO277" s="96"/>
      <c r="AP277" s="96"/>
      <c r="AQ277" s="96"/>
      <c r="AR277" s="96"/>
      <c r="AS277" s="96"/>
      <c r="AT277" s="96"/>
      <c r="AU277" s="96"/>
      <c r="AV277" s="96"/>
      <c r="AW277" s="96"/>
      <c r="AX277" s="96"/>
      <c r="AY277" s="96"/>
      <c r="AZ277" s="96"/>
      <c r="BA277" s="96"/>
      <c r="BB277" s="96"/>
    </row>
    <row r="278" spans="2:54" x14ac:dyDescent="0.25">
      <c r="B278" s="96"/>
      <c r="C278" s="96"/>
      <c r="D278" s="96"/>
      <c r="E278" s="96"/>
      <c r="F278" s="96"/>
      <c r="G278" s="96"/>
      <c r="H278" s="96"/>
      <c r="I278" s="96"/>
      <c r="J278" s="96"/>
      <c r="K278" s="96"/>
      <c r="L278" s="96"/>
      <c r="M278" s="96"/>
      <c r="N278" s="96"/>
      <c r="O278" s="96"/>
      <c r="P278" s="96"/>
      <c r="Q278" s="96"/>
      <c r="R278" s="96"/>
      <c r="S278" s="96"/>
      <c r="T278" s="96"/>
      <c r="U278" s="96"/>
      <c r="V278" s="96"/>
      <c r="W278" s="96"/>
      <c r="X278" s="96"/>
      <c r="Y278" s="96"/>
      <c r="Z278" s="96"/>
      <c r="AA278" s="96"/>
      <c r="AB278" s="96"/>
      <c r="AC278" s="96"/>
      <c r="AD278" s="96"/>
      <c r="AE278" s="96"/>
      <c r="AF278" s="96"/>
      <c r="AG278" s="96"/>
      <c r="AH278" s="96"/>
      <c r="AI278" s="96"/>
      <c r="AJ278" s="96"/>
      <c r="AK278" s="96"/>
      <c r="AL278" s="96"/>
      <c r="AM278" s="96"/>
      <c r="AN278" s="96"/>
      <c r="AO278" s="96"/>
      <c r="AP278" s="96"/>
      <c r="AQ278" s="96"/>
      <c r="AR278" s="96"/>
      <c r="AS278" s="96"/>
      <c r="AT278" s="96"/>
      <c r="AU278" s="96"/>
      <c r="AV278" s="96"/>
      <c r="AW278" s="96"/>
      <c r="AX278" s="96"/>
      <c r="AY278" s="96"/>
      <c r="AZ278" s="96"/>
      <c r="BA278" s="96"/>
      <c r="BB278" s="96"/>
    </row>
    <row r="279" spans="2:54" x14ac:dyDescent="0.25">
      <c r="B279" s="96"/>
      <c r="C279" s="96"/>
      <c r="D279" s="96"/>
      <c r="E279" s="96"/>
      <c r="F279" s="96"/>
      <c r="G279" s="96"/>
      <c r="H279" s="96"/>
      <c r="I279" s="96"/>
      <c r="J279" s="96"/>
      <c r="K279" s="96"/>
      <c r="L279" s="96"/>
      <c r="M279" s="96"/>
      <c r="N279" s="96"/>
      <c r="O279" s="96"/>
      <c r="P279" s="96"/>
      <c r="Q279" s="96"/>
      <c r="R279" s="96"/>
      <c r="S279" s="96"/>
      <c r="T279" s="96"/>
      <c r="U279" s="96"/>
      <c r="V279" s="96"/>
      <c r="W279" s="96"/>
      <c r="X279" s="96"/>
      <c r="Y279" s="96"/>
      <c r="Z279" s="96"/>
      <c r="AA279" s="96"/>
      <c r="AB279" s="96"/>
      <c r="AC279" s="96"/>
      <c r="AD279" s="96"/>
      <c r="AE279" s="96"/>
      <c r="AF279" s="96"/>
      <c r="AG279" s="96"/>
      <c r="AH279" s="96"/>
      <c r="AI279" s="96"/>
      <c r="AJ279" s="96"/>
      <c r="AK279" s="96"/>
      <c r="AL279" s="96"/>
      <c r="AM279" s="96"/>
      <c r="AN279" s="96"/>
      <c r="AO279" s="96"/>
      <c r="AP279" s="96"/>
      <c r="AQ279" s="96"/>
      <c r="AR279" s="96"/>
      <c r="AS279" s="96"/>
      <c r="AT279" s="96"/>
      <c r="AU279" s="96"/>
      <c r="AV279" s="96"/>
      <c r="AW279" s="96"/>
      <c r="AX279" s="96"/>
      <c r="AY279" s="96"/>
      <c r="AZ279" s="96"/>
      <c r="BA279" s="96"/>
      <c r="BB279" s="96"/>
    </row>
    <row r="280" spans="2:54" x14ac:dyDescent="0.25">
      <c r="B280" s="96"/>
      <c r="C280" s="96"/>
      <c r="D280" s="96"/>
      <c r="E280" s="96"/>
      <c r="F280" s="96"/>
      <c r="G280" s="96"/>
      <c r="H280" s="96"/>
      <c r="I280" s="96"/>
      <c r="J280" s="96"/>
      <c r="K280" s="96"/>
      <c r="L280" s="96"/>
      <c r="M280" s="96"/>
      <c r="N280" s="96"/>
      <c r="O280" s="96"/>
      <c r="P280" s="96"/>
      <c r="Q280" s="96"/>
      <c r="R280" s="96"/>
      <c r="S280" s="96"/>
      <c r="T280" s="96"/>
      <c r="U280" s="96"/>
      <c r="V280" s="96"/>
      <c r="W280" s="96"/>
      <c r="X280" s="96"/>
      <c r="Y280" s="96"/>
      <c r="Z280" s="96"/>
      <c r="AA280" s="96"/>
      <c r="AB280" s="96"/>
      <c r="AC280" s="96"/>
      <c r="AD280" s="96"/>
      <c r="AE280" s="96"/>
      <c r="AF280" s="96"/>
      <c r="AG280" s="96"/>
      <c r="AH280" s="96"/>
      <c r="AI280" s="96"/>
      <c r="AJ280" s="96"/>
      <c r="AK280" s="96"/>
      <c r="AL280" s="96"/>
      <c r="AM280" s="96"/>
      <c r="AN280" s="96"/>
      <c r="AO280" s="96"/>
      <c r="AP280" s="96"/>
      <c r="AQ280" s="96"/>
      <c r="AR280" s="96"/>
      <c r="AS280" s="96"/>
      <c r="AT280" s="96"/>
      <c r="AU280" s="96"/>
      <c r="AV280" s="96"/>
      <c r="AW280" s="96"/>
      <c r="AX280" s="96"/>
      <c r="AY280" s="96"/>
      <c r="AZ280" s="96"/>
      <c r="BA280" s="96"/>
      <c r="BB280" s="96"/>
    </row>
    <row r="281" spans="2:54" x14ac:dyDescent="0.25">
      <c r="B281" s="96"/>
      <c r="C281" s="96"/>
      <c r="D281" s="96"/>
      <c r="E281" s="96"/>
      <c r="F281" s="96"/>
      <c r="G281" s="96"/>
      <c r="H281" s="96"/>
      <c r="I281" s="96"/>
      <c r="J281" s="96"/>
      <c r="K281" s="96"/>
      <c r="L281" s="96"/>
      <c r="M281" s="96"/>
      <c r="N281" s="96"/>
      <c r="O281" s="96"/>
      <c r="P281" s="96"/>
      <c r="Q281" s="96"/>
      <c r="R281" s="96"/>
      <c r="S281" s="96"/>
      <c r="T281" s="96"/>
      <c r="U281" s="96"/>
      <c r="V281" s="96"/>
      <c r="W281" s="96"/>
      <c r="X281" s="96"/>
      <c r="Y281" s="96"/>
      <c r="Z281" s="96"/>
      <c r="AA281" s="96"/>
      <c r="AB281" s="96"/>
      <c r="AC281" s="96"/>
      <c r="AD281" s="96"/>
      <c r="AE281" s="96"/>
      <c r="AF281" s="96"/>
      <c r="AG281" s="96"/>
      <c r="AH281" s="96"/>
      <c r="AI281" s="96"/>
      <c r="AJ281" s="96"/>
      <c r="AK281" s="96"/>
      <c r="AL281" s="96"/>
      <c r="AM281" s="96"/>
      <c r="AN281" s="96"/>
      <c r="AO281" s="96"/>
      <c r="AP281" s="96"/>
      <c r="AQ281" s="96"/>
      <c r="AR281" s="96"/>
      <c r="AS281" s="96"/>
      <c r="AT281" s="96"/>
      <c r="AU281" s="96"/>
      <c r="AV281" s="96"/>
      <c r="AW281" s="96"/>
      <c r="AX281" s="96"/>
      <c r="AY281" s="96"/>
      <c r="AZ281" s="96"/>
      <c r="BA281" s="96"/>
      <c r="BB281" s="96"/>
    </row>
    <row r="282" spans="2:54" x14ac:dyDescent="0.25">
      <c r="B282" s="96"/>
      <c r="C282" s="96"/>
      <c r="D282" s="96"/>
      <c r="E282" s="96"/>
      <c r="F282" s="96"/>
      <c r="G282" s="96"/>
      <c r="H282" s="96"/>
      <c r="I282" s="96"/>
      <c r="J282" s="96"/>
      <c r="K282" s="96"/>
      <c r="L282" s="96"/>
      <c r="M282" s="96"/>
      <c r="N282" s="96"/>
      <c r="O282" s="96"/>
      <c r="P282" s="96"/>
      <c r="Q282" s="96"/>
      <c r="R282" s="96"/>
      <c r="S282" s="96"/>
      <c r="T282" s="96"/>
      <c r="U282" s="96"/>
      <c r="V282" s="96"/>
      <c r="W282" s="96"/>
      <c r="X282" s="96"/>
      <c r="Y282" s="96"/>
      <c r="Z282" s="96"/>
      <c r="AA282" s="96"/>
      <c r="AB282" s="96"/>
      <c r="AC282" s="96"/>
      <c r="AD282" s="96"/>
      <c r="AE282" s="96"/>
      <c r="AF282" s="96"/>
      <c r="AG282" s="96"/>
      <c r="AH282" s="96"/>
      <c r="AI282" s="96"/>
      <c r="AJ282" s="96"/>
      <c r="AK282" s="96"/>
      <c r="AL282" s="96"/>
      <c r="AM282" s="96"/>
      <c r="AN282" s="96"/>
      <c r="AO282" s="96"/>
      <c r="AP282" s="96"/>
      <c r="AQ282" s="96"/>
      <c r="AR282" s="96"/>
      <c r="AS282" s="96"/>
      <c r="AT282" s="96"/>
      <c r="AU282" s="96"/>
      <c r="AV282" s="96"/>
      <c r="AW282" s="96"/>
      <c r="AX282" s="96"/>
      <c r="AY282" s="96"/>
      <c r="AZ282" s="96"/>
      <c r="BA282" s="96"/>
      <c r="BB282" s="96"/>
    </row>
    <row r="283" spans="2:54" x14ac:dyDescent="0.25">
      <c r="B283" s="96"/>
      <c r="C283" s="96"/>
      <c r="D283" s="96"/>
      <c r="E283" s="96"/>
      <c r="F283" s="96"/>
      <c r="G283" s="96"/>
      <c r="H283" s="96"/>
      <c r="I283" s="96"/>
      <c r="J283" s="96"/>
      <c r="K283" s="96"/>
      <c r="L283" s="96"/>
      <c r="M283" s="96"/>
      <c r="N283" s="96"/>
      <c r="O283" s="96"/>
      <c r="P283" s="96"/>
      <c r="Q283" s="96"/>
      <c r="R283" s="96"/>
      <c r="S283" s="96"/>
      <c r="T283" s="96"/>
      <c r="U283" s="96"/>
      <c r="V283" s="96"/>
      <c r="W283" s="96"/>
      <c r="X283" s="96"/>
      <c r="Y283" s="96"/>
      <c r="Z283" s="96"/>
      <c r="AA283" s="96"/>
      <c r="AB283" s="96"/>
      <c r="AC283" s="96"/>
      <c r="AD283" s="96"/>
      <c r="AE283" s="96"/>
      <c r="AF283" s="96"/>
      <c r="AG283" s="96"/>
      <c r="AH283" s="96"/>
      <c r="AI283" s="96"/>
      <c r="AJ283" s="96"/>
      <c r="AK283" s="96"/>
      <c r="AL283" s="96"/>
      <c r="AM283" s="96"/>
      <c r="AN283" s="96"/>
      <c r="AO283" s="96"/>
      <c r="AP283" s="96"/>
      <c r="AQ283" s="96"/>
      <c r="AR283" s="96"/>
      <c r="AS283" s="96"/>
      <c r="AT283" s="96"/>
      <c r="AU283" s="96"/>
      <c r="AV283" s="96"/>
      <c r="AW283" s="96"/>
      <c r="AX283" s="96"/>
      <c r="AY283" s="96"/>
      <c r="AZ283" s="96"/>
      <c r="BA283" s="96"/>
      <c r="BB283" s="96"/>
    </row>
    <row r="284" spans="2:54" x14ac:dyDescent="0.25">
      <c r="B284" s="96"/>
      <c r="C284" s="96"/>
      <c r="D284" s="96"/>
      <c r="E284" s="96"/>
      <c r="F284" s="96"/>
      <c r="G284" s="96"/>
      <c r="H284" s="96"/>
      <c r="I284" s="96"/>
      <c r="J284" s="96"/>
      <c r="K284" s="96"/>
      <c r="L284" s="96"/>
      <c r="M284" s="96"/>
      <c r="N284" s="96"/>
      <c r="O284" s="96"/>
      <c r="P284" s="96"/>
      <c r="Q284" s="96"/>
      <c r="R284" s="96"/>
      <c r="S284" s="96"/>
      <c r="T284" s="96"/>
      <c r="U284" s="96"/>
      <c r="V284" s="96"/>
      <c r="W284" s="96"/>
      <c r="X284" s="96"/>
      <c r="Y284" s="96"/>
      <c r="Z284" s="96"/>
      <c r="AA284" s="96"/>
      <c r="AB284" s="96"/>
      <c r="AC284" s="96"/>
      <c r="AD284" s="96"/>
      <c r="AE284" s="96"/>
      <c r="AF284" s="96"/>
      <c r="AG284" s="96"/>
      <c r="AH284" s="96"/>
      <c r="AI284" s="96"/>
      <c r="AJ284" s="96"/>
      <c r="AK284" s="96"/>
      <c r="AL284" s="96"/>
      <c r="AM284" s="96"/>
      <c r="AN284" s="96"/>
      <c r="AO284" s="96"/>
      <c r="AP284" s="96"/>
      <c r="AQ284" s="96"/>
      <c r="AR284" s="96"/>
      <c r="AS284" s="96"/>
      <c r="AT284" s="96"/>
      <c r="AU284" s="96"/>
      <c r="AV284" s="96"/>
      <c r="AW284" s="96"/>
      <c r="AX284" s="96"/>
      <c r="AY284" s="96"/>
      <c r="AZ284" s="96"/>
      <c r="BA284" s="96"/>
      <c r="BB284" s="96"/>
    </row>
    <row r="285" spans="2:54" x14ac:dyDescent="0.25">
      <c r="B285" s="96"/>
      <c r="C285" s="96"/>
      <c r="D285" s="96"/>
      <c r="E285" s="96"/>
      <c r="F285" s="96"/>
      <c r="G285" s="96"/>
      <c r="H285" s="96"/>
      <c r="I285" s="96"/>
      <c r="J285" s="96"/>
      <c r="K285" s="96"/>
      <c r="L285" s="96"/>
      <c r="M285" s="96"/>
      <c r="N285" s="96"/>
      <c r="O285" s="96"/>
      <c r="P285" s="96"/>
      <c r="Q285" s="96"/>
      <c r="R285" s="96"/>
      <c r="S285" s="96"/>
      <c r="T285" s="96"/>
      <c r="U285" s="96"/>
      <c r="V285" s="96"/>
      <c r="W285" s="96"/>
      <c r="X285" s="96"/>
      <c r="Y285" s="96"/>
      <c r="Z285" s="96"/>
      <c r="AA285" s="96"/>
      <c r="AB285" s="96"/>
      <c r="AC285" s="96"/>
      <c r="AD285" s="96"/>
      <c r="AE285" s="96"/>
      <c r="AF285" s="96"/>
      <c r="AG285" s="96"/>
      <c r="AH285" s="96"/>
      <c r="AI285" s="96"/>
      <c r="AJ285" s="96"/>
      <c r="AK285" s="96"/>
      <c r="AL285" s="96"/>
      <c r="AM285" s="96"/>
      <c r="AN285" s="96"/>
      <c r="AO285" s="96"/>
      <c r="AP285" s="96"/>
      <c r="AQ285" s="96"/>
      <c r="AR285" s="96"/>
      <c r="AS285" s="96"/>
      <c r="AT285" s="96"/>
      <c r="AU285" s="96"/>
      <c r="AV285" s="96"/>
      <c r="AW285" s="96"/>
      <c r="AX285" s="96"/>
      <c r="AY285" s="96"/>
      <c r="AZ285" s="96"/>
      <c r="BA285" s="96"/>
      <c r="BB285" s="96"/>
    </row>
    <row r="286" spans="2:54" x14ac:dyDescent="0.25">
      <c r="B286" s="96"/>
      <c r="C286" s="96"/>
      <c r="D286" s="96"/>
      <c r="E286" s="96"/>
      <c r="F286" s="96"/>
      <c r="G286" s="96"/>
      <c r="H286" s="96"/>
      <c r="I286" s="96"/>
      <c r="J286" s="96"/>
      <c r="K286" s="96"/>
      <c r="L286" s="96"/>
      <c r="M286" s="96"/>
      <c r="N286" s="96"/>
      <c r="O286" s="96"/>
      <c r="P286" s="96"/>
      <c r="Q286" s="96"/>
      <c r="R286" s="96"/>
      <c r="S286" s="96"/>
      <c r="T286" s="96"/>
      <c r="U286" s="96"/>
      <c r="V286" s="96"/>
      <c r="W286" s="96"/>
      <c r="X286" s="96"/>
      <c r="Y286" s="96"/>
      <c r="Z286" s="96"/>
      <c r="AA286" s="96"/>
      <c r="AB286" s="96"/>
      <c r="AC286" s="96"/>
      <c r="AD286" s="96"/>
      <c r="AE286" s="96"/>
      <c r="AF286" s="96"/>
      <c r="AG286" s="96"/>
      <c r="AH286" s="96"/>
      <c r="AI286" s="96"/>
      <c r="AJ286" s="96"/>
      <c r="AK286" s="96"/>
      <c r="AL286" s="96"/>
      <c r="AM286" s="96"/>
      <c r="AN286" s="96"/>
      <c r="AO286" s="96"/>
      <c r="AP286" s="96"/>
      <c r="AQ286" s="96"/>
      <c r="AR286" s="96"/>
      <c r="AS286" s="96"/>
      <c r="AT286" s="96"/>
      <c r="AU286" s="96"/>
      <c r="AV286" s="96"/>
      <c r="AW286" s="96"/>
      <c r="AX286" s="96"/>
      <c r="AY286" s="96"/>
      <c r="AZ286" s="96"/>
      <c r="BA286" s="96"/>
      <c r="BB286" s="96"/>
    </row>
    <row r="287" spans="2:54" x14ac:dyDescent="0.25">
      <c r="B287" s="96"/>
      <c r="C287" s="96"/>
      <c r="D287" s="96"/>
      <c r="E287" s="96"/>
      <c r="F287" s="96"/>
      <c r="G287" s="96"/>
      <c r="H287" s="96"/>
      <c r="I287" s="96"/>
      <c r="J287" s="96"/>
      <c r="K287" s="96"/>
      <c r="L287" s="96"/>
      <c r="M287" s="96"/>
      <c r="N287" s="96"/>
      <c r="O287" s="96"/>
      <c r="P287" s="96"/>
      <c r="Q287" s="96"/>
      <c r="R287" s="96"/>
      <c r="S287" s="96"/>
      <c r="T287" s="96"/>
      <c r="U287" s="96"/>
      <c r="V287" s="96"/>
      <c r="W287" s="96"/>
      <c r="X287" s="96"/>
      <c r="Y287" s="96"/>
      <c r="Z287" s="96"/>
      <c r="AA287" s="96"/>
      <c r="AB287" s="96"/>
      <c r="AC287" s="96"/>
      <c r="AD287" s="96"/>
      <c r="AE287" s="96"/>
      <c r="AF287" s="96"/>
      <c r="AG287" s="96"/>
      <c r="AH287" s="96"/>
      <c r="AI287" s="96"/>
      <c r="AJ287" s="96"/>
      <c r="AK287" s="96"/>
      <c r="AL287" s="96"/>
      <c r="AM287" s="96"/>
      <c r="AN287" s="96"/>
      <c r="AO287" s="96"/>
      <c r="AP287" s="96"/>
      <c r="AQ287" s="96"/>
      <c r="AR287" s="96"/>
      <c r="AS287" s="96"/>
      <c r="AT287" s="96"/>
      <c r="AU287" s="96"/>
      <c r="AV287" s="96"/>
      <c r="AW287" s="96"/>
      <c r="AX287" s="96"/>
      <c r="AY287" s="96"/>
      <c r="AZ287" s="96"/>
      <c r="BA287" s="96"/>
      <c r="BB287" s="96"/>
    </row>
    <row r="288" spans="2:54" x14ac:dyDescent="0.25">
      <c r="B288" s="96"/>
      <c r="C288" s="96"/>
      <c r="D288" s="96"/>
      <c r="E288" s="96"/>
      <c r="F288" s="96"/>
      <c r="G288" s="96"/>
      <c r="H288" s="96"/>
      <c r="I288" s="96"/>
      <c r="J288" s="96"/>
      <c r="K288" s="96"/>
      <c r="L288" s="96"/>
      <c r="M288" s="96"/>
      <c r="N288" s="96"/>
      <c r="O288" s="96"/>
      <c r="P288" s="96"/>
      <c r="Q288" s="96"/>
      <c r="R288" s="96"/>
      <c r="S288" s="96"/>
      <c r="T288" s="96"/>
      <c r="U288" s="96"/>
      <c r="V288" s="96"/>
      <c r="W288" s="96"/>
      <c r="X288" s="96"/>
      <c r="Y288" s="96"/>
      <c r="Z288" s="96"/>
      <c r="AA288" s="96"/>
      <c r="AB288" s="96"/>
      <c r="AC288" s="96"/>
      <c r="AD288" s="96"/>
      <c r="AE288" s="96"/>
      <c r="AF288" s="96"/>
      <c r="AG288" s="96"/>
      <c r="AH288" s="96"/>
      <c r="AI288" s="96"/>
      <c r="AJ288" s="96"/>
      <c r="AK288" s="96"/>
      <c r="AL288" s="96"/>
      <c r="AM288" s="96"/>
      <c r="AN288" s="96"/>
      <c r="AO288" s="96"/>
      <c r="AP288" s="96"/>
      <c r="AQ288" s="96"/>
      <c r="AR288" s="96"/>
      <c r="AS288" s="96"/>
      <c r="AT288" s="96"/>
      <c r="AU288" s="96"/>
      <c r="AV288" s="96"/>
      <c r="AW288" s="96"/>
      <c r="AX288" s="96"/>
      <c r="AY288" s="96"/>
      <c r="AZ288" s="96"/>
      <c r="BA288" s="96"/>
      <c r="BB288" s="96"/>
    </row>
    <row r="289" spans="2:54" x14ac:dyDescent="0.25">
      <c r="B289" s="96"/>
      <c r="C289" s="96"/>
      <c r="D289" s="96"/>
      <c r="E289" s="96"/>
      <c r="F289" s="96"/>
      <c r="G289" s="96"/>
      <c r="H289" s="96"/>
      <c r="I289" s="96"/>
      <c r="J289" s="96"/>
      <c r="K289" s="96"/>
      <c r="L289" s="96"/>
      <c r="M289" s="96"/>
      <c r="N289" s="96"/>
      <c r="O289" s="96"/>
      <c r="P289" s="96"/>
      <c r="Q289" s="96"/>
      <c r="R289" s="96"/>
      <c r="S289" s="96"/>
      <c r="T289" s="96"/>
      <c r="U289" s="96"/>
      <c r="V289" s="96"/>
      <c r="W289" s="96"/>
      <c r="X289" s="96"/>
      <c r="Y289" s="96"/>
      <c r="Z289" s="96"/>
      <c r="AA289" s="96"/>
      <c r="AB289" s="96"/>
      <c r="AC289" s="96"/>
      <c r="AD289" s="96"/>
      <c r="AE289" s="96"/>
      <c r="AF289" s="96"/>
      <c r="AG289" s="96"/>
      <c r="AH289" s="96"/>
      <c r="AI289" s="96"/>
      <c r="AJ289" s="96"/>
      <c r="AK289" s="96"/>
      <c r="AL289" s="96"/>
      <c r="AM289" s="96"/>
      <c r="AN289" s="96"/>
      <c r="AO289" s="96"/>
      <c r="AP289" s="96"/>
      <c r="AQ289" s="96"/>
      <c r="AR289" s="96"/>
      <c r="AS289" s="96"/>
      <c r="AT289" s="96"/>
      <c r="AU289" s="96"/>
      <c r="AV289" s="96"/>
      <c r="AW289" s="96"/>
      <c r="AX289" s="96"/>
      <c r="AY289" s="96"/>
      <c r="AZ289" s="96"/>
      <c r="BA289" s="96"/>
      <c r="BB289" s="96"/>
    </row>
    <row r="290" spans="2:54" x14ac:dyDescent="0.25">
      <c r="B290" s="96"/>
      <c r="C290" s="96"/>
      <c r="D290" s="96"/>
      <c r="E290" s="96"/>
      <c r="F290" s="96"/>
      <c r="G290" s="96"/>
      <c r="H290" s="96"/>
      <c r="I290" s="96"/>
      <c r="J290" s="96"/>
      <c r="K290" s="96"/>
      <c r="L290" s="96"/>
      <c r="M290" s="96"/>
      <c r="N290" s="96"/>
      <c r="O290" s="96"/>
      <c r="P290" s="96"/>
      <c r="Q290" s="96"/>
      <c r="R290" s="96"/>
      <c r="S290" s="96"/>
      <c r="T290" s="96"/>
      <c r="U290" s="96"/>
      <c r="V290" s="96"/>
      <c r="W290" s="96"/>
      <c r="X290" s="96"/>
      <c r="Y290" s="96"/>
      <c r="Z290" s="96"/>
      <c r="AA290" s="96"/>
      <c r="AB290" s="96"/>
      <c r="AC290" s="96"/>
      <c r="AD290" s="96"/>
      <c r="AE290" s="96"/>
      <c r="AF290" s="96"/>
      <c r="AG290" s="96"/>
      <c r="AH290" s="96"/>
      <c r="AI290" s="96"/>
      <c r="AJ290" s="96"/>
      <c r="AK290" s="96"/>
      <c r="AL290" s="96"/>
      <c r="AM290" s="96"/>
      <c r="AN290" s="96"/>
      <c r="AO290" s="96"/>
      <c r="AP290" s="96"/>
      <c r="AQ290" s="96"/>
      <c r="AR290" s="96"/>
      <c r="AS290" s="96"/>
      <c r="AT290" s="96"/>
      <c r="AU290" s="96"/>
      <c r="AV290" s="96"/>
      <c r="AW290" s="96"/>
      <c r="AX290" s="96"/>
      <c r="AY290" s="96"/>
      <c r="AZ290" s="96"/>
      <c r="BA290" s="96"/>
      <c r="BB290" s="96"/>
    </row>
    <row r="291" spans="2:54" x14ac:dyDescent="0.25">
      <c r="B291" s="96"/>
      <c r="C291" s="96"/>
      <c r="D291" s="96"/>
      <c r="E291" s="96"/>
      <c r="F291" s="96"/>
      <c r="G291" s="96"/>
      <c r="H291" s="96"/>
      <c r="I291" s="96"/>
      <c r="J291" s="96"/>
      <c r="K291" s="96"/>
      <c r="L291" s="96"/>
      <c r="M291" s="96"/>
      <c r="N291" s="96"/>
      <c r="O291" s="96"/>
      <c r="P291" s="96"/>
      <c r="Q291" s="96"/>
      <c r="R291" s="96"/>
      <c r="S291" s="96"/>
      <c r="T291" s="96"/>
      <c r="U291" s="96"/>
      <c r="V291" s="96"/>
      <c r="W291" s="96"/>
      <c r="X291" s="96"/>
      <c r="Y291" s="96"/>
      <c r="Z291" s="96"/>
      <c r="AA291" s="96"/>
      <c r="AB291" s="96"/>
      <c r="AC291" s="96"/>
      <c r="AD291" s="96"/>
      <c r="AE291" s="96"/>
      <c r="AF291" s="96"/>
      <c r="AG291" s="96"/>
      <c r="AH291" s="96"/>
      <c r="AI291" s="96"/>
      <c r="AJ291" s="96"/>
      <c r="AK291" s="96"/>
      <c r="AL291" s="96"/>
      <c r="AM291" s="96"/>
      <c r="AN291" s="96"/>
      <c r="AO291" s="96"/>
      <c r="AP291" s="96"/>
      <c r="AQ291" s="96"/>
      <c r="AR291" s="96"/>
      <c r="AS291" s="96"/>
      <c r="AT291" s="96"/>
      <c r="AU291" s="96"/>
      <c r="AV291" s="96"/>
      <c r="AW291" s="96"/>
      <c r="AX291" s="96"/>
      <c r="AY291" s="96"/>
      <c r="AZ291" s="96"/>
      <c r="BA291" s="96"/>
      <c r="BB291" s="96"/>
    </row>
    <row r="292" spans="2:54" x14ac:dyDescent="0.25">
      <c r="B292" s="96"/>
      <c r="C292" s="96"/>
      <c r="D292" s="96"/>
      <c r="E292" s="96"/>
      <c r="F292" s="96"/>
      <c r="G292" s="96"/>
      <c r="H292" s="96"/>
      <c r="I292" s="96"/>
      <c r="J292" s="96"/>
      <c r="K292" s="96"/>
      <c r="L292" s="96"/>
      <c r="M292" s="96"/>
      <c r="N292" s="96"/>
      <c r="O292" s="96"/>
      <c r="P292" s="96"/>
      <c r="Q292" s="96"/>
      <c r="R292" s="96"/>
      <c r="S292" s="96"/>
      <c r="T292" s="96"/>
      <c r="U292" s="96"/>
      <c r="V292" s="96"/>
      <c r="W292" s="96"/>
      <c r="X292" s="96"/>
      <c r="Y292" s="96"/>
      <c r="Z292" s="96"/>
      <c r="AA292" s="96"/>
      <c r="AB292" s="96"/>
      <c r="AC292" s="96"/>
      <c r="AD292" s="96"/>
      <c r="AE292" s="96"/>
      <c r="AF292" s="96"/>
      <c r="AG292" s="96"/>
      <c r="AH292" s="96"/>
      <c r="AI292" s="96"/>
      <c r="AJ292" s="96"/>
      <c r="AK292" s="96"/>
      <c r="AL292" s="96"/>
      <c r="AM292" s="96"/>
      <c r="AN292" s="96"/>
      <c r="AO292" s="96"/>
      <c r="AP292" s="96"/>
      <c r="AQ292" s="96"/>
      <c r="AR292" s="96"/>
      <c r="AS292" s="96"/>
      <c r="AT292" s="96"/>
      <c r="AU292" s="96"/>
      <c r="AV292" s="96"/>
      <c r="AW292" s="96"/>
      <c r="AX292" s="96"/>
      <c r="AY292" s="96"/>
      <c r="AZ292" s="96"/>
      <c r="BA292" s="96"/>
      <c r="BB292" s="96"/>
    </row>
    <row r="293" spans="2:54" x14ac:dyDescent="0.25">
      <c r="B293" s="96"/>
      <c r="C293" s="96"/>
      <c r="D293" s="96"/>
      <c r="E293" s="96"/>
      <c r="F293" s="96"/>
      <c r="G293" s="96"/>
      <c r="H293" s="96"/>
      <c r="I293" s="96"/>
      <c r="J293" s="96"/>
      <c r="K293" s="96"/>
      <c r="L293" s="96"/>
      <c r="M293" s="96"/>
      <c r="N293" s="96"/>
      <c r="O293" s="96"/>
      <c r="P293" s="96"/>
      <c r="Q293" s="96"/>
      <c r="R293" s="96"/>
      <c r="S293" s="96"/>
      <c r="T293" s="96"/>
      <c r="U293" s="96"/>
      <c r="V293" s="96"/>
      <c r="W293" s="96"/>
      <c r="X293" s="96"/>
      <c r="Y293" s="96"/>
      <c r="Z293" s="96"/>
      <c r="AA293" s="96"/>
      <c r="AB293" s="96"/>
      <c r="AC293" s="96"/>
      <c r="AD293" s="96"/>
      <c r="AE293" s="96"/>
      <c r="AF293" s="96"/>
      <c r="AG293" s="96"/>
      <c r="AH293" s="96"/>
      <c r="AI293" s="96"/>
      <c r="AJ293" s="96"/>
      <c r="AK293" s="96"/>
      <c r="AL293" s="96"/>
      <c r="AM293" s="96"/>
      <c r="AN293" s="96"/>
      <c r="AO293" s="96"/>
      <c r="AP293" s="96"/>
      <c r="AQ293" s="96"/>
      <c r="AR293" s="96"/>
      <c r="AS293" s="96"/>
      <c r="AT293" s="96"/>
      <c r="AU293" s="96"/>
      <c r="AV293" s="96"/>
      <c r="AW293" s="96"/>
      <c r="AX293" s="96"/>
      <c r="AY293" s="96"/>
      <c r="AZ293" s="96"/>
      <c r="BA293" s="96"/>
      <c r="BB293" s="96"/>
    </row>
    <row r="294" spans="2:54" x14ac:dyDescent="0.25">
      <c r="B294" s="96"/>
      <c r="C294" s="96"/>
      <c r="D294" s="96"/>
      <c r="E294" s="96"/>
      <c r="F294" s="96"/>
      <c r="G294" s="96"/>
      <c r="H294" s="96"/>
      <c r="I294" s="96"/>
      <c r="J294" s="96"/>
      <c r="K294" s="96"/>
      <c r="L294" s="96"/>
      <c r="M294" s="96"/>
      <c r="N294" s="96"/>
      <c r="O294" s="96"/>
      <c r="P294" s="96"/>
      <c r="Q294" s="96"/>
      <c r="R294" s="96"/>
      <c r="S294" s="96"/>
      <c r="T294" s="96"/>
      <c r="U294" s="96"/>
      <c r="V294" s="96"/>
      <c r="W294" s="96"/>
      <c r="X294" s="96"/>
      <c r="Y294" s="96"/>
      <c r="Z294" s="96"/>
      <c r="AA294" s="96"/>
      <c r="AB294" s="96"/>
      <c r="AC294" s="96"/>
      <c r="AD294" s="96"/>
      <c r="AE294" s="96"/>
      <c r="AF294" s="96"/>
      <c r="AG294" s="96"/>
      <c r="AH294" s="96"/>
      <c r="AI294" s="96"/>
      <c r="AJ294" s="96"/>
      <c r="AK294" s="96"/>
      <c r="AL294" s="96"/>
      <c r="AM294" s="96"/>
      <c r="AN294" s="96"/>
      <c r="AO294" s="96"/>
      <c r="AP294" s="96"/>
      <c r="AQ294" s="96"/>
      <c r="AR294" s="96"/>
      <c r="AS294" s="96"/>
      <c r="AT294" s="96"/>
      <c r="AU294" s="96"/>
      <c r="AV294" s="96"/>
      <c r="AW294" s="96"/>
      <c r="AX294" s="96"/>
      <c r="AY294" s="96"/>
      <c r="AZ294" s="96"/>
      <c r="BA294" s="96"/>
      <c r="BB294" s="96"/>
    </row>
    <row r="295" spans="2:54" x14ac:dyDescent="0.25">
      <c r="B295" s="96"/>
      <c r="C295" s="96"/>
      <c r="D295" s="96"/>
      <c r="E295" s="96"/>
      <c r="F295" s="96"/>
      <c r="G295" s="96"/>
      <c r="H295" s="96"/>
      <c r="I295" s="96"/>
      <c r="J295" s="96"/>
      <c r="K295" s="96"/>
      <c r="L295" s="96"/>
      <c r="M295" s="96"/>
      <c r="N295" s="96"/>
      <c r="O295" s="96"/>
      <c r="P295" s="96"/>
      <c r="Q295" s="96"/>
      <c r="R295" s="96"/>
      <c r="S295" s="96"/>
      <c r="T295" s="96"/>
      <c r="U295" s="96"/>
      <c r="V295" s="96"/>
      <c r="W295" s="96"/>
      <c r="X295" s="96"/>
      <c r="Y295" s="96"/>
      <c r="Z295" s="96"/>
      <c r="AA295" s="96"/>
      <c r="AB295" s="96"/>
      <c r="AC295" s="96"/>
      <c r="AD295" s="96"/>
      <c r="AE295" s="96"/>
      <c r="AF295" s="96"/>
      <c r="AG295" s="96"/>
      <c r="AH295" s="96"/>
      <c r="AI295" s="96"/>
      <c r="AJ295" s="96"/>
      <c r="AK295" s="96"/>
      <c r="AL295" s="96"/>
      <c r="AM295" s="96"/>
      <c r="AN295" s="96"/>
      <c r="AO295" s="96"/>
      <c r="AP295" s="96"/>
      <c r="AQ295" s="96"/>
      <c r="AR295" s="96"/>
      <c r="AS295" s="96"/>
      <c r="AT295" s="96"/>
      <c r="AU295" s="96"/>
      <c r="AV295" s="96"/>
      <c r="AW295" s="96"/>
      <c r="AX295" s="96"/>
      <c r="AY295" s="96"/>
      <c r="AZ295" s="96"/>
      <c r="BA295" s="96"/>
      <c r="BB295" s="96"/>
    </row>
    <row r="296" spans="2:54" x14ac:dyDescent="0.25">
      <c r="B296" s="96"/>
      <c r="C296" s="96"/>
      <c r="D296" s="96"/>
      <c r="E296" s="96"/>
      <c r="F296" s="96"/>
      <c r="G296" s="96"/>
      <c r="H296" s="96"/>
      <c r="I296" s="96"/>
      <c r="J296" s="96"/>
      <c r="K296" s="96"/>
      <c r="L296" s="96"/>
      <c r="M296" s="96"/>
      <c r="N296" s="96"/>
      <c r="O296" s="96"/>
      <c r="P296" s="96"/>
      <c r="Q296" s="96"/>
      <c r="R296" s="96"/>
      <c r="S296" s="96"/>
      <c r="T296" s="96"/>
      <c r="U296" s="96"/>
      <c r="V296" s="96"/>
      <c r="W296" s="96"/>
      <c r="X296" s="96"/>
      <c r="Y296" s="96"/>
      <c r="Z296" s="96"/>
      <c r="AA296" s="96"/>
      <c r="AB296" s="96"/>
      <c r="AC296" s="96"/>
      <c r="AD296" s="96"/>
      <c r="AE296" s="96"/>
      <c r="AF296" s="96"/>
      <c r="AG296" s="96"/>
      <c r="AH296" s="96"/>
      <c r="AI296" s="96"/>
      <c r="AJ296" s="96"/>
      <c r="AK296" s="96"/>
      <c r="AL296" s="96"/>
      <c r="AM296" s="96"/>
      <c r="AN296" s="96"/>
      <c r="AO296" s="96"/>
      <c r="AP296" s="96"/>
      <c r="AQ296" s="96"/>
      <c r="AR296" s="96"/>
      <c r="AS296" s="96"/>
      <c r="AT296" s="96"/>
      <c r="AU296" s="96"/>
      <c r="AV296" s="96"/>
      <c r="AW296" s="96"/>
      <c r="AX296" s="96"/>
      <c r="AY296" s="96"/>
      <c r="AZ296" s="96"/>
      <c r="BA296" s="96"/>
      <c r="BB296" s="96"/>
    </row>
    <row r="297" spans="2:54" x14ac:dyDescent="0.25">
      <c r="B297" s="96"/>
      <c r="C297" s="96"/>
      <c r="D297" s="96"/>
      <c r="E297" s="96"/>
      <c r="F297" s="96"/>
      <c r="G297" s="96"/>
      <c r="H297" s="96"/>
      <c r="I297" s="96"/>
      <c r="J297" s="96"/>
      <c r="K297" s="96"/>
      <c r="L297" s="96"/>
      <c r="M297" s="96"/>
      <c r="N297" s="96"/>
      <c r="O297" s="96"/>
      <c r="P297" s="96"/>
      <c r="Q297" s="96"/>
      <c r="R297" s="96"/>
      <c r="S297" s="96"/>
      <c r="T297" s="96"/>
      <c r="U297" s="96"/>
      <c r="V297" s="96"/>
      <c r="W297" s="96"/>
      <c r="X297" s="96"/>
      <c r="Y297" s="96"/>
      <c r="Z297" s="96"/>
      <c r="AA297" s="96"/>
      <c r="AB297" s="96"/>
      <c r="AC297" s="96"/>
      <c r="AD297" s="96"/>
      <c r="AE297" s="96"/>
      <c r="AF297" s="96"/>
      <c r="AG297" s="96"/>
      <c r="AH297" s="96"/>
      <c r="AI297" s="96"/>
      <c r="AJ297" s="96"/>
      <c r="AK297" s="96"/>
      <c r="AL297" s="96"/>
      <c r="AM297" s="96"/>
      <c r="AN297" s="96"/>
      <c r="AO297" s="96"/>
      <c r="AP297" s="96"/>
      <c r="AQ297" s="96"/>
      <c r="AR297" s="96"/>
      <c r="AS297" s="96"/>
      <c r="AT297" s="96"/>
      <c r="AU297" s="96"/>
      <c r="AV297" s="96"/>
      <c r="AW297" s="96"/>
      <c r="AX297" s="96"/>
      <c r="AY297" s="96"/>
      <c r="AZ297" s="96"/>
      <c r="BA297" s="96"/>
      <c r="BB297" s="96"/>
    </row>
    <row r="298" spans="2:54" x14ac:dyDescent="0.25">
      <c r="B298" s="96"/>
      <c r="C298" s="96"/>
      <c r="D298" s="96"/>
      <c r="E298" s="96"/>
      <c r="F298" s="96"/>
      <c r="G298" s="96"/>
      <c r="H298" s="96"/>
      <c r="I298" s="96"/>
      <c r="J298" s="96"/>
      <c r="K298" s="96"/>
      <c r="L298" s="96"/>
      <c r="M298" s="96"/>
      <c r="N298" s="96"/>
      <c r="O298" s="96"/>
      <c r="P298" s="96"/>
      <c r="Q298" s="96"/>
      <c r="R298" s="96"/>
      <c r="S298" s="96"/>
      <c r="T298" s="96"/>
      <c r="U298" s="96"/>
      <c r="V298" s="96"/>
      <c r="W298" s="96"/>
      <c r="X298" s="96"/>
      <c r="Y298" s="96"/>
      <c r="Z298" s="96"/>
      <c r="AA298" s="96"/>
      <c r="AB298" s="96"/>
      <c r="AC298" s="96"/>
      <c r="AD298" s="96"/>
      <c r="AE298" s="96"/>
      <c r="AF298" s="96"/>
      <c r="AG298" s="96"/>
      <c r="AH298" s="96"/>
      <c r="AI298" s="96"/>
      <c r="AJ298" s="96"/>
      <c r="AK298" s="96"/>
      <c r="AL298" s="96"/>
      <c r="AM298" s="96"/>
      <c r="AN298" s="96"/>
      <c r="AO298" s="96"/>
      <c r="AP298" s="96"/>
      <c r="AQ298" s="96"/>
      <c r="AR298" s="96"/>
      <c r="AS298" s="96"/>
      <c r="AT298" s="96"/>
      <c r="AU298" s="96"/>
      <c r="AV298" s="96"/>
      <c r="AW298" s="96"/>
      <c r="AX298" s="96"/>
      <c r="AY298" s="96"/>
      <c r="AZ298" s="96"/>
      <c r="BA298" s="96"/>
      <c r="BB298" s="96"/>
    </row>
    <row r="299" spans="2:54" x14ac:dyDescent="0.25">
      <c r="B299" s="96"/>
      <c r="C299" s="96"/>
      <c r="D299" s="96"/>
      <c r="E299" s="96"/>
      <c r="F299" s="96"/>
      <c r="G299" s="96"/>
      <c r="H299" s="96"/>
      <c r="I299" s="96"/>
      <c r="J299" s="96"/>
      <c r="K299" s="96"/>
      <c r="L299" s="96"/>
      <c r="M299" s="96"/>
      <c r="N299" s="96"/>
      <c r="O299" s="96"/>
      <c r="P299" s="96"/>
      <c r="Q299" s="96"/>
      <c r="R299" s="96"/>
      <c r="S299" s="96"/>
      <c r="T299" s="96"/>
      <c r="U299" s="96"/>
      <c r="V299" s="96"/>
      <c r="W299" s="96"/>
      <c r="X299" s="96"/>
      <c r="Y299" s="96"/>
      <c r="Z299" s="96"/>
      <c r="AA299" s="96"/>
      <c r="AB299" s="96"/>
      <c r="AC299" s="96"/>
      <c r="AD299" s="96"/>
      <c r="AE299" s="96"/>
      <c r="AF299" s="96"/>
      <c r="AG299" s="96"/>
      <c r="AH299" s="96"/>
      <c r="AI299" s="96"/>
      <c r="AJ299" s="96"/>
      <c r="AK299" s="96"/>
      <c r="AL299" s="96"/>
      <c r="AM299" s="96"/>
      <c r="AN299" s="96"/>
      <c r="AO299" s="96"/>
      <c r="AP299" s="96"/>
      <c r="AQ299" s="96"/>
      <c r="AR299" s="96"/>
      <c r="AS299" s="96"/>
      <c r="AT299" s="96"/>
      <c r="AU299" s="96"/>
      <c r="AV299" s="96"/>
      <c r="AW299" s="96"/>
      <c r="AX299" s="96"/>
      <c r="AY299" s="96"/>
      <c r="AZ299" s="96"/>
      <c r="BA299" s="96"/>
      <c r="BB299" s="96"/>
    </row>
    <row r="300" spans="2:54" x14ac:dyDescent="0.25">
      <c r="B300" s="96"/>
      <c r="C300" s="96"/>
      <c r="D300" s="96"/>
      <c r="E300" s="96"/>
      <c r="F300" s="96"/>
      <c r="G300" s="96"/>
      <c r="H300" s="96"/>
      <c r="I300" s="96"/>
      <c r="J300" s="96"/>
      <c r="K300" s="96"/>
      <c r="L300" s="96"/>
      <c r="M300" s="96"/>
      <c r="N300" s="96"/>
      <c r="O300" s="96"/>
      <c r="P300" s="96"/>
      <c r="Q300" s="96"/>
      <c r="R300" s="96"/>
      <c r="S300" s="96"/>
      <c r="T300" s="96"/>
      <c r="U300" s="96"/>
      <c r="V300" s="96"/>
      <c r="W300" s="96"/>
      <c r="X300" s="96"/>
      <c r="Y300" s="96"/>
      <c r="Z300" s="96"/>
      <c r="AA300" s="96"/>
      <c r="AB300" s="96"/>
      <c r="AC300" s="96"/>
      <c r="AD300" s="96"/>
      <c r="AE300" s="96"/>
      <c r="AF300" s="96"/>
      <c r="AG300" s="96"/>
      <c r="AH300" s="96"/>
      <c r="AI300" s="96"/>
      <c r="AJ300" s="96"/>
      <c r="AK300" s="96"/>
      <c r="AL300" s="96"/>
      <c r="AM300" s="96"/>
      <c r="AN300" s="96"/>
      <c r="AO300" s="96"/>
      <c r="AP300" s="96"/>
      <c r="AQ300" s="96"/>
      <c r="AR300" s="96"/>
      <c r="AS300" s="96"/>
      <c r="AT300" s="96"/>
      <c r="AU300" s="96"/>
      <c r="AV300" s="96"/>
      <c r="AW300" s="96"/>
      <c r="AX300" s="96"/>
      <c r="AY300" s="96"/>
      <c r="AZ300" s="96"/>
      <c r="BA300" s="96"/>
      <c r="BB300" s="96"/>
    </row>
    <row r="301" spans="2:54" x14ac:dyDescent="0.25">
      <c r="B301" s="96"/>
      <c r="C301" s="96"/>
      <c r="D301" s="96"/>
      <c r="E301" s="96"/>
      <c r="F301" s="96"/>
      <c r="G301" s="96"/>
      <c r="H301" s="96"/>
      <c r="I301" s="96"/>
      <c r="J301" s="96"/>
      <c r="K301" s="96"/>
      <c r="L301" s="96"/>
      <c r="M301" s="96"/>
      <c r="N301" s="96"/>
      <c r="O301" s="96"/>
      <c r="P301" s="96"/>
      <c r="Q301" s="96"/>
      <c r="R301" s="96"/>
      <c r="S301" s="96"/>
      <c r="T301" s="96"/>
      <c r="U301" s="96"/>
      <c r="V301" s="96"/>
      <c r="W301" s="96"/>
      <c r="X301" s="96"/>
      <c r="Y301" s="96"/>
      <c r="Z301" s="96"/>
      <c r="AA301" s="96"/>
      <c r="AB301" s="96"/>
      <c r="AC301" s="96"/>
      <c r="AD301" s="96"/>
      <c r="AE301" s="96"/>
      <c r="AF301" s="96"/>
      <c r="AG301" s="96"/>
      <c r="AH301" s="96"/>
      <c r="AI301" s="96"/>
      <c r="AJ301" s="96"/>
      <c r="AK301" s="96"/>
      <c r="AL301" s="96"/>
      <c r="AM301" s="96"/>
      <c r="AN301" s="96"/>
      <c r="AO301" s="96"/>
      <c r="AP301" s="96"/>
      <c r="AQ301" s="96"/>
      <c r="AR301" s="96"/>
      <c r="AS301" s="96"/>
      <c r="AT301" s="96"/>
      <c r="AU301" s="96"/>
      <c r="AV301" s="96"/>
      <c r="AW301" s="96"/>
      <c r="AX301" s="96"/>
      <c r="AY301" s="96"/>
      <c r="AZ301" s="96"/>
      <c r="BA301" s="96"/>
      <c r="BB301" s="96"/>
    </row>
    <row r="302" spans="2:54" x14ac:dyDescent="0.25">
      <c r="B302" s="96"/>
      <c r="C302" s="96"/>
      <c r="D302" s="96"/>
      <c r="E302" s="96"/>
      <c r="F302" s="96"/>
      <c r="G302" s="96"/>
      <c r="H302" s="96"/>
      <c r="I302" s="96"/>
      <c r="J302" s="96"/>
      <c r="K302" s="96"/>
      <c r="L302" s="96"/>
      <c r="M302" s="96"/>
      <c r="N302" s="96"/>
      <c r="O302" s="96"/>
      <c r="P302" s="96"/>
      <c r="Q302" s="96"/>
      <c r="R302" s="96"/>
      <c r="S302" s="96"/>
      <c r="T302" s="96"/>
      <c r="U302" s="96"/>
      <c r="V302" s="96"/>
      <c r="W302" s="96"/>
      <c r="X302" s="96"/>
      <c r="Y302" s="96"/>
      <c r="Z302" s="96"/>
      <c r="AA302" s="96"/>
      <c r="AB302" s="96"/>
      <c r="AC302" s="96"/>
      <c r="AD302" s="96"/>
      <c r="AE302" s="96"/>
      <c r="AF302" s="96"/>
      <c r="AG302" s="96"/>
      <c r="AH302" s="96"/>
      <c r="AI302" s="96"/>
      <c r="AJ302" s="96"/>
      <c r="AK302" s="96"/>
      <c r="AL302" s="96"/>
      <c r="AM302" s="96"/>
      <c r="AN302" s="96"/>
      <c r="AO302" s="96"/>
      <c r="AP302" s="96"/>
      <c r="AQ302" s="96"/>
      <c r="AR302" s="96"/>
      <c r="AS302" s="96"/>
      <c r="AT302" s="96"/>
      <c r="AU302" s="96"/>
      <c r="AV302" s="96"/>
      <c r="AW302" s="96"/>
      <c r="AX302" s="96"/>
      <c r="AY302" s="96"/>
      <c r="AZ302" s="96"/>
      <c r="BA302" s="96"/>
      <c r="BB302" s="96"/>
    </row>
    <row r="303" spans="2:54" x14ac:dyDescent="0.25">
      <c r="B303" s="96"/>
      <c r="C303" s="96"/>
      <c r="D303" s="96"/>
      <c r="E303" s="96"/>
      <c r="F303" s="96"/>
      <c r="G303" s="96"/>
      <c r="H303" s="96"/>
      <c r="I303" s="96"/>
      <c r="J303" s="96"/>
      <c r="K303" s="96"/>
      <c r="L303" s="96"/>
      <c r="M303" s="96"/>
      <c r="N303" s="96"/>
      <c r="O303" s="96"/>
      <c r="P303" s="96"/>
      <c r="Q303" s="96"/>
      <c r="R303" s="96"/>
      <c r="S303" s="96"/>
      <c r="T303" s="96"/>
      <c r="U303" s="96"/>
      <c r="V303" s="96"/>
      <c r="W303" s="96"/>
      <c r="X303" s="96"/>
      <c r="Y303" s="96"/>
      <c r="Z303" s="96"/>
      <c r="AA303" s="96"/>
      <c r="AB303" s="96"/>
      <c r="AC303" s="96"/>
      <c r="AD303" s="96"/>
      <c r="AE303" s="96"/>
      <c r="AF303" s="96"/>
      <c r="AG303" s="96"/>
      <c r="AH303" s="96"/>
      <c r="AI303" s="96"/>
      <c r="AJ303" s="96"/>
      <c r="AK303" s="96"/>
      <c r="AL303" s="96"/>
      <c r="AM303" s="96"/>
      <c r="AN303" s="96"/>
      <c r="AO303" s="96"/>
      <c r="AP303" s="96"/>
      <c r="AQ303" s="96"/>
      <c r="AR303" s="96"/>
      <c r="AS303" s="96"/>
      <c r="AT303" s="96"/>
      <c r="AU303" s="96"/>
      <c r="AV303" s="96"/>
      <c r="AW303" s="96"/>
      <c r="AX303" s="96"/>
      <c r="AY303" s="96"/>
      <c r="AZ303" s="96"/>
      <c r="BA303" s="96"/>
      <c r="BB303" s="96"/>
    </row>
    <row r="304" spans="2:54" x14ac:dyDescent="0.25">
      <c r="B304" s="96"/>
      <c r="C304" s="96"/>
      <c r="D304" s="96"/>
      <c r="E304" s="96"/>
      <c r="F304" s="96"/>
      <c r="G304" s="96"/>
      <c r="H304" s="96"/>
      <c r="I304" s="96"/>
      <c r="J304" s="96"/>
      <c r="K304" s="96"/>
      <c r="L304" s="96"/>
      <c r="M304" s="96"/>
      <c r="N304" s="96"/>
      <c r="O304" s="96"/>
      <c r="P304" s="96"/>
      <c r="Q304" s="96"/>
      <c r="R304" s="96"/>
      <c r="S304" s="96"/>
      <c r="T304" s="96"/>
      <c r="U304" s="96"/>
      <c r="V304" s="96"/>
      <c r="W304" s="96"/>
      <c r="X304" s="96"/>
      <c r="Y304" s="96"/>
      <c r="Z304" s="96"/>
      <c r="AA304" s="96"/>
      <c r="AB304" s="96"/>
      <c r="AC304" s="96"/>
      <c r="AD304" s="96"/>
      <c r="AE304" s="96"/>
      <c r="AF304" s="96"/>
      <c r="AG304" s="96"/>
      <c r="AH304" s="96"/>
      <c r="AI304" s="96"/>
      <c r="AJ304" s="96"/>
      <c r="AK304" s="96"/>
      <c r="AL304" s="96"/>
      <c r="AM304" s="96"/>
      <c r="AN304" s="96"/>
      <c r="AO304" s="96"/>
      <c r="AP304" s="96"/>
      <c r="AQ304" s="96"/>
      <c r="AR304" s="96"/>
      <c r="AS304" s="96"/>
      <c r="AT304" s="96"/>
      <c r="AU304" s="96"/>
      <c r="AV304" s="96"/>
      <c r="AW304" s="96"/>
      <c r="AX304" s="96"/>
      <c r="AY304" s="96"/>
      <c r="AZ304" s="96"/>
      <c r="BA304" s="96"/>
      <c r="BB304" s="96"/>
    </row>
    <row r="305" spans="2:54" x14ac:dyDescent="0.25">
      <c r="B305" s="96"/>
      <c r="C305" s="96"/>
      <c r="D305" s="96"/>
      <c r="E305" s="96"/>
      <c r="F305" s="96"/>
      <c r="G305" s="96"/>
      <c r="H305" s="96"/>
      <c r="I305" s="96"/>
      <c r="J305" s="96"/>
      <c r="K305" s="96"/>
      <c r="L305" s="96"/>
      <c r="M305" s="96"/>
      <c r="N305" s="96"/>
      <c r="O305" s="96"/>
      <c r="P305" s="96"/>
      <c r="Q305" s="96"/>
      <c r="R305" s="96"/>
      <c r="S305" s="96"/>
      <c r="T305" s="96"/>
      <c r="U305" s="96"/>
      <c r="V305" s="96"/>
      <c r="W305" s="96"/>
      <c r="X305" s="96"/>
      <c r="Y305" s="96"/>
      <c r="Z305" s="96"/>
      <c r="AA305" s="96"/>
      <c r="AB305" s="96"/>
      <c r="AC305" s="96"/>
      <c r="AD305" s="96"/>
      <c r="AE305" s="96"/>
      <c r="AF305" s="96"/>
      <c r="AG305" s="96"/>
      <c r="AH305" s="96"/>
      <c r="AI305" s="96"/>
      <c r="AJ305" s="96"/>
      <c r="AK305" s="96"/>
      <c r="AL305" s="96"/>
      <c r="AM305" s="96"/>
      <c r="AN305" s="96"/>
      <c r="AO305" s="96"/>
      <c r="AP305" s="96"/>
      <c r="AQ305" s="96"/>
      <c r="AR305" s="96"/>
      <c r="AS305" s="96"/>
      <c r="AT305" s="96"/>
      <c r="AU305" s="96"/>
      <c r="AV305" s="96"/>
      <c r="AW305" s="96"/>
      <c r="AX305" s="96"/>
      <c r="AY305" s="96"/>
      <c r="AZ305" s="96"/>
      <c r="BA305" s="96"/>
      <c r="BB305" s="96"/>
    </row>
    <row r="306" spans="2:54" x14ac:dyDescent="0.25">
      <c r="B306" s="96"/>
      <c r="C306" s="96"/>
      <c r="D306" s="96"/>
      <c r="E306" s="96"/>
      <c r="F306" s="96"/>
      <c r="G306" s="96"/>
      <c r="H306" s="96"/>
      <c r="I306" s="96"/>
      <c r="J306" s="96"/>
      <c r="K306" s="96"/>
      <c r="L306" s="96"/>
      <c r="M306" s="96"/>
      <c r="N306" s="96"/>
      <c r="O306" s="96"/>
      <c r="P306" s="96"/>
      <c r="Q306" s="96"/>
      <c r="R306" s="96"/>
      <c r="S306" s="96"/>
      <c r="T306" s="96"/>
      <c r="U306" s="96"/>
      <c r="V306" s="96"/>
      <c r="W306" s="96"/>
      <c r="X306" s="96"/>
      <c r="Y306" s="96"/>
      <c r="Z306" s="96"/>
      <c r="AA306" s="96"/>
      <c r="AB306" s="96"/>
      <c r="AC306" s="96"/>
      <c r="AD306" s="96"/>
      <c r="AE306" s="96"/>
      <c r="AF306" s="96"/>
      <c r="AG306" s="96"/>
      <c r="AH306" s="96"/>
      <c r="AI306" s="96"/>
      <c r="AJ306" s="96"/>
      <c r="AK306" s="96"/>
      <c r="AL306" s="96"/>
      <c r="AM306" s="96"/>
      <c r="AN306" s="96"/>
      <c r="AO306" s="96"/>
      <c r="AP306" s="96"/>
      <c r="AQ306" s="96"/>
      <c r="AR306" s="96"/>
      <c r="AS306" s="96"/>
      <c r="AT306" s="96"/>
      <c r="AU306" s="96"/>
      <c r="AV306" s="96"/>
      <c r="AW306" s="96"/>
      <c r="AX306" s="96"/>
      <c r="AY306" s="96"/>
      <c r="AZ306" s="96"/>
      <c r="BA306" s="96"/>
      <c r="BB306" s="96"/>
    </row>
    <row r="307" spans="2:54" x14ac:dyDescent="0.25">
      <c r="B307" s="96"/>
      <c r="C307" s="96"/>
      <c r="D307" s="96"/>
      <c r="E307" s="96"/>
      <c r="F307" s="96"/>
      <c r="G307" s="96"/>
      <c r="H307" s="96"/>
      <c r="I307" s="96"/>
      <c r="J307" s="96"/>
      <c r="K307" s="96"/>
      <c r="L307" s="96"/>
      <c r="M307" s="96"/>
      <c r="N307" s="96"/>
      <c r="O307" s="96"/>
      <c r="P307" s="96"/>
      <c r="Q307" s="96"/>
      <c r="R307" s="96"/>
      <c r="S307" s="96"/>
      <c r="T307" s="96"/>
      <c r="U307" s="96"/>
      <c r="V307" s="96"/>
      <c r="W307" s="96"/>
      <c r="X307" s="96"/>
      <c r="Y307" s="96"/>
      <c r="Z307" s="96"/>
      <c r="AA307" s="96"/>
      <c r="AB307" s="96"/>
      <c r="AC307" s="96"/>
      <c r="AD307" s="96"/>
      <c r="AE307" s="96"/>
      <c r="AF307" s="96"/>
      <c r="AG307" s="96"/>
      <c r="AH307" s="96"/>
      <c r="AI307" s="96"/>
      <c r="AJ307" s="96"/>
      <c r="AK307" s="96"/>
      <c r="AL307" s="96"/>
      <c r="AM307" s="96"/>
      <c r="AN307" s="96"/>
      <c r="AO307" s="96"/>
      <c r="AP307" s="96"/>
      <c r="AQ307" s="96"/>
      <c r="AR307" s="96"/>
      <c r="AS307" s="96"/>
      <c r="AT307" s="96"/>
      <c r="AU307" s="96"/>
      <c r="AV307" s="96"/>
      <c r="AW307" s="96"/>
      <c r="AX307" s="96"/>
      <c r="AY307" s="96"/>
      <c r="AZ307" s="96"/>
      <c r="BA307" s="96"/>
      <c r="BB307" s="96"/>
    </row>
    <row r="308" spans="2:54" x14ac:dyDescent="0.25">
      <c r="B308" s="96"/>
      <c r="C308" s="96"/>
      <c r="D308" s="96"/>
      <c r="E308" s="96"/>
      <c r="F308" s="96"/>
      <c r="G308" s="96"/>
      <c r="H308" s="96"/>
      <c r="I308" s="96"/>
      <c r="J308" s="96"/>
      <c r="K308" s="96"/>
      <c r="L308" s="96"/>
      <c r="M308" s="96"/>
      <c r="N308" s="96"/>
      <c r="O308" s="96"/>
      <c r="P308" s="96"/>
      <c r="Q308" s="96"/>
      <c r="R308" s="96"/>
      <c r="S308" s="96"/>
      <c r="T308" s="96"/>
      <c r="U308" s="96"/>
      <c r="V308" s="96"/>
      <c r="W308" s="96"/>
      <c r="X308" s="96"/>
      <c r="Y308" s="96"/>
      <c r="Z308" s="96"/>
      <c r="AA308" s="96"/>
      <c r="AB308" s="96"/>
      <c r="AC308" s="96"/>
      <c r="AD308" s="96"/>
      <c r="AE308" s="96"/>
      <c r="AF308" s="96"/>
      <c r="AG308" s="96"/>
      <c r="AH308" s="96"/>
      <c r="AI308" s="96"/>
      <c r="AJ308" s="96"/>
      <c r="AK308" s="96"/>
      <c r="AL308" s="96"/>
      <c r="AM308" s="96"/>
      <c r="AN308" s="96"/>
      <c r="AO308" s="96"/>
      <c r="AP308" s="96"/>
      <c r="AQ308" s="96"/>
      <c r="AR308" s="96"/>
      <c r="AS308" s="96"/>
      <c r="AT308" s="96"/>
      <c r="AU308" s="96"/>
      <c r="AV308" s="96"/>
      <c r="AW308" s="96"/>
      <c r="AX308" s="96"/>
      <c r="AY308" s="96"/>
      <c r="AZ308" s="96"/>
      <c r="BA308" s="96"/>
      <c r="BB308" s="96"/>
    </row>
    <row r="309" spans="2:54" x14ac:dyDescent="0.25">
      <c r="B309" s="96"/>
      <c r="C309" s="96"/>
      <c r="D309" s="96"/>
      <c r="E309" s="96"/>
      <c r="F309" s="96"/>
      <c r="G309" s="96"/>
      <c r="H309" s="96"/>
      <c r="I309" s="96"/>
      <c r="J309" s="96"/>
      <c r="K309" s="96"/>
      <c r="L309" s="96"/>
      <c r="M309" s="96"/>
      <c r="N309" s="96"/>
      <c r="O309" s="96"/>
      <c r="P309" s="96"/>
      <c r="Q309" s="96"/>
      <c r="R309" s="96"/>
      <c r="S309" s="96"/>
      <c r="T309" s="96"/>
      <c r="U309" s="96"/>
      <c r="V309" s="96"/>
      <c r="W309" s="96"/>
      <c r="X309" s="96"/>
      <c r="Y309" s="96"/>
      <c r="Z309" s="96"/>
      <c r="AA309" s="96"/>
      <c r="AB309" s="96"/>
      <c r="AC309" s="96"/>
      <c r="AD309" s="96"/>
      <c r="AE309" s="96"/>
      <c r="AF309" s="96"/>
      <c r="AG309" s="96"/>
      <c r="AH309" s="96"/>
      <c r="AI309" s="96"/>
      <c r="AJ309" s="96"/>
      <c r="AK309" s="96"/>
      <c r="AL309" s="96"/>
      <c r="AM309" s="96"/>
      <c r="AN309" s="96"/>
      <c r="AO309" s="96"/>
      <c r="AP309" s="96"/>
      <c r="AQ309" s="96"/>
      <c r="AR309" s="96"/>
      <c r="AS309" s="96"/>
      <c r="AT309" s="96"/>
      <c r="AU309" s="96"/>
      <c r="AV309" s="96"/>
      <c r="AW309" s="96"/>
      <c r="AX309" s="96"/>
      <c r="AY309" s="96"/>
      <c r="AZ309" s="96"/>
      <c r="BA309" s="96"/>
      <c r="BB309" s="96"/>
    </row>
    <row r="310" spans="2:54" x14ac:dyDescent="0.25">
      <c r="B310" s="96"/>
      <c r="C310" s="96"/>
      <c r="D310" s="96"/>
      <c r="E310" s="96"/>
      <c r="F310" s="96"/>
      <c r="G310" s="96"/>
      <c r="H310" s="96"/>
      <c r="I310" s="96"/>
      <c r="J310" s="96"/>
      <c r="K310" s="96"/>
      <c r="L310" s="96"/>
      <c r="M310" s="96"/>
      <c r="N310" s="96"/>
      <c r="O310" s="96"/>
      <c r="P310" s="96"/>
      <c r="Q310" s="96"/>
      <c r="R310" s="96"/>
      <c r="S310" s="96"/>
      <c r="T310" s="96"/>
      <c r="U310" s="96"/>
      <c r="V310" s="96"/>
      <c r="W310" s="96"/>
      <c r="X310" s="96"/>
      <c r="Y310" s="96"/>
      <c r="Z310" s="96"/>
      <c r="AA310" s="96"/>
      <c r="AB310" s="96"/>
      <c r="AC310" s="96"/>
      <c r="AD310" s="96"/>
      <c r="AE310" s="96"/>
      <c r="AF310" s="96"/>
      <c r="AG310" s="96"/>
      <c r="AH310" s="96"/>
      <c r="AI310" s="96"/>
      <c r="AJ310" s="96"/>
      <c r="AK310" s="96"/>
      <c r="AL310" s="96"/>
      <c r="AM310" s="96"/>
      <c r="AN310" s="96"/>
      <c r="AO310" s="96"/>
      <c r="AP310" s="96"/>
      <c r="AQ310" s="96"/>
      <c r="AR310" s="96"/>
      <c r="AS310" s="96"/>
      <c r="AT310" s="96"/>
      <c r="AU310" s="96"/>
      <c r="AV310" s="96"/>
      <c r="AW310" s="96"/>
      <c r="AX310" s="96"/>
      <c r="AY310" s="96"/>
      <c r="AZ310" s="96"/>
      <c r="BA310" s="96"/>
      <c r="BB310" s="96"/>
    </row>
    <row r="311" spans="2:54" x14ac:dyDescent="0.25">
      <c r="B311" s="96"/>
      <c r="C311" s="96"/>
      <c r="D311" s="96"/>
      <c r="E311" s="96"/>
      <c r="F311" s="96"/>
      <c r="G311" s="96"/>
      <c r="H311" s="96"/>
      <c r="I311" s="96"/>
      <c r="J311" s="96"/>
      <c r="K311" s="96"/>
      <c r="L311" s="96"/>
      <c r="M311" s="96"/>
      <c r="N311" s="96"/>
      <c r="O311" s="96"/>
      <c r="P311" s="96"/>
      <c r="Q311" s="96"/>
      <c r="R311" s="96"/>
      <c r="S311" s="96"/>
      <c r="T311" s="96"/>
      <c r="U311" s="96"/>
      <c r="V311" s="96"/>
      <c r="W311" s="96"/>
      <c r="X311" s="96"/>
      <c r="Y311" s="96"/>
      <c r="Z311" s="96"/>
      <c r="AA311" s="96"/>
      <c r="AB311" s="96"/>
      <c r="AC311" s="96"/>
      <c r="AD311" s="96"/>
      <c r="AE311" s="96"/>
      <c r="AF311" s="96"/>
      <c r="AG311" s="96"/>
      <c r="AH311" s="96"/>
      <c r="AI311" s="96"/>
      <c r="AJ311" s="96"/>
      <c r="AK311" s="96"/>
      <c r="AL311" s="96"/>
      <c r="AM311" s="96"/>
      <c r="AN311" s="96"/>
      <c r="AO311" s="96"/>
      <c r="AP311" s="96"/>
      <c r="AQ311" s="96"/>
      <c r="AR311" s="96"/>
      <c r="AS311" s="96"/>
      <c r="AT311" s="96"/>
      <c r="AU311" s="96"/>
      <c r="AV311" s="96"/>
      <c r="AW311" s="96"/>
      <c r="AX311" s="96"/>
      <c r="AY311" s="96"/>
      <c r="AZ311" s="96"/>
      <c r="BA311" s="96"/>
      <c r="BB311" s="96"/>
    </row>
    <row r="312" spans="2:54" x14ac:dyDescent="0.25">
      <c r="B312" s="96"/>
      <c r="C312" s="96"/>
      <c r="D312" s="96"/>
      <c r="E312" s="96"/>
      <c r="F312" s="96"/>
      <c r="G312" s="96"/>
      <c r="H312" s="96"/>
      <c r="I312" s="96"/>
      <c r="J312" s="96"/>
      <c r="K312" s="96"/>
      <c r="L312" s="96"/>
      <c r="M312" s="96"/>
      <c r="N312" s="96"/>
      <c r="O312" s="96"/>
      <c r="P312" s="96"/>
      <c r="Q312" s="96"/>
      <c r="R312" s="96"/>
      <c r="S312" s="96"/>
      <c r="T312" s="96"/>
      <c r="U312" s="96"/>
      <c r="V312" s="96"/>
      <c r="W312" s="96"/>
      <c r="X312" s="96"/>
      <c r="Y312" s="96"/>
      <c r="Z312" s="96"/>
      <c r="AA312" s="96"/>
      <c r="AB312" s="96"/>
      <c r="AC312" s="96"/>
      <c r="AD312" s="96"/>
      <c r="AE312" s="96"/>
      <c r="AF312" s="96"/>
      <c r="AG312" s="96"/>
      <c r="AH312" s="96"/>
      <c r="AI312" s="96"/>
      <c r="AJ312" s="96"/>
      <c r="AK312" s="96"/>
      <c r="AL312" s="96"/>
      <c r="AM312" s="96"/>
      <c r="AN312" s="96"/>
      <c r="AO312" s="96"/>
      <c r="AP312" s="96"/>
      <c r="AQ312" s="96"/>
      <c r="AR312" s="96"/>
      <c r="AS312" s="96"/>
      <c r="AT312" s="96"/>
      <c r="AU312" s="96"/>
      <c r="AV312" s="96"/>
      <c r="AW312" s="96"/>
      <c r="AX312" s="96"/>
      <c r="AY312" s="96"/>
      <c r="AZ312" s="96"/>
      <c r="BA312" s="96"/>
      <c r="BB312" s="96"/>
    </row>
    <row r="313" spans="2:54" x14ac:dyDescent="0.25">
      <c r="B313" s="96"/>
      <c r="C313" s="96"/>
      <c r="D313" s="96"/>
      <c r="E313" s="96"/>
      <c r="F313" s="96"/>
      <c r="G313" s="96"/>
      <c r="H313" s="96"/>
      <c r="I313" s="96"/>
      <c r="J313" s="96"/>
      <c r="K313" s="96"/>
      <c r="L313" s="96"/>
      <c r="M313" s="96"/>
      <c r="N313" s="96"/>
      <c r="O313" s="96"/>
      <c r="P313" s="96"/>
      <c r="Q313" s="96"/>
      <c r="R313" s="96"/>
      <c r="S313" s="96"/>
      <c r="T313" s="96"/>
      <c r="U313" s="96"/>
      <c r="V313" s="96"/>
      <c r="W313" s="96"/>
      <c r="X313" s="96"/>
      <c r="Y313" s="96"/>
      <c r="Z313" s="96"/>
      <c r="AA313" s="96"/>
      <c r="AB313" s="96"/>
      <c r="AC313" s="96"/>
      <c r="AD313" s="96"/>
      <c r="AE313" s="96"/>
      <c r="AF313" s="96"/>
      <c r="AG313" s="96"/>
      <c r="AH313" s="96"/>
      <c r="AI313" s="96"/>
      <c r="AJ313" s="96"/>
      <c r="AK313" s="96"/>
      <c r="AL313" s="96"/>
      <c r="AM313" s="96"/>
      <c r="AN313" s="96"/>
      <c r="AO313" s="96"/>
      <c r="AP313" s="96"/>
      <c r="AQ313" s="96"/>
      <c r="AR313" s="96"/>
      <c r="AS313" s="96"/>
      <c r="AT313" s="96"/>
      <c r="AU313" s="96"/>
      <c r="AV313" s="96"/>
      <c r="AW313" s="96"/>
      <c r="AX313" s="96"/>
      <c r="AY313" s="96"/>
      <c r="AZ313" s="96"/>
      <c r="BA313" s="96"/>
      <c r="BB313" s="96"/>
    </row>
    <row r="314" spans="2:54" x14ac:dyDescent="0.25">
      <c r="B314" s="96"/>
      <c r="C314" s="96"/>
      <c r="D314" s="96"/>
      <c r="E314" s="96"/>
      <c r="F314" s="96"/>
      <c r="G314" s="96"/>
      <c r="H314" s="96"/>
      <c r="I314" s="96"/>
      <c r="J314" s="96"/>
      <c r="K314" s="96"/>
      <c r="L314" s="96"/>
      <c r="M314" s="96"/>
      <c r="N314" s="96"/>
      <c r="O314" s="96"/>
      <c r="P314" s="96"/>
      <c r="Q314" s="96"/>
      <c r="R314" s="96"/>
      <c r="S314" s="96"/>
      <c r="T314" s="96"/>
      <c r="U314" s="96"/>
      <c r="V314" s="96"/>
      <c r="W314" s="96"/>
      <c r="X314" s="96"/>
      <c r="Y314" s="96"/>
      <c r="Z314" s="96"/>
      <c r="AA314" s="96"/>
      <c r="AB314" s="96"/>
      <c r="AC314" s="96"/>
      <c r="AD314" s="96"/>
      <c r="AE314" s="96"/>
      <c r="AF314" s="96"/>
      <c r="AG314" s="96"/>
      <c r="AH314" s="96"/>
      <c r="AI314" s="96"/>
      <c r="AJ314" s="96"/>
      <c r="AK314" s="96"/>
      <c r="AL314" s="96"/>
      <c r="AM314" s="96"/>
      <c r="AN314" s="96"/>
      <c r="AO314" s="96"/>
      <c r="AP314" s="96"/>
      <c r="AQ314" s="96"/>
      <c r="AR314" s="96"/>
      <c r="AS314" s="96"/>
      <c r="AT314" s="96"/>
      <c r="AU314" s="96"/>
      <c r="AV314" s="96"/>
      <c r="AW314" s="96"/>
      <c r="AX314" s="96"/>
      <c r="AY314" s="96"/>
      <c r="AZ314" s="96"/>
      <c r="BA314" s="96"/>
      <c r="BB314" s="96"/>
    </row>
    <row r="315" spans="2:54" x14ac:dyDescent="0.25">
      <c r="B315" s="96"/>
      <c r="C315" s="96"/>
      <c r="D315" s="96"/>
      <c r="E315" s="96"/>
      <c r="F315" s="96"/>
      <c r="G315" s="96"/>
      <c r="H315" s="96"/>
      <c r="I315" s="96"/>
      <c r="J315" s="96"/>
      <c r="K315" s="96"/>
      <c r="L315" s="96"/>
      <c r="M315" s="96"/>
      <c r="N315" s="96"/>
      <c r="O315" s="96"/>
      <c r="P315" s="96"/>
      <c r="Q315" s="96"/>
      <c r="R315" s="96"/>
      <c r="S315" s="96"/>
      <c r="T315" s="96"/>
      <c r="U315" s="96"/>
      <c r="V315" s="96"/>
      <c r="W315" s="96"/>
      <c r="X315" s="96"/>
      <c r="Y315" s="96"/>
      <c r="Z315" s="96"/>
      <c r="AA315" s="96"/>
      <c r="AB315" s="96"/>
      <c r="AC315" s="96"/>
      <c r="AD315" s="96"/>
      <c r="AE315" s="96"/>
      <c r="AF315" s="96"/>
      <c r="AG315" s="96"/>
      <c r="AH315" s="96"/>
      <c r="AI315" s="96"/>
      <c r="AJ315" s="96"/>
      <c r="AK315" s="96"/>
      <c r="AL315" s="96"/>
      <c r="AM315" s="96"/>
      <c r="AN315" s="96"/>
      <c r="AO315" s="96"/>
      <c r="AP315" s="96"/>
      <c r="AQ315" s="96"/>
      <c r="AR315" s="96"/>
      <c r="AS315" s="96"/>
      <c r="AT315" s="96"/>
      <c r="AU315" s="96"/>
      <c r="AV315" s="96"/>
      <c r="AW315" s="96"/>
      <c r="AX315" s="96"/>
      <c r="AY315" s="96"/>
      <c r="AZ315" s="96"/>
      <c r="BA315" s="96"/>
      <c r="BB315" s="96"/>
    </row>
    <row r="316" spans="2:54" x14ac:dyDescent="0.25">
      <c r="B316" s="96"/>
      <c r="C316" s="96"/>
      <c r="D316" s="96"/>
      <c r="E316" s="96"/>
      <c r="F316" s="96"/>
      <c r="G316" s="96"/>
      <c r="H316" s="96"/>
      <c r="I316" s="96"/>
      <c r="J316" s="96"/>
      <c r="K316" s="96"/>
      <c r="L316" s="96"/>
      <c r="M316" s="96"/>
      <c r="N316" s="96"/>
      <c r="O316" s="96"/>
      <c r="P316" s="96"/>
      <c r="Q316" s="96"/>
      <c r="R316" s="96"/>
      <c r="S316" s="96"/>
      <c r="T316" s="96"/>
      <c r="U316" s="96"/>
      <c r="V316" s="96"/>
      <c r="W316" s="96"/>
      <c r="X316" s="96"/>
      <c r="Y316" s="96"/>
      <c r="Z316" s="96"/>
      <c r="AA316" s="96"/>
      <c r="AB316" s="96"/>
      <c r="AC316" s="96"/>
      <c r="AD316" s="96"/>
      <c r="AE316" s="96"/>
      <c r="AF316" s="96"/>
      <c r="AG316" s="96"/>
      <c r="AH316" s="96"/>
      <c r="AI316" s="96"/>
      <c r="AJ316" s="96"/>
      <c r="AK316" s="96"/>
      <c r="AL316" s="96"/>
      <c r="AM316" s="96"/>
      <c r="AN316" s="96"/>
      <c r="AO316" s="96"/>
      <c r="AP316" s="96"/>
      <c r="AQ316" s="96"/>
      <c r="AR316" s="96"/>
      <c r="AS316" s="96"/>
      <c r="AT316" s="96"/>
      <c r="AU316" s="96"/>
      <c r="AV316" s="96"/>
      <c r="AW316" s="96"/>
      <c r="AX316" s="96"/>
      <c r="AY316" s="96"/>
      <c r="AZ316" s="96"/>
      <c r="BA316" s="96"/>
      <c r="BB316" s="96"/>
    </row>
    <row r="317" spans="2:54" x14ac:dyDescent="0.25">
      <c r="B317" s="96"/>
      <c r="C317" s="96"/>
      <c r="D317" s="96"/>
      <c r="E317" s="96"/>
      <c r="F317" s="96"/>
      <c r="G317" s="96"/>
      <c r="H317" s="96"/>
      <c r="I317" s="96"/>
      <c r="J317" s="96"/>
      <c r="K317" s="96"/>
      <c r="L317" s="96"/>
      <c r="M317" s="96"/>
      <c r="N317" s="96"/>
      <c r="O317" s="96"/>
      <c r="P317" s="96"/>
      <c r="Q317" s="96"/>
      <c r="R317" s="96"/>
      <c r="S317" s="96"/>
      <c r="T317" s="96"/>
      <c r="U317" s="96"/>
      <c r="V317" s="96"/>
      <c r="W317" s="96"/>
      <c r="X317" s="96"/>
      <c r="Y317" s="96"/>
      <c r="Z317" s="96"/>
      <c r="AA317" s="96"/>
      <c r="AB317" s="96"/>
      <c r="AC317" s="96"/>
      <c r="AD317" s="96"/>
      <c r="AE317" s="96"/>
      <c r="AF317" s="96"/>
      <c r="AG317" s="96"/>
      <c r="AH317" s="96"/>
      <c r="AI317" s="96"/>
      <c r="AJ317" s="96"/>
      <c r="AK317" s="96"/>
      <c r="AL317" s="96"/>
      <c r="AM317" s="96"/>
      <c r="AN317" s="96"/>
      <c r="AO317" s="96"/>
      <c r="AP317" s="96"/>
      <c r="AQ317" s="96"/>
      <c r="AR317" s="96"/>
      <c r="AS317" s="96"/>
      <c r="AT317" s="96"/>
      <c r="AU317" s="96"/>
      <c r="AV317" s="96"/>
      <c r="AW317" s="96"/>
      <c r="AX317" s="96"/>
      <c r="AY317" s="96"/>
      <c r="AZ317" s="96"/>
      <c r="BA317" s="96"/>
      <c r="BB317" s="96"/>
    </row>
    <row r="318" spans="2:54" x14ac:dyDescent="0.25">
      <c r="B318" s="96"/>
      <c r="C318" s="96"/>
      <c r="D318" s="96"/>
      <c r="E318" s="96"/>
      <c r="F318" s="96"/>
      <c r="G318" s="96"/>
      <c r="H318" s="96"/>
      <c r="I318" s="96"/>
      <c r="J318" s="96"/>
      <c r="K318" s="96"/>
      <c r="L318" s="96"/>
      <c r="M318" s="96"/>
      <c r="N318" s="96"/>
      <c r="O318" s="96"/>
      <c r="P318" s="96"/>
      <c r="Q318" s="96"/>
      <c r="R318" s="96"/>
      <c r="S318" s="96"/>
      <c r="T318" s="96"/>
      <c r="U318" s="96"/>
      <c r="V318" s="96"/>
      <c r="W318" s="96"/>
      <c r="X318" s="96"/>
      <c r="Y318" s="96"/>
      <c r="Z318" s="96"/>
      <c r="AA318" s="96"/>
      <c r="AB318" s="96"/>
      <c r="AC318" s="96"/>
      <c r="AD318" s="96"/>
      <c r="AE318" s="96"/>
      <c r="AF318" s="96"/>
      <c r="AG318" s="96"/>
      <c r="AH318" s="96"/>
      <c r="AI318" s="96"/>
      <c r="AJ318" s="96"/>
      <c r="AK318" s="96"/>
      <c r="AL318" s="96"/>
      <c r="AM318" s="96"/>
      <c r="AN318" s="96"/>
      <c r="AO318" s="96"/>
      <c r="AP318" s="96"/>
      <c r="AQ318" s="96"/>
      <c r="AR318" s="96"/>
      <c r="AS318" s="96"/>
      <c r="AT318" s="96"/>
      <c r="AU318" s="96"/>
      <c r="AV318" s="96"/>
      <c r="AW318" s="96"/>
      <c r="AX318" s="96"/>
      <c r="AY318" s="96"/>
      <c r="AZ318" s="96"/>
      <c r="BA318" s="96"/>
      <c r="BB318" s="96"/>
    </row>
    <row r="319" spans="2:54" x14ac:dyDescent="0.25">
      <c r="B319" s="96"/>
      <c r="C319" s="96"/>
      <c r="D319" s="96"/>
      <c r="E319" s="96"/>
      <c r="F319" s="96"/>
      <c r="G319" s="96"/>
      <c r="H319" s="96"/>
      <c r="I319" s="96"/>
      <c r="J319" s="96"/>
      <c r="K319" s="96"/>
      <c r="L319" s="96"/>
      <c r="M319" s="96"/>
      <c r="N319" s="96"/>
      <c r="O319" s="96"/>
      <c r="P319" s="96"/>
      <c r="Q319" s="96"/>
      <c r="R319" s="96"/>
      <c r="S319" s="96"/>
      <c r="T319" s="96"/>
      <c r="U319" s="96"/>
      <c r="V319" s="96"/>
      <c r="W319" s="96"/>
      <c r="X319" s="96"/>
      <c r="Y319" s="96"/>
      <c r="Z319" s="96"/>
      <c r="AA319" s="96"/>
      <c r="AB319" s="96"/>
      <c r="AC319" s="96"/>
      <c r="AD319" s="96"/>
      <c r="AE319" s="96"/>
      <c r="AF319" s="96"/>
      <c r="AG319" s="96"/>
      <c r="AH319" s="96"/>
      <c r="AI319" s="96"/>
      <c r="AJ319" s="96"/>
      <c r="AK319" s="96"/>
      <c r="AL319" s="96"/>
      <c r="AM319" s="96"/>
      <c r="AN319" s="96"/>
      <c r="AO319" s="96"/>
      <c r="AP319" s="96"/>
      <c r="AQ319" s="96"/>
      <c r="AR319" s="96"/>
      <c r="AS319" s="96"/>
      <c r="AT319" s="96"/>
      <c r="AU319" s="96"/>
      <c r="AV319" s="96"/>
      <c r="AW319" s="96"/>
      <c r="AX319" s="96"/>
      <c r="AY319" s="96"/>
      <c r="AZ319" s="96"/>
      <c r="BA319" s="96"/>
      <c r="BB319" s="96"/>
    </row>
    <row r="320" spans="2:54" x14ac:dyDescent="0.25">
      <c r="B320" s="96"/>
      <c r="C320" s="96"/>
      <c r="D320" s="96"/>
      <c r="E320" s="96"/>
      <c r="F320" s="96"/>
      <c r="G320" s="96"/>
      <c r="H320" s="96"/>
      <c r="I320" s="96"/>
      <c r="J320" s="96"/>
      <c r="K320" s="96"/>
      <c r="L320" s="96"/>
      <c r="M320" s="96"/>
      <c r="N320" s="96"/>
      <c r="O320" s="96"/>
      <c r="P320" s="96"/>
      <c r="Q320" s="96"/>
      <c r="R320" s="96"/>
      <c r="S320" s="96"/>
      <c r="T320" s="96"/>
      <c r="U320" s="96"/>
      <c r="V320" s="96"/>
      <c r="W320" s="96"/>
      <c r="X320" s="96"/>
      <c r="Y320" s="96"/>
      <c r="Z320" s="96"/>
      <c r="AA320" s="96"/>
      <c r="AB320" s="96"/>
      <c r="AC320" s="96"/>
      <c r="AD320" s="96"/>
      <c r="AE320" s="96"/>
      <c r="AF320" s="96"/>
      <c r="AG320" s="96"/>
      <c r="AH320" s="96"/>
      <c r="AI320" s="96"/>
      <c r="AJ320" s="96"/>
      <c r="AK320" s="96"/>
      <c r="AL320" s="96"/>
      <c r="AM320" s="96"/>
      <c r="AN320" s="96"/>
      <c r="AO320" s="96"/>
      <c r="AP320" s="96"/>
      <c r="AQ320" s="96"/>
      <c r="AR320" s="96"/>
      <c r="AS320" s="96"/>
      <c r="AT320" s="96"/>
      <c r="AU320" s="96"/>
      <c r="AV320" s="96"/>
      <c r="AW320" s="96"/>
      <c r="AX320" s="96"/>
      <c r="AY320" s="96"/>
      <c r="AZ320" s="96"/>
      <c r="BA320" s="96"/>
      <c r="BB320" s="96"/>
    </row>
    <row r="321" spans="2:54" x14ac:dyDescent="0.25">
      <c r="B321" s="96"/>
      <c r="C321" s="96"/>
      <c r="D321" s="96"/>
      <c r="E321" s="96"/>
      <c r="F321" s="96"/>
      <c r="G321" s="96"/>
      <c r="H321" s="96"/>
      <c r="I321" s="96"/>
      <c r="J321" s="96"/>
      <c r="K321" s="96"/>
      <c r="L321" s="96"/>
      <c r="M321" s="96"/>
      <c r="N321" s="96"/>
      <c r="O321" s="96"/>
      <c r="P321" s="96"/>
      <c r="Q321" s="96"/>
      <c r="R321" s="96"/>
      <c r="S321" s="96"/>
      <c r="T321" s="96"/>
      <c r="U321" s="96"/>
      <c r="V321" s="96"/>
      <c r="W321" s="96"/>
      <c r="X321" s="96"/>
      <c r="Y321" s="96"/>
      <c r="Z321" s="96"/>
      <c r="AA321" s="96"/>
      <c r="AB321" s="96"/>
      <c r="AC321" s="96"/>
      <c r="AD321" s="96"/>
      <c r="AE321" s="96"/>
      <c r="AF321" s="96"/>
      <c r="AG321" s="96"/>
      <c r="AH321" s="96"/>
      <c r="AI321" s="96"/>
      <c r="AJ321" s="96"/>
      <c r="AK321" s="96"/>
      <c r="AL321" s="96"/>
      <c r="AM321" s="96"/>
      <c r="AN321" s="96"/>
      <c r="AO321" s="96"/>
      <c r="AP321" s="96"/>
      <c r="AQ321" s="96"/>
      <c r="AR321" s="96"/>
      <c r="AS321" s="96"/>
      <c r="AT321" s="96"/>
      <c r="AU321" s="96"/>
      <c r="AV321" s="96"/>
      <c r="AW321" s="96"/>
      <c r="AX321" s="96"/>
      <c r="AY321" s="96"/>
      <c r="AZ321" s="96"/>
      <c r="BA321" s="96"/>
      <c r="BB321" s="96"/>
    </row>
    <row r="322" spans="2:54" x14ac:dyDescent="0.25">
      <c r="B322" s="96"/>
      <c r="C322" s="96"/>
      <c r="D322" s="96"/>
      <c r="E322" s="96"/>
      <c r="F322" s="96"/>
      <c r="G322" s="96"/>
      <c r="H322" s="96"/>
      <c r="I322" s="96"/>
      <c r="J322" s="96"/>
      <c r="K322" s="96"/>
      <c r="L322" s="96"/>
      <c r="M322" s="96"/>
      <c r="N322" s="96"/>
      <c r="O322" s="96"/>
      <c r="P322" s="96"/>
      <c r="Q322" s="96"/>
      <c r="R322" s="96"/>
      <c r="S322" s="96"/>
      <c r="T322" s="96"/>
      <c r="U322" s="96"/>
      <c r="V322" s="96"/>
      <c r="W322" s="96"/>
      <c r="X322" s="96"/>
      <c r="Y322" s="96"/>
      <c r="Z322" s="96"/>
      <c r="AA322" s="96"/>
      <c r="AB322" s="96"/>
      <c r="AC322" s="96"/>
      <c r="AD322" s="96"/>
      <c r="AE322" s="96"/>
      <c r="AF322" s="96"/>
      <c r="AG322" s="96"/>
      <c r="AH322" s="96"/>
      <c r="AI322" s="96"/>
      <c r="AJ322" s="96"/>
      <c r="AK322" s="96"/>
      <c r="AL322" s="96"/>
      <c r="AM322" s="96"/>
      <c r="AN322" s="96"/>
      <c r="AO322" s="96"/>
      <c r="AP322" s="96"/>
      <c r="AQ322" s="96"/>
      <c r="AR322" s="96"/>
      <c r="AS322" s="96"/>
      <c r="AT322" s="96"/>
      <c r="AU322" s="96"/>
      <c r="AV322" s="96"/>
      <c r="AW322" s="96"/>
      <c r="AX322" s="96"/>
      <c r="AY322" s="96"/>
      <c r="AZ322" s="96"/>
      <c r="BA322" s="96"/>
      <c r="BB322" s="96"/>
    </row>
    <row r="323" spans="2:54" x14ac:dyDescent="0.25">
      <c r="B323" s="96"/>
      <c r="C323" s="96"/>
      <c r="D323" s="96"/>
      <c r="E323" s="96"/>
      <c r="F323" s="96"/>
      <c r="G323" s="96"/>
      <c r="H323" s="96"/>
      <c r="I323" s="96"/>
      <c r="J323" s="96"/>
      <c r="K323" s="96"/>
      <c r="L323" s="96"/>
      <c r="M323" s="96"/>
      <c r="N323" s="96"/>
      <c r="O323" s="96"/>
      <c r="P323" s="96"/>
      <c r="Q323" s="96"/>
      <c r="R323" s="96"/>
      <c r="S323" s="96"/>
      <c r="T323" s="96"/>
      <c r="U323" s="96"/>
      <c r="V323" s="96"/>
      <c r="W323" s="96"/>
      <c r="X323" s="96"/>
      <c r="Y323" s="96"/>
      <c r="Z323" s="96"/>
      <c r="AA323" s="96"/>
      <c r="AB323" s="96"/>
      <c r="AC323" s="96"/>
      <c r="AD323" s="96"/>
      <c r="AE323" s="96"/>
      <c r="AF323" s="96"/>
      <c r="AG323" s="96"/>
      <c r="AH323" s="96"/>
      <c r="AI323" s="96"/>
      <c r="AJ323" s="96"/>
      <c r="AK323" s="96"/>
      <c r="AL323" s="96"/>
      <c r="AM323" s="96"/>
      <c r="AN323" s="96"/>
      <c r="AO323" s="96"/>
      <c r="AP323" s="96"/>
      <c r="AQ323" s="96"/>
      <c r="AR323" s="96"/>
      <c r="AS323" s="96"/>
      <c r="AT323" s="96"/>
      <c r="AU323" s="96"/>
      <c r="AV323" s="96"/>
      <c r="AW323" s="96"/>
      <c r="AX323" s="96"/>
      <c r="AY323" s="96"/>
      <c r="AZ323" s="96"/>
      <c r="BA323" s="96"/>
      <c r="BB323" s="96"/>
    </row>
    <row r="324" spans="2:54" x14ac:dyDescent="0.25">
      <c r="B324" s="96"/>
      <c r="C324" s="96"/>
      <c r="D324" s="96"/>
      <c r="E324" s="96"/>
      <c r="F324" s="96"/>
      <c r="G324" s="96"/>
      <c r="H324" s="96"/>
      <c r="I324" s="96"/>
      <c r="J324" s="96"/>
      <c r="K324" s="96"/>
      <c r="L324" s="96"/>
      <c r="M324" s="96"/>
      <c r="N324" s="96"/>
      <c r="O324" s="96"/>
      <c r="P324" s="96"/>
      <c r="Q324" s="96"/>
      <c r="R324" s="96"/>
      <c r="S324" s="96"/>
      <c r="T324" s="96"/>
      <c r="U324" s="96"/>
      <c r="V324" s="96"/>
      <c r="W324" s="96"/>
      <c r="X324" s="96"/>
      <c r="Y324" s="96"/>
      <c r="Z324" s="96"/>
      <c r="AA324" s="96"/>
      <c r="AB324" s="96"/>
      <c r="AC324" s="96"/>
      <c r="AD324" s="96"/>
      <c r="AE324" s="96"/>
      <c r="AF324" s="96"/>
      <c r="AG324" s="96"/>
      <c r="AH324" s="96"/>
      <c r="AI324" s="96"/>
      <c r="AJ324" s="96"/>
      <c r="AK324" s="96"/>
      <c r="AL324" s="96"/>
      <c r="AM324" s="96"/>
      <c r="AN324" s="96"/>
      <c r="AO324" s="96"/>
      <c r="AP324" s="96"/>
      <c r="AQ324" s="96"/>
      <c r="AR324" s="96"/>
      <c r="AS324" s="96"/>
      <c r="AT324" s="96"/>
      <c r="AU324" s="96"/>
      <c r="AV324" s="96"/>
      <c r="AW324" s="96"/>
      <c r="AX324" s="96"/>
      <c r="AY324" s="96"/>
      <c r="AZ324" s="96"/>
      <c r="BA324" s="96"/>
      <c r="BB324" s="96"/>
    </row>
    <row r="325" spans="2:54" x14ac:dyDescent="0.25">
      <c r="B325" s="96"/>
      <c r="C325" s="96"/>
      <c r="D325" s="96"/>
      <c r="E325" s="96"/>
      <c r="F325" s="96"/>
      <c r="G325" s="96"/>
      <c r="H325" s="96"/>
      <c r="I325" s="96"/>
      <c r="J325" s="96"/>
      <c r="K325" s="96"/>
      <c r="L325" s="96"/>
      <c r="M325" s="96"/>
      <c r="N325" s="96"/>
      <c r="O325" s="96"/>
      <c r="P325" s="96"/>
      <c r="Q325" s="96"/>
      <c r="R325" s="96"/>
      <c r="S325" s="96"/>
      <c r="T325" s="96"/>
      <c r="U325" s="96"/>
      <c r="V325" s="96"/>
      <c r="W325" s="96"/>
      <c r="X325" s="96"/>
      <c r="Y325" s="96"/>
      <c r="Z325" s="96"/>
      <c r="AA325" s="96"/>
      <c r="AB325" s="96"/>
      <c r="AC325" s="96"/>
      <c r="AD325" s="96"/>
      <c r="AE325" s="96"/>
      <c r="AF325" s="96"/>
      <c r="AG325" s="96"/>
      <c r="AH325" s="96"/>
      <c r="AI325" s="96"/>
      <c r="AJ325" s="96"/>
      <c r="AK325" s="96"/>
      <c r="AL325" s="96"/>
      <c r="AM325" s="96"/>
      <c r="AN325" s="96"/>
      <c r="AO325" s="96"/>
      <c r="AP325" s="96"/>
      <c r="AQ325" s="96"/>
      <c r="AR325" s="96"/>
      <c r="AS325" s="96"/>
      <c r="AT325" s="96"/>
      <c r="AU325" s="96"/>
      <c r="AV325" s="96"/>
      <c r="AW325" s="96"/>
      <c r="AX325" s="96"/>
      <c r="AY325" s="96"/>
      <c r="AZ325" s="96"/>
      <c r="BA325" s="96"/>
      <c r="BB325" s="96"/>
    </row>
    <row r="326" spans="2:54" x14ac:dyDescent="0.25">
      <c r="B326" s="96"/>
      <c r="C326" s="96"/>
      <c r="D326" s="96"/>
      <c r="E326" s="96"/>
      <c r="F326" s="96"/>
      <c r="G326" s="96"/>
      <c r="H326" s="96"/>
      <c r="I326" s="96"/>
      <c r="J326" s="96"/>
      <c r="K326" s="96"/>
      <c r="L326" s="96"/>
      <c r="M326" s="96"/>
      <c r="N326" s="96"/>
      <c r="O326" s="96"/>
      <c r="P326" s="96"/>
      <c r="Q326" s="96"/>
      <c r="R326" s="96"/>
      <c r="S326" s="96"/>
      <c r="T326" s="96"/>
      <c r="U326" s="96"/>
      <c r="V326" s="96"/>
      <c r="W326" s="96"/>
      <c r="X326" s="96"/>
      <c r="Y326" s="96"/>
      <c r="Z326" s="96"/>
      <c r="AA326" s="96"/>
      <c r="AB326" s="96"/>
      <c r="AC326" s="96"/>
      <c r="AD326" s="96"/>
      <c r="AE326" s="96"/>
      <c r="AF326" s="96"/>
      <c r="AG326" s="96"/>
      <c r="AH326" s="96"/>
      <c r="AI326" s="96"/>
      <c r="AJ326" s="96"/>
      <c r="AK326" s="96"/>
      <c r="AL326" s="96"/>
      <c r="AM326" s="96"/>
      <c r="AN326" s="96"/>
      <c r="AO326" s="96"/>
      <c r="AP326" s="96"/>
      <c r="AQ326" s="96"/>
      <c r="AR326" s="96"/>
      <c r="AS326" s="96"/>
      <c r="AT326" s="96"/>
      <c r="AU326" s="96"/>
      <c r="AV326" s="96"/>
      <c r="AW326" s="96"/>
      <c r="AX326" s="96"/>
      <c r="AY326" s="96"/>
      <c r="AZ326" s="96"/>
      <c r="BA326" s="96"/>
      <c r="BB326" s="96"/>
    </row>
    <row r="327" spans="2:54" x14ac:dyDescent="0.25">
      <c r="B327" s="96"/>
      <c r="C327" s="96"/>
      <c r="D327" s="96"/>
      <c r="E327" s="96"/>
      <c r="F327" s="96"/>
      <c r="G327" s="96"/>
      <c r="H327" s="96"/>
      <c r="I327" s="96"/>
      <c r="J327" s="96"/>
      <c r="K327" s="96"/>
      <c r="L327" s="96"/>
      <c r="M327" s="96"/>
      <c r="N327" s="96"/>
      <c r="O327" s="96"/>
      <c r="P327" s="96"/>
      <c r="Q327" s="96"/>
      <c r="R327" s="96"/>
      <c r="S327" s="96"/>
      <c r="T327" s="96"/>
      <c r="U327" s="96"/>
      <c r="V327" s="96"/>
      <c r="W327" s="96"/>
      <c r="X327" s="96"/>
      <c r="Y327" s="96"/>
      <c r="Z327" s="96"/>
      <c r="AA327" s="96"/>
      <c r="AB327" s="96"/>
      <c r="AC327" s="96"/>
      <c r="AD327" s="96"/>
      <c r="AE327" s="96"/>
      <c r="AF327" s="96"/>
      <c r="AG327" s="96"/>
      <c r="AH327" s="96"/>
      <c r="AI327" s="96"/>
      <c r="AJ327" s="96"/>
      <c r="AK327" s="96"/>
      <c r="AL327" s="96"/>
      <c r="AM327" s="96"/>
      <c r="AN327" s="96"/>
      <c r="AO327" s="96"/>
      <c r="AP327" s="96"/>
      <c r="AQ327" s="96"/>
      <c r="AR327" s="96"/>
      <c r="AS327" s="96"/>
      <c r="AT327" s="96"/>
      <c r="AU327" s="96"/>
      <c r="AV327" s="96"/>
      <c r="AW327" s="96"/>
      <c r="AX327" s="96"/>
      <c r="AY327" s="96"/>
      <c r="AZ327" s="96"/>
      <c r="BA327" s="96"/>
      <c r="BB327" s="96"/>
    </row>
    <row r="328" spans="2:54" x14ac:dyDescent="0.25">
      <c r="B328" s="96"/>
      <c r="C328" s="96"/>
      <c r="D328" s="96"/>
      <c r="E328" s="96"/>
      <c r="F328" s="96"/>
      <c r="G328" s="96"/>
      <c r="H328" s="96"/>
      <c r="I328" s="96"/>
      <c r="J328" s="96"/>
      <c r="K328" s="96"/>
      <c r="L328" s="96"/>
      <c r="M328" s="96"/>
      <c r="N328" s="96"/>
      <c r="O328" s="96"/>
      <c r="P328" s="96"/>
      <c r="Q328" s="96"/>
      <c r="R328" s="96"/>
      <c r="S328" s="96"/>
      <c r="T328" s="96"/>
      <c r="U328" s="96"/>
      <c r="V328" s="96"/>
      <c r="W328" s="96"/>
      <c r="X328" s="96"/>
      <c r="Y328" s="96"/>
      <c r="Z328" s="96"/>
      <c r="AA328" s="96"/>
      <c r="AB328" s="96"/>
      <c r="AC328" s="96"/>
      <c r="AD328" s="96"/>
      <c r="AE328" s="96"/>
      <c r="AF328" s="96"/>
      <c r="AG328" s="96"/>
      <c r="AH328" s="96"/>
      <c r="AI328" s="96"/>
      <c r="AJ328" s="96"/>
      <c r="AK328" s="96"/>
      <c r="AL328" s="96"/>
      <c r="AM328" s="96"/>
      <c r="AN328" s="96"/>
      <c r="AO328" s="96"/>
      <c r="AP328" s="96"/>
      <c r="AQ328" s="96"/>
      <c r="AR328" s="96"/>
      <c r="AS328" s="96"/>
      <c r="AT328" s="96"/>
      <c r="AU328" s="96"/>
      <c r="AV328" s="96"/>
      <c r="AW328" s="96"/>
      <c r="AX328" s="96"/>
      <c r="AY328" s="96"/>
      <c r="AZ328" s="96"/>
      <c r="BA328" s="96"/>
      <c r="BB328" s="96"/>
    </row>
    <row r="329" spans="2:54" x14ac:dyDescent="0.25">
      <c r="B329" s="96"/>
      <c r="C329" s="96"/>
      <c r="D329" s="96"/>
      <c r="E329" s="96"/>
      <c r="F329" s="96"/>
      <c r="G329" s="96"/>
      <c r="H329" s="96"/>
      <c r="I329" s="96"/>
      <c r="J329" s="96"/>
      <c r="K329" s="96"/>
      <c r="L329" s="96"/>
      <c r="M329" s="96"/>
      <c r="N329" s="96"/>
      <c r="O329" s="96"/>
      <c r="P329" s="96"/>
      <c r="Q329" s="96"/>
      <c r="R329" s="96"/>
      <c r="S329" s="96"/>
      <c r="T329" s="96"/>
      <c r="U329" s="96"/>
      <c r="V329" s="96"/>
      <c r="W329" s="96"/>
      <c r="X329" s="96"/>
      <c r="Y329" s="96"/>
      <c r="Z329" s="96"/>
      <c r="AA329" s="96"/>
      <c r="AB329" s="96"/>
      <c r="AC329" s="96"/>
      <c r="AD329" s="96"/>
      <c r="AE329" s="96"/>
      <c r="AF329" s="96"/>
      <c r="AG329" s="96"/>
      <c r="AH329" s="96"/>
      <c r="AI329" s="96"/>
      <c r="AJ329" s="96"/>
      <c r="AK329" s="96"/>
      <c r="AL329" s="96"/>
      <c r="AM329" s="96"/>
      <c r="AN329" s="96"/>
      <c r="AO329" s="96"/>
      <c r="AP329" s="96"/>
      <c r="AQ329" s="96"/>
      <c r="AR329" s="96"/>
      <c r="AS329" s="96"/>
      <c r="AT329" s="96"/>
      <c r="AU329" s="96"/>
      <c r="AV329" s="96"/>
      <c r="AW329" s="96"/>
      <c r="AX329" s="96"/>
      <c r="AY329" s="96"/>
      <c r="AZ329" s="96"/>
      <c r="BA329" s="96"/>
      <c r="BB329" s="96"/>
    </row>
    <row r="330" spans="2:54" x14ac:dyDescent="0.25">
      <c r="B330" s="96"/>
      <c r="C330" s="96"/>
      <c r="D330" s="96"/>
      <c r="E330" s="96"/>
      <c r="F330" s="96"/>
      <c r="G330" s="96"/>
      <c r="H330" s="96"/>
      <c r="I330" s="96"/>
      <c r="J330" s="96"/>
      <c r="K330" s="96"/>
      <c r="L330" s="96"/>
      <c r="M330" s="96"/>
      <c r="N330" s="96"/>
      <c r="O330" s="96"/>
      <c r="P330" s="96"/>
      <c r="Q330" s="96"/>
      <c r="R330" s="96"/>
      <c r="S330" s="96"/>
      <c r="T330" s="96"/>
      <c r="U330" s="96"/>
      <c r="V330" s="96"/>
      <c r="W330" s="96"/>
      <c r="X330" s="96"/>
      <c r="Y330" s="96"/>
      <c r="Z330" s="96"/>
      <c r="AA330" s="96"/>
      <c r="AB330" s="96"/>
      <c r="AC330" s="96"/>
      <c r="AD330" s="96"/>
      <c r="AE330" s="96"/>
      <c r="AF330" s="96"/>
      <c r="AG330" s="96"/>
      <c r="AH330" s="96"/>
      <c r="AI330" s="96"/>
      <c r="AJ330" s="96"/>
      <c r="AK330" s="96"/>
      <c r="AL330" s="96"/>
      <c r="AM330" s="96"/>
      <c r="AN330" s="96"/>
      <c r="AO330" s="96"/>
      <c r="AP330" s="96"/>
      <c r="AQ330" s="96"/>
      <c r="AR330" s="96"/>
      <c r="AS330" s="96"/>
      <c r="AT330" s="96"/>
      <c r="AU330" s="96"/>
      <c r="AV330" s="96"/>
      <c r="AW330" s="96"/>
      <c r="AX330" s="96"/>
      <c r="AY330" s="96"/>
      <c r="AZ330" s="96"/>
      <c r="BA330" s="96"/>
      <c r="BB330" s="96"/>
    </row>
    <row r="331" spans="2:54" x14ac:dyDescent="0.25">
      <c r="B331" s="96"/>
      <c r="C331" s="96"/>
      <c r="D331" s="96"/>
      <c r="E331" s="96"/>
      <c r="F331" s="96"/>
      <c r="G331" s="96"/>
      <c r="H331" s="96"/>
      <c r="I331" s="96"/>
      <c r="J331" s="96"/>
      <c r="K331" s="96"/>
      <c r="L331" s="96"/>
      <c r="M331" s="96"/>
      <c r="N331" s="96"/>
      <c r="O331" s="96"/>
      <c r="P331" s="96"/>
      <c r="Q331" s="96"/>
      <c r="R331" s="96"/>
      <c r="S331" s="96"/>
      <c r="T331" s="96"/>
      <c r="U331" s="96"/>
      <c r="V331" s="96"/>
      <c r="W331" s="96"/>
      <c r="X331" s="96"/>
      <c r="Y331" s="96"/>
      <c r="Z331" s="96"/>
      <c r="AA331" s="96"/>
      <c r="AB331" s="96"/>
      <c r="AC331" s="96"/>
      <c r="AD331" s="96"/>
      <c r="AE331" s="96"/>
      <c r="AF331" s="96"/>
      <c r="AG331" s="96"/>
      <c r="AH331" s="96"/>
      <c r="AI331" s="96"/>
      <c r="AJ331" s="96"/>
      <c r="AK331" s="96"/>
      <c r="AL331" s="96"/>
      <c r="AM331" s="96"/>
      <c r="AN331" s="96"/>
      <c r="AO331" s="96"/>
      <c r="AP331" s="96"/>
      <c r="AQ331" s="96"/>
      <c r="AR331" s="96"/>
      <c r="AS331" s="96"/>
      <c r="AT331" s="96"/>
      <c r="AU331" s="96"/>
      <c r="AV331" s="96"/>
      <c r="AW331" s="96"/>
      <c r="AX331" s="96"/>
      <c r="AY331" s="96"/>
      <c r="AZ331" s="96"/>
      <c r="BA331" s="96"/>
      <c r="BB331" s="96"/>
    </row>
    <row r="332" spans="2:54" x14ac:dyDescent="0.25">
      <c r="B332" s="96"/>
      <c r="C332" s="96"/>
      <c r="D332" s="96"/>
      <c r="E332" s="96"/>
      <c r="F332" s="96"/>
      <c r="G332" s="96"/>
      <c r="H332" s="96"/>
      <c r="I332" s="96"/>
      <c r="J332" s="96"/>
      <c r="K332" s="96"/>
      <c r="L332" s="96"/>
      <c r="M332" s="96"/>
      <c r="N332" s="96"/>
      <c r="O332" s="96"/>
      <c r="P332" s="96"/>
      <c r="Q332" s="96"/>
      <c r="R332" s="96"/>
      <c r="S332" s="96"/>
      <c r="T332" s="96"/>
      <c r="U332" s="96"/>
      <c r="V332" s="96"/>
      <c r="W332" s="96"/>
      <c r="X332" s="96"/>
      <c r="Y332" s="96"/>
      <c r="Z332" s="96"/>
      <c r="AA332" s="96"/>
      <c r="AB332" s="96"/>
      <c r="AC332" s="96"/>
      <c r="AD332" s="96"/>
      <c r="AE332" s="96"/>
      <c r="AF332" s="96"/>
      <c r="AG332" s="96"/>
      <c r="AH332" s="96"/>
      <c r="AI332" s="96"/>
      <c r="AJ332" s="96"/>
      <c r="AK332" s="96"/>
      <c r="AL332" s="96"/>
      <c r="AM332" s="96"/>
      <c r="AN332" s="96"/>
      <c r="AO332" s="96"/>
      <c r="AP332" s="96"/>
      <c r="AQ332" s="96"/>
      <c r="AR332" s="96"/>
      <c r="AS332" s="96"/>
      <c r="AT332" s="96"/>
      <c r="AU332" s="96"/>
      <c r="AV332" s="96"/>
      <c r="AW332" s="96"/>
      <c r="AX332" s="96"/>
      <c r="AY332" s="96"/>
      <c r="AZ332" s="96"/>
      <c r="BA332" s="96"/>
      <c r="BB332" s="96"/>
    </row>
    <row r="333" spans="2:54" x14ac:dyDescent="0.25">
      <c r="B333" s="96"/>
      <c r="C333" s="96"/>
      <c r="D333" s="96"/>
      <c r="E333" s="96"/>
      <c r="F333" s="96"/>
      <c r="G333" s="96"/>
      <c r="H333" s="96"/>
      <c r="I333" s="96"/>
      <c r="J333" s="96"/>
      <c r="K333" s="96"/>
      <c r="L333" s="96"/>
      <c r="M333" s="96"/>
      <c r="N333" s="96"/>
      <c r="O333" s="96"/>
      <c r="P333" s="96"/>
      <c r="Q333" s="96"/>
      <c r="R333" s="96"/>
      <c r="S333" s="96"/>
      <c r="T333" s="96"/>
      <c r="U333" s="96"/>
      <c r="V333" s="96"/>
      <c r="W333" s="96"/>
      <c r="X333" s="96"/>
      <c r="Y333" s="96"/>
      <c r="Z333" s="96"/>
      <c r="AA333" s="96"/>
      <c r="AB333" s="96"/>
      <c r="AC333" s="96"/>
      <c r="AD333" s="96"/>
      <c r="AE333" s="96"/>
      <c r="AF333" s="96"/>
      <c r="AG333" s="96"/>
      <c r="AH333" s="96"/>
      <c r="AI333" s="96"/>
      <c r="AJ333" s="96"/>
      <c r="AK333" s="96"/>
      <c r="AL333" s="96"/>
      <c r="AM333" s="96"/>
      <c r="AN333" s="96"/>
      <c r="AO333" s="96"/>
      <c r="AP333" s="96"/>
      <c r="AQ333" s="96"/>
      <c r="AR333" s="96"/>
      <c r="AS333" s="96"/>
      <c r="AT333" s="96"/>
      <c r="AU333" s="96"/>
      <c r="AV333" s="96"/>
      <c r="AW333" s="96"/>
      <c r="AX333" s="96"/>
      <c r="AY333" s="96"/>
      <c r="AZ333" s="96"/>
      <c r="BA333" s="96"/>
      <c r="BB333" s="96"/>
    </row>
    <row r="334" spans="2:54" x14ac:dyDescent="0.25">
      <c r="B334" s="96"/>
      <c r="C334" s="96"/>
      <c r="D334" s="96"/>
      <c r="E334" s="96"/>
      <c r="F334" s="96"/>
      <c r="G334" s="96"/>
      <c r="H334" s="96"/>
      <c r="I334" s="96"/>
      <c r="J334" s="96"/>
      <c r="K334" s="96"/>
      <c r="L334" s="96"/>
      <c r="M334" s="96"/>
      <c r="N334" s="96"/>
      <c r="O334" s="96"/>
      <c r="P334" s="96"/>
      <c r="Q334" s="96"/>
      <c r="R334" s="96"/>
      <c r="S334" s="96"/>
      <c r="T334" s="96"/>
      <c r="U334" s="96"/>
      <c r="V334" s="96"/>
      <c r="W334" s="96"/>
      <c r="X334" s="96"/>
      <c r="Y334" s="96"/>
      <c r="Z334" s="96"/>
      <c r="AA334" s="96"/>
      <c r="AB334" s="96"/>
      <c r="AC334" s="96"/>
      <c r="AD334" s="96"/>
      <c r="AE334" s="96"/>
      <c r="AF334" s="96"/>
      <c r="AG334" s="96"/>
      <c r="AH334" s="96"/>
      <c r="AI334" s="96"/>
      <c r="AJ334" s="96"/>
      <c r="AK334" s="96"/>
      <c r="AL334" s="96"/>
      <c r="AM334" s="96"/>
      <c r="AN334" s="96"/>
      <c r="AO334" s="96"/>
      <c r="AP334" s="96"/>
      <c r="AQ334" s="96"/>
      <c r="AR334" s="96"/>
      <c r="AS334" s="96"/>
      <c r="AT334" s="96"/>
      <c r="AU334" s="96"/>
      <c r="AV334" s="96"/>
      <c r="AW334" s="96"/>
      <c r="AX334" s="96"/>
      <c r="AY334" s="96"/>
      <c r="AZ334" s="96"/>
      <c r="BA334" s="96"/>
      <c r="BB334" s="96"/>
    </row>
    <row r="335" spans="2:54" x14ac:dyDescent="0.25">
      <c r="B335" s="96"/>
      <c r="C335" s="96"/>
      <c r="D335" s="96"/>
      <c r="E335" s="96"/>
      <c r="F335" s="96"/>
      <c r="G335" s="96"/>
      <c r="H335" s="96"/>
      <c r="I335" s="96"/>
      <c r="J335" s="96"/>
      <c r="K335" s="96"/>
      <c r="L335" s="96"/>
      <c r="M335" s="96"/>
      <c r="N335" s="96"/>
      <c r="O335" s="96"/>
      <c r="P335" s="96"/>
      <c r="Q335" s="96"/>
      <c r="R335" s="96"/>
      <c r="S335" s="96"/>
      <c r="T335" s="96"/>
      <c r="U335" s="96"/>
      <c r="V335" s="96"/>
      <c r="W335" s="96"/>
      <c r="X335" s="96"/>
      <c r="Y335" s="96"/>
      <c r="Z335" s="96"/>
      <c r="AA335" s="96"/>
      <c r="AB335" s="96"/>
      <c r="AC335" s="96"/>
      <c r="AD335" s="96"/>
      <c r="AE335" s="96"/>
      <c r="AF335" s="96"/>
      <c r="AG335" s="96"/>
      <c r="AH335" s="96"/>
      <c r="AI335" s="96"/>
      <c r="AJ335" s="96"/>
      <c r="AK335" s="96"/>
      <c r="AL335" s="96"/>
      <c r="AM335" s="96"/>
      <c r="AN335" s="96"/>
      <c r="AO335" s="96"/>
      <c r="AP335" s="96"/>
      <c r="AQ335" s="96"/>
      <c r="AR335" s="96"/>
      <c r="AS335" s="96"/>
      <c r="AT335" s="96"/>
      <c r="AU335" s="96"/>
      <c r="AV335" s="96"/>
      <c r="AW335" s="96"/>
      <c r="AX335" s="96"/>
      <c r="AY335" s="96"/>
      <c r="AZ335" s="96"/>
      <c r="BA335" s="96"/>
      <c r="BB335" s="96"/>
    </row>
    <row r="336" spans="2:54" x14ac:dyDescent="0.25">
      <c r="B336" s="96"/>
      <c r="C336" s="96"/>
      <c r="D336" s="96"/>
      <c r="E336" s="96"/>
      <c r="F336" s="96"/>
      <c r="G336" s="96"/>
      <c r="H336" s="96"/>
      <c r="I336" s="96"/>
      <c r="J336" s="96"/>
      <c r="K336" s="96"/>
      <c r="L336" s="96"/>
      <c r="M336" s="96"/>
      <c r="N336" s="96"/>
      <c r="O336" s="96"/>
      <c r="P336" s="96"/>
      <c r="Q336" s="96"/>
      <c r="R336" s="96"/>
      <c r="S336" s="96"/>
      <c r="T336" s="96"/>
      <c r="U336" s="96"/>
      <c r="V336" s="96"/>
      <c r="W336" s="96"/>
      <c r="X336" s="96"/>
      <c r="Y336" s="96"/>
      <c r="Z336" s="96"/>
      <c r="AA336" s="96"/>
      <c r="AB336" s="96"/>
      <c r="AC336" s="96"/>
      <c r="AD336" s="96"/>
      <c r="AE336" s="96"/>
      <c r="AF336" s="96"/>
      <c r="AG336" s="96"/>
      <c r="AH336" s="96"/>
      <c r="AI336" s="96"/>
      <c r="AJ336" s="96"/>
      <c r="AK336" s="96"/>
      <c r="AL336" s="96"/>
      <c r="AM336" s="96"/>
      <c r="AN336" s="96"/>
      <c r="AO336" s="96"/>
      <c r="AP336" s="96"/>
      <c r="AQ336" s="96"/>
      <c r="AR336" s="96"/>
      <c r="AS336" s="96"/>
      <c r="AT336" s="96"/>
      <c r="AU336" s="96"/>
      <c r="AV336" s="96"/>
      <c r="AW336" s="96"/>
      <c r="AX336" s="96"/>
      <c r="AY336" s="96"/>
      <c r="AZ336" s="96"/>
      <c r="BA336" s="96"/>
      <c r="BB336" s="96"/>
    </row>
    <row r="337" spans="2:54" x14ac:dyDescent="0.25">
      <c r="B337" s="96"/>
      <c r="C337" s="96"/>
      <c r="D337" s="96"/>
      <c r="E337" s="96"/>
      <c r="F337" s="96"/>
      <c r="G337" s="96"/>
      <c r="H337" s="96"/>
      <c r="I337" s="96"/>
      <c r="J337" s="96"/>
      <c r="K337" s="96"/>
      <c r="L337" s="96"/>
      <c r="M337" s="96"/>
      <c r="N337" s="96"/>
      <c r="O337" s="96"/>
      <c r="P337" s="96"/>
      <c r="Q337" s="96"/>
      <c r="R337" s="96"/>
      <c r="S337" s="96"/>
      <c r="T337" s="96"/>
      <c r="U337" s="96"/>
      <c r="V337" s="96"/>
      <c r="W337" s="96"/>
      <c r="X337" s="96"/>
      <c r="Y337" s="96"/>
      <c r="Z337" s="96"/>
      <c r="AA337" s="96"/>
      <c r="AB337" s="96"/>
      <c r="AC337" s="96"/>
      <c r="AD337" s="96"/>
      <c r="AE337" s="96"/>
      <c r="AF337" s="96"/>
      <c r="AG337" s="96"/>
      <c r="AH337" s="96"/>
      <c r="AI337" s="96"/>
      <c r="AJ337" s="96"/>
      <c r="AK337" s="96"/>
      <c r="AL337" s="96"/>
      <c r="AM337" s="96"/>
      <c r="AN337" s="96"/>
      <c r="AO337" s="96"/>
      <c r="AP337" s="96"/>
      <c r="AQ337" s="96"/>
      <c r="AR337" s="96"/>
      <c r="AS337" s="96"/>
      <c r="AT337" s="96"/>
      <c r="AU337" s="96"/>
      <c r="AV337" s="96"/>
      <c r="AW337" s="96"/>
      <c r="AX337" s="96"/>
      <c r="AY337" s="96"/>
      <c r="AZ337" s="96"/>
      <c r="BA337" s="96"/>
      <c r="BB337" s="96"/>
    </row>
    <row r="338" spans="2:54" x14ac:dyDescent="0.25">
      <c r="B338" s="96"/>
      <c r="C338" s="96"/>
      <c r="D338" s="96"/>
      <c r="E338" s="96"/>
      <c r="F338" s="96"/>
      <c r="G338" s="96"/>
      <c r="H338" s="96"/>
      <c r="I338" s="96"/>
      <c r="J338" s="96"/>
      <c r="K338" s="96"/>
      <c r="L338" s="96"/>
      <c r="M338" s="96"/>
      <c r="N338" s="96"/>
      <c r="O338" s="96"/>
      <c r="P338" s="96"/>
      <c r="Q338" s="96"/>
      <c r="R338" s="96"/>
      <c r="S338" s="96"/>
      <c r="T338" s="96"/>
      <c r="U338" s="96"/>
      <c r="V338" s="96"/>
      <c r="W338" s="96"/>
      <c r="X338" s="96"/>
      <c r="Y338" s="96"/>
      <c r="Z338" s="96"/>
      <c r="AA338" s="96"/>
      <c r="AB338" s="96"/>
      <c r="AC338" s="96"/>
      <c r="AD338" s="96"/>
      <c r="AE338" s="96"/>
      <c r="AF338" s="96"/>
      <c r="AG338" s="96"/>
      <c r="AH338" s="96"/>
      <c r="AI338" s="96"/>
      <c r="AJ338" s="96"/>
      <c r="AK338" s="96"/>
      <c r="AL338" s="96"/>
      <c r="AM338" s="96"/>
      <c r="AN338" s="96"/>
      <c r="AO338" s="96"/>
      <c r="AP338" s="96"/>
      <c r="AQ338" s="96"/>
      <c r="AR338" s="96"/>
      <c r="AS338" s="96"/>
      <c r="AT338" s="96"/>
      <c r="AU338" s="96"/>
      <c r="AV338" s="96"/>
      <c r="AW338" s="96"/>
      <c r="AX338" s="96"/>
      <c r="AY338" s="96"/>
      <c r="AZ338" s="96"/>
      <c r="BA338" s="96"/>
      <c r="BB338" s="96"/>
    </row>
    <row r="339" spans="2:54" x14ac:dyDescent="0.25">
      <c r="B339" s="96"/>
      <c r="C339" s="96"/>
      <c r="D339" s="96"/>
      <c r="E339" s="96"/>
      <c r="F339" s="96"/>
      <c r="G339" s="96"/>
      <c r="H339" s="96"/>
      <c r="I339" s="96"/>
      <c r="J339" s="96"/>
      <c r="K339" s="96"/>
      <c r="L339" s="96"/>
      <c r="M339" s="96"/>
      <c r="N339" s="96"/>
      <c r="O339" s="96"/>
      <c r="P339" s="96"/>
      <c r="Q339" s="96"/>
      <c r="R339" s="96"/>
      <c r="S339" s="96"/>
      <c r="T339" s="96"/>
      <c r="U339" s="96"/>
      <c r="V339" s="96"/>
      <c r="W339" s="96"/>
      <c r="X339" s="96"/>
      <c r="Y339" s="96"/>
      <c r="Z339" s="96"/>
      <c r="AA339" s="96"/>
      <c r="AB339" s="96"/>
      <c r="AC339" s="96"/>
      <c r="AD339" s="96"/>
      <c r="AE339" s="96"/>
      <c r="AF339" s="96"/>
      <c r="AG339" s="96"/>
      <c r="AH339" s="96"/>
      <c r="AI339" s="96"/>
      <c r="AJ339" s="96"/>
      <c r="AK339" s="96"/>
      <c r="AL339" s="96"/>
      <c r="AM339" s="96"/>
      <c r="AN339" s="96"/>
      <c r="AO339" s="96"/>
      <c r="AP339" s="96"/>
      <c r="AQ339" s="96"/>
      <c r="AR339" s="96"/>
      <c r="AS339" s="96"/>
      <c r="AT339" s="96"/>
      <c r="AU339" s="96"/>
      <c r="AV339" s="96"/>
      <c r="AW339" s="96"/>
      <c r="AX339" s="96"/>
      <c r="AY339" s="96"/>
      <c r="AZ339" s="96"/>
      <c r="BA339" s="96"/>
      <c r="BB339" s="96"/>
    </row>
    <row r="340" spans="2:54" x14ac:dyDescent="0.25">
      <c r="B340" s="96"/>
      <c r="C340" s="96"/>
      <c r="D340" s="96"/>
      <c r="E340" s="96"/>
      <c r="F340" s="96"/>
      <c r="G340" s="96"/>
      <c r="H340" s="96"/>
      <c r="I340" s="96"/>
      <c r="J340" s="96"/>
      <c r="K340" s="96"/>
      <c r="L340" s="96"/>
      <c r="M340" s="96"/>
      <c r="N340" s="96"/>
      <c r="O340" s="96"/>
      <c r="P340" s="96"/>
      <c r="Q340" s="96"/>
      <c r="R340" s="96"/>
      <c r="S340" s="96"/>
      <c r="T340" s="96"/>
      <c r="U340" s="96"/>
      <c r="V340" s="96"/>
      <c r="W340" s="96"/>
      <c r="X340" s="96"/>
      <c r="Y340" s="96"/>
      <c r="Z340" s="96"/>
      <c r="AA340" s="96"/>
      <c r="AB340" s="96"/>
      <c r="AC340" s="96"/>
      <c r="AD340" s="96"/>
      <c r="AE340" s="96"/>
      <c r="AF340" s="96"/>
      <c r="AG340" s="96"/>
      <c r="AH340" s="96"/>
      <c r="AI340" s="96"/>
      <c r="AJ340" s="96"/>
      <c r="AK340" s="96"/>
      <c r="AL340" s="96"/>
      <c r="AM340" s="96"/>
      <c r="AN340" s="96"/>
      <c r="AO340" s="96"/>
      <c r="AP340" s="96"/>
      <c r="AQ340" s="96"/>
      <c r="AR340" s="96"/>
      <c r="AS340" s="96"/>
      <c r="AT340" s="96"/>
      <c r="AU340" s="96"/>
      <c r="AV340" s="96"/>
      <c r="AW340" s="96"/>
      <c r="AX340" s="96"/>
      <c r="AY340" s="96"/>
      <c r="AZ340" s="96"/>
      <c r="BA340" s="96"/>
      <c r="BB340" s="96"/>
    </row>
    <row r="341" spans="2:54" x14ac:dyDescent="0.25">
      <c r="B341" s="96"/>
      <c r="C341" s="96"/>
      <c r="D341" s="96"/>
      <c r="E341" s="96"/>
      <c r="F341" s="96"/>
      <c r="G341" s="96"/>
      <c r="H341" s="96"/>
      <c r="I341" s="96"/>
      <c r="J341" s="96"/>
      <c r="K341" s="96"/>
      <c r="L341" s="96"/>
      <c r="M341" s="96"/>
      <c r="N341" s="96"/>
      <c r="O341" s="96"/>
      <c r="P341" s="96"/>
      <c r="Q341" s="96"/>
      <c r="R341" s="96"/>
      <c r="S341" s="96"/>
      <c r="T341" s="96"/>
      <c r="U341" s="96"/>
      <c r="V341" s="96"/>
      <c r="W341" s="96"/>
      <c r="X341" s="96"/>
      <c r="Y341" s="96"/>
      <c r="Z341" s="96"/>
      <c r="AA341" s="96"/>
      <c r="AB341" s="96"/>
      <c r="AC341" s="96"/>
      <c r="AD341" s="96"/>
      <c r="AE341" s="96"/>
      <c r="AF341" s="96"/>
      <c r="AG341" s="96"/>
      <c r="AH341" s="96"/>
      <c r="AI341" s="96"/>
      <c r="AJ341" s="96"/>
      <c r="AK341" s="96"/>
      <c r="AL341" s="96"/>
      <c r="AM341" s="96"/>
      <c r="AN341" s="96"/>
      <c r="AO341" s="96"/>
      <c r="AP341" s="96"/>
      <c r="AQ341" s="96"/>
      <c r="AR341" s="96"/>
      <c r="AS341" s="96"/>
      <c r="AT341" s="96"/>
      <c r="AU341" s="96"/>
      <c r="AV341" s="96"/>
      <c r="AW341" s="96"/>
      <c r="AX341" s="96"/>
      <c r="AY341" s="96"/>
      <c r="AZ341" s="96"/>
      <c r="BA341" s="96"/>
      <c r="BB341" s="96"/>
    </row>
    <row r="342" spans="2:54" x14ac:dyDescent="0.25">
      <c r="B342" s="96"/>
      <c r="C342" s="96"/>
      <c r="D342" s="96"/>
      <c r="E342" s="96"/>
      <c r="F342" s="96"/>
      <c r="G342" s="96"/>
      <c r="H342" s="96"/>
      <c r="I342" s="96"/>
      <c r="J342" s="96"/>
      <c r="K342" s="96"/>
      <c r="L342" s="96"/>
      <c r="M342" s="96"/>
      <c r="N342" s="96"/>
      <c r="O342" s="96"/>
      <c r="P342" s="96"/>
      <c r="Q342" s="96"/>
      <c r="R342" s="96"/>
      <c r="S342" s="96"/>
      <c r="T342" s="96"/>
      <c r="U342" s="96"/>
      <c r="V342" s="96"/>
      <c r="W342" s="96"/>
      <c r="X342" s="96"/>
      <c r="Y342" s="96"/>
      <c r="Z342" s="96"/>
      <c r="AA342" s="96"/>
      <c r="AB342" s="96"/>
      <c r="AC342" s="96"/>
      <c r="AD342" s="96"/>
      <c r="AE342" s="96"/>
      <c r="AF342" s="96"/>
      <c r="AG342" s="96"/>
      <c r="AH342" s="96"/>
      <c r="AI342" s="96"/>
      <c r="AJ342" s="96"/>
      <c r="AK342" s="96"/>
      <c r="AL342" s="96"/>
      <c r="AM342" s="96"/>
      <c r="AN342" s="96"/>
      <c r="AO342" s="96"/>
      <c r="AP342" s="96"/>
      <c r="AQ342" s="96"/>
      <c r="AR342" s="96"/>
      <c r="AS342" s="96"/>
      <c r="AT342" s="96"/>
      <c r="AU342" s="96"/>
      <c r="AV342" s="96"/>
      <c r="AW342" s="96"/>
      <c r="AX342" s="96"/>
      <c r="AY342" s="96"/>
      <c r="AZ342" s="96"/>
      <c r="BA342" s="96"/>
      <c r="BB342" s="96"/>
    </row>
    <row r="343" spans="2:54" x14ac:dyDescent="0.25">
      <c r="B343" s="96"/>
      <c r="C343" s="96"/>
      <c r="D343" s="96"/>
      <c r="E343" s="96"/>
      <c r="F343" s="96"/>
      <c r="G343" s="96"/>
      <c r="H343" s="96"/>
      <c r="I343" s="96"/>
      <c r="J343" s="96"/>
      <c r="K343" s="96"/>
      <c r="L343" s="96"/>
      <c r="M343" s="96"/>
      <c r="N343" s="96"/>
      <c r="O343" s="96"/>
      <c r="P343" s="96"/>
      <c r="Q343" s="96"/>
      <c r="R343" s="96"/>
      <c r="S343" s="96"/>
      <c r="T343" s="96"/>
      <c r="U343" s="96"/>
      <c r="V343" s="96"/>
      <c r="W343" s="96"/>
      <c r="X343" s="96"/>
      <c r="Y343" s="96"/>
      <c r="Z343" s="96"/>
      <c r="AA343" s="96"/>
      <c r="AB343" s="96"/>
      <c r="AC343" s="96"/>
      <c r="AD343" s="96"/>
      <c r="AE343" s="96"/>
      <c r="AF343" s="96"/>
      <c r="AG343" s="96"/>
      <c r="AH343" s="96"/>
      <c r="AI343" s="96"/>
      <c r="AJ343" s="96"/>
      <c r="AK343" s="96"/>
      <c r="AL343" s="96"/>
      <c r="AM343" s="96"/>
      <c r="AN343" s="96"/>
      <c r="AO343" s="96"/>
      <c r="AP343" s="96"/>
      <c r="AQ343" s="96"/>
      <c r="AR343" s="96"/>
      <c r="AS343" s="96"/>
      <c r="AT343" s="96"/>
      <c r="AU343" s="96"/>
      <c r="AV343" s="96"/>
      <c r="AW343" s="96"/>
      <c r="AX343" s="96"/>
      <c r="AY343" s="96"/>
      <c r="AZ343" s="96"/>
      <c r="BA343" s="96"/>
      <c r="BB343" s="96"/>
    </row>
    <row r="344" spans="2:54" x14ac:dyDescent="0.25">
      <c r="B344" s="96"/>
      <c r="C344" s="96"/>
      <c r="D344" s="96"/>
      <c r="E344" s="96"/>
      <c r="F344" s="96"/>
      <c r="G344" s="96"/>
      <c r="H344" s="96"/>
      <c r="I344" s="96"/>
      <c r="J344" s="96"/>
      <c r="K344" s="96"/>
      <c r="L344" s="96"/>
      <c r="M344" s="96"/>
      <c r="N344" s="96"/>
      <c r="O344" s="96"/>
      <c r="P344" s="96"/>
      <c r="Q344" s="96"/>
      <c r="R344" s="96"/>
      <c r="S344" s="96"/>
      <c r="T344" s="96"/>
      <c r="U344" s="96"/>
      <c r="V344" s="96"/>
      <c r="W344" s="96"/>
      <c r="X344" s="96"/>
      <c r="Y344" s="96"/>
      <c r="Z344" s="96"/>
      <c r="AA344" s="96"/>
      <c r="AB344" s="96"/>
      <c r="AC344" s="96"/>
      <c r="AD344" s="96"/>
      <c r="AE344" s="96"/>
      <c r="AF344" s="96"/>
      <c r="AG344" s="96"/>
      <c r="AH344" s="96"/>
      <c r="AI344" s="96"/>
      <c r="AJ344" s="96"/>
      <c r="AK344" s="96"/>
      <c r="AL344" s="96"/>
      <c r="AM344" s="96"/>
      <c r="AN344" s="96"/>
      <c r="AO344" s="96"/>
      <c r="AP344" s="96"/>
      <c r="AQ344" s="96"/>
      <c r="AR344" s="96"/>
      <c r="AS344" s="96"/>
      <c r="AT344" s="96"/>
      <c r="AU344" s="96"/>
      <c r="AV344" s="96"/>
      <c r="AW344" s="96"/>
      <c r="AX344" s="96"/>
      <c r="AY344" s="96"/>
      <c r="AZ344" s="96"/>
      <c r="BA344" s="96"/>
      <c r="BB344" s="96"/>
    </row>
    <row r="345" spans="2:54" x14ac:dyDescent="0.25">
      <c r="B345" s="96"/>
      <c r="C345" s="96"/>
      <c r="D345" s="96"/>
      <c r="E345" s="96"/>
      <c r="F345" s="96"/>
      <c r="G345" s="96"/>
      <c r="H345" s="96"/>
      <c r="I345" s="96"/>
      <c r="J345" s="96"/>
      <c r="K345" s="96"/>
      <c r="L345" s="96"/>
      <c r="M345" s="96"/>
      <c r="N345" s="96"/>
      <c r="O345" s="96"/>
      <c r="P345" s="96"/>
      <c r="Q345" s="96"/>
      <c r="R345" s="96"/>
      <c r="S345" s="96"/>
      <c r="T345" s="96"/>
      <c r="U345" s="96"/>
      <c r="V345" s="96"/>
      <c r="W345" s="96"/>
      <c r="X345" s="96"/>
      <c r="Y345" s="96"/>
      <c r="Z345" s="96"/>
      <c r="AA345" s="96"/>
      <c r="AB345" s="96"/>
      <c r="AC345" s="96"/>
      <c r="AD345" s="96"/>
      <c r="AE345" s="96"/>
      <c r="AF345" s="96"/>
      <c r="AG345" s="96"/>
      <c r="AH345" s="96"/>
      <c r="AI345" s="96"/>
      <c r="AJ345" s="96"/>
      <c r="AK345" s="96"/>
      <c r="AL345" s="96"/>
      <c r="AM345" s="96"/>
      <c r="AN345" s="96"/>
      <c r="AO345" s="96"/>
      <c r="AP345" s="96"/>
      <c r="AQ345" s="96"/>
      <c r="AR345" s="96"/>
      <c r="AS345" s="96"/>
      <c r="AT345" s="96"/>
      <c r="AU345" s="96"/>
      <c r="AV345" s="96"/>
      <c r="AW345" s="96"/>
      <c r="AX345" s="96"/>
      <c r="AY345" s="96"/>
      <c r="AZ345" s="96"/>
      <c r="BA345" s="96"/>
      <c r="BB345" s="96"/>
    </row>
    <row r="346" spans="2:54" x14ac:dyDescent="0.25">
      <c r="B346" s="96"/>
      <c r="C346" s="96"/>
      <c r="D346" s="96"/>
      <c r="E346" s="96"/>
      <c r="F346" s="96"/>
      <c r="G346" s="96"/>
      <c r="H346" s="96"/>
      <c r="I346" s="96"/>
      <c r="J346" s="96"/>
      <c r="K346" s="96"/>
      <c r="L346" s="96"/>
      <c r="M346" s="96"/>
      <c r="N346" s="96"/>
      <c r="O346" s="96"/>
      <c r="P346" s="96"/>
      <c r="Q346" s="96"/>
      <c r="R346" s="96"/>
      <c r="S346" s="96"/>
      <c r="T346" s="96"/>
      <c r="U346" s="96"/>
      <c r="V346" s="96"/>
      <c r="W346" s="96"/>
      <c r="X346" s="96"/>
      <c r="Y346" s="96"/>
      <c r="Z346" s="96"/>
      <c r="AA346" s="96"/>
      <c r="AB346" s="96"/>
      <c r="AC346" s="96"/>
      <c r="AD346" s="96"/>
      <c r="AE346" s="96"/>
      <c r="AF346" s="96"/>
      <c r="AG346" s="96"/>
      <c r="AH346" s="96"/>
      <c r="AI346" s="96"/>
      <c r="AJ346" s="96"/>
      <c r="AK346" s="96"/>
      <c r="AL346" s="96"/>
      <c r="AM346" s="96"/>
      <c r="AN346" s="96"/>
      <c r="AO346" s="96"/>
      <c r="AP346" s="96"/>
      <c r="AQ346" s="96"/>
      <c r="AR346" s="96"/>
      <c r="AS346" s="96"/>
      <c r="AT346" s="96"/>
      <c r="AU346" s="96"/>
      <c r="AV346" s="96"/>
      <c r="AW346" s="96"/>
      <c r="AX346" s="96"/>
      <c r="AY346" s="96"/>
      <c r="AZ346" s="96"/>
      <c r="BA346" s="96"/>
      <c r="BB346" s="96"/>
    </row>
    <row r="347" spans="2:54" x14ac:dyDescent="0.25">
      <c r="B347" s="96"/>
      <c r="C347" s="96"/>
      <c r="D347" s="96"/>
      <c r="E347" s="96"/>
      <c r="F347" s="96"/>
      <c r="G347" s="96"/>
      <c r="H347" s="96"/>
      <c r="I347" s="96"/>
      <c r="J347" s="96"/>
      <c r="K347" s="96"/>
      <c r="L347" s="96"/>
      <c r="M347" s="96"/>
      <c r="N347" s="96"/>
      <c r="O347" s="96"/>
      <c r="P347" s="96"/>
      <c r="Q347" s="96"/>
      <c r="R347" s="96"/>
      <c r="S347" s="96"/>
      <c r="T347" s="96"/>
      <c r="U347" s="96"/>
      <c r="V347" s="96"/>
      <c r="W347" s="96"/>
      <c r="X347" s="96"/>
      <c r="Y347" s="96"/>
      <c r="Z347" s="96"/>
      <c r="AA347" s="96"/>
      <c r="AB347" s="96"/>
      <c r="AC347" s="96"/>
      <c r="AD347" s="96"/>
      <c r="AE347" s="96"/>
      <c r="AF347" s="96"/>
      <c r="AG347" s="96"/>
      <c r="AH347" s="96"/>
      <c r="AI347" s="96"/>
      <c r="AJ347" s="96"/>
      <c r="AK347" s="96"/>
      <c r="AL347" s="96"/>
      <c r="AM347" s="96"/>
      <c r="AN347" s="96"/>
      <c r="AO347" s="96"/>
      <c r="AP347" s="96"/>
      <c r="AQ347" s="96"/>
      <c r="AR347" s="96"/>
      <c r="AS347" s="96"/>
      <c r="AT347" s="96"/>
      <c r="AU347" s="96"/>
      <c r="AV347" s="96"/>
      <c r="AW347" s="96"/>
      <c r="AX347" s="96"/>
      <c r="AY347" s="96"/>
      <c r="AZ347" s="96"/>
      <c r="BA347" s="96"/>
      <c r="BB347" s="96"/>
    </row>
    <row r="348" spans="2:54" x14ac:dyDescent="0.25">
      <c r="B348" s="96"/>
      <c r="C348" s="96"/>
      <c r="D348" s="96"/>
      <c r="E348" s="96"/>
      <c r="F348" s="96"/>
      <c r="G348" s="96"/>
      <c r="H348" s="96"/>
      <c r="I348" s="96"/>
      <c r="J348" s="96"/>
      <c r="K348" s="96"/>
      <c r="L348" s="96"/>
      <c r="M348" s="96"/>
      <c r="N348" s="96"/>
      <c r="O348" s="96"/>
      <c r="P348" s="96"/>
      <c r="Q348" s="96"/>
      <c r="R348" s="96"/>
      <c r="S348" s="96"/>
      <c r="T348" s="96"/>
      <c r="U348" s="96"/>
      <c r="V348" s="96"/>
      <c r="W348" s="96"/>
      <c r="X348" s="96"/>
      <c r="Y348" s="96"/>
      <c r="Z348" s="96"/>
      <c r="AA348" s="96"/>
      <c r="AB348" s="96"/>
      <c r="AC348" s="96"/>
      <c r="AD348" s="96"/>
      <c r="AE348" s="96"/>
      <c r="AF348" s="96"/>
      <c r="AG348" s="96"/>
      <c r="AH348" s="96"/>
      <c r="AI348" s="96"/>
      <c r="AJ348" s="96"/>
      <c r="AK348" s="96"/>
      <c r="AL348" s="96"/>
      <c r="AM348" s="96"/>
      <c r="AN348" s="96"/>
      <c r="AO348" s="96"/>
      <c r="AP348" s="96"/>
      <c r="AQ348" s="96"/>
      <c r="AR348" s="96"/>
      <c r="AS348" s="96"/>
      <c r="AT348" s="96"/>
      <c r="AU348" s="96"/>
      <c r="AV348" s="96"/>
      <c r="AW348" s="96"/>
      <c r="AX348" s="96"/>
      <c r="AY348" s="96"/>
      <c r="AZ348" s="96"/>
      <c r="BA348" s="96"/>
      <c r="BB348" s="96"/>
    </row>
    <row r="349" spans="2:54" x14ac:dyDescent="0.25">
      <c r="B349" s="96"/>
      <c r="C349" s="96"/>
      <c r="D349" s="96"/>
      <c r="E349" s="96"/>
      <c r="F349" s="96"/>
      <c r="G349" s="96"/>
      <c r="H349" s="96"/>
      <c r="I349" s="96"/>
      <c r="J349" s="96"/>
      <c r="K349" s="96"/>
      <c r="L349" s="96"/>
      <c r="M349" s="96"/>
      <c r="N349" s="96"/>
      <c r="O349" s="96"/>
      <c r="P349" s="96"/>
      <c r="Q349" s="96"/>
      <c r="R349" s="96"/>
      <c r="S349" s="96"/>
      <c r="T349" s="96"/>
      <c r="U349" s="96"/>
      <c r="V349" s="96"/>
      <c r="W349" s="96"/>
      <c r="X349" s="96"/>
      <c r="Y349" s="96"/>
      <c r="Z349" s="96"/>
      <c r="AA349" s="96"/>
      <c r="AB349" s="96"/>
      <c r="AC349" s="96"/>
      <c r="AD349" s="96"/>
      <c r="AE349" s="96"/>
      <c r="AF349" s="96"/>
      <c r="AG349" s="96"/>
      <c r="AH349" s="96"/>
      <c r="AI349" s="96"/>
      <c r="AJ349" s="96"/>
      <c r="AK349" s="96"/>
      <c r="AL349" s="96"/>
      <c r="AM349" s="96"/>
      <c r="AN349" s="96"/>
      <c r="AO349" s="96"/>
      <c r="AP349" s="96"/>
      <c r="AQ349" s="96"/>
      <c r="AR349" s="96"/>
      <c r="AS349" s="96"/>
      <c r="AT349" s="96"/>
      <c r="AU349" s="96"/>
      <c r="AV349" s="96"/>
      <c r="AW349" s="96"/>
      <c r="AX349" s="96"/>
      <c r="AY349" s="96"/>
      <c r="AZ349" s="96"/>
      <c r="BA349" s="96"/>
      <c r="BB349" s="96"/>
    </row>
    <row r="350" spans="2:54" x14ac:dyDescent="0.25">
      <c r="B350" s="96"/>
      <c r="C350" s="96"/>
      <c r="D350" s="96"/>
      <c r="E350" s="96"/>
      <c r="F350" s="96"/>
      <c r="G350" s="96"/>
      <c r="H350" s="96"/>
      <c r="I350" s="96"/>
      <c r="J350" s="96"/>
      <c r="K350" s="96"/>
      <c r="L350" s="96"/>
      <c r="M350" s="96"/>
      <c r="N350" s="96"/>
      <c r="O350" s="96"/>
      <c r="P350" s="96"/>
      <c r="Q350" s="96"/>
      <c r="R350" s="96"/>
      <c r="S350" s="96"/>
      <c r="T350" s="96"/>
      <c r="U350" s="96"/>
      <c r="V350" s="96"/>
      <c r="W350" s="96"/>
      <c r="X350" s="96"/>
      <c r="Y350" s="96"/>
      <c r="Z350" s="96"/>
      <c r="AA350" s="96"/>
      <c r="AB350" s="96"/>
      <c r="AC350" s="96"/>
      <c r="AD350" s="96"/>
      <c r="AE350" s="96"/>
      <c r="AF350" s="96"/>
      <c r="AG350" s="96"/>
      <c r="AH350" s="96"/>
      <c r="AI350" s="96"/>
      <c r="AJ350" s="96"/>
      <c r="AK350" s="96"/>
      <c r="AL350" s="96"/>
      <c r="AM350" s="96"/>
      <c r="AN350" s="96"/>
      <c r="AO350" s="96"/>
      <c r="AP350" s="96"/>
      <c r="AQ350" s="96"/>
      <c r="AR350" s="96"/>
      <c r="AS350" s="96"/>
      <c r="AT350" s="96"/>
      <c r="AU350" s="96"/>
      <c r="AV350" s="96"/>
      <c r="AW350" s="96"/>
      <c r="AX350" s="96"/>
      <c r="AY350" s="96"/>
      <c r="AZ350" s="96"/>
      <c r="BA350" s="96"/>
      <c r="BB350" s="96"/>
    </row>
    <row r="351" spans="2:54" x14ac:dyDescent="0.25">
      <c r="B351" s="96"/>
      <c r="C351" s="96"/>
      <c r="D351" s="96"/>
      <c r="E351" s="96"/>
      <c r="F351" s="96"/>
      <c r="G351" s="96"/>
      <c r="H351" s="96"/>
      <c r="I351" s="96"/>
      <c r="J351" s="96"/>
      <c r="K351" s="96"/>
      <c r="L351" s="96"/>
      <c r="M351" s="96"/>
      <c r="N351" s="96"/>
      <c r="O351" s="96"/>
      <c r="P351" s="96"/>
      <c r="Q351" s="96"/>
      <c r="R351" s="96"/>
      <c r="S351" s="96"/>
      <c r="T351" s="96"/>
      <c r="U351" s="96"/>
      <c r="V351" s="96"/>
      <c r="W351" s="96"/>
      <c r="X351" s="96"/>
      <c r="Y351" s="96"/>
      <c r="Z351" s="96"/>
      <c r="AA351" s="96"/>
      <c r="AB351" s="96"/>
      <c r="AC351" s="96"/>
      <c r="AD351" s="96"/>
      <c r="AE351" s="96"/>
      <c r="AF351" s="96"/>
      <c r="AG351" s="96"/>
      <c r="AH351" s="96"/>
      <c r="AI351" s="96"/>
      <c r="AJ351" s="96"/>
      <c r="AK351" s="96"/>
      <c r="AL351" s="96"/>
      <c r="AM351" s="96"/>
      <c r="AN351" s="96"/>
      <c r="AO351" s="96"/>
      <c r="AP351" s="96"/>
      <c r="AQ351" s="96"/>
      <c r="AR351" s="96"/>
      <c r="AS351" s="96"/>
      <c r="AT351" s="96"/>
      <c r="AU351" s="96"/>
      <c r="AV351" s="96"/>
      <c r="AW351" s="96"/>
      <c r="AX351" s="96"/>
      <c r="AY351" s="96"/>
      <c r="AZ351" s="96"/>
      <c r="BA351" s="96"/>
      <c r="BB351" s="96"/>
    </row>
    <row r="352" spans="2:54" x14ac:dyDescent="0.25">
      <c r="B352" s="96"/>
      <c r="C352" s="96"/>
      <c r="D352" s="96"/>
      <c r="E352" s="96"/>
      <c r="F352" s="96"/>
      <c r="G352" s="96"/>
      <c r="H352" s="96"/>
      <c r="I352" s="96"/>
      <c r="J352" s="96"/>
      <c r="K352" s="96"/>
      <c r="L352" s="96"/>
      <c r="M352" s="96"/>
      <c r="N352" s="96"/>
      <c r="O352" s="96"/>
      <c r="P352" s="96"/>
      <c r="Q352" s="96"/>
      <c r="R352" s="96"/>
      <c r="S352" s="96"/>
      <c r="T352" s="96"/>
      <c r="U352" s="96"/>
      <c r="V352" s="96"/>
      <c r="W352" s="96"/>
      <c r="X352" s="96"/>
      <c r="Y352" s="96"/>
      <c r="Z352" s="96"/>
      <c r="AA352" s="96"/>
      <c r="AB352" s="96"/>
      <c r="AC352" s="96"/>
      <c r="AD352" s="96"/>
      <c r="AE352" s="96"/>
      <c r="AF352" s="96"/>
      <c r="AG352" s="96"/>
      <c r="AH352" s="96"/>
      <c r="AI352" s="96"/>
      <c r="AJ352" s="96"/>
      <c r="AK352" s="96"/>
      <c r="AL352" s="96"/>
      <c r="AM352" s="96"/>
      <c r="AN352" s="96"/>
      <c r="AO352" s="96"/>
      <c r="AP352" s="96"/>
      <c r="AQ352" s="96"/>
      <c r="AR352" s="96"/>
      <c r="AS352" s="96"/>
      <c r="AT352" s="96"/>
      <c r="AU352" s="96"/>
      <c r="AV352" s="96"/>
      <c r="AW352" s="96"/>
      <c r="AX352" s="96"/>
      <c r="AY352" s="96"/>
      <c r="AZ352" s="96"/>
      <c r="BA352" s="96"/>
      <c r="BB352" s="96"/>
    </row>
    <row r="353" spans="2:54" x14ac:dyDescent="0.25">
      <c r="B353" s="96"/>
      <c r="C353" s="96"/>
      <c r="D353" s="96"/>
      <c r="E353" s="96"/>
      <c r="F353" s="96"/>
      <c r="G353" s="96"/>
      <c r="H353" s="96"/>
      <c r="I353" s="96"/>
      <c r="J353" s="96"/>
      <c r="K353" s="96"/>
      <c r="L353" s="96"/>
      <c r="M353" s="96"/>
      <c r="N353" s="96"/>
      <c r="O353" s="96"/>
      <c r="P353" s="96"/>
      <c r="Q353" s="96"/>
      <c r="R353" s="96"/>
      <c r="S353" s="96"/>
      <c r="T353" s="96"/>
      <c r="U353" s="96"/>
      <c r="V353" s="96"/>
      <c r="W353" s="96"/>
      <c r="X353" s="96"/>
      <c r="Y353" s="96"/>
      <c r="Z353" s="96"/>
      <c r="AA353" s="96"/>
      <c r="AB353" s="96"/>
      <c r="AC353" s="96"/>
      <c r="AD353" s="96"/>
      <c r="AE353" s="96"/>
      <c r="AF353" s="96"/>
      <c r="AG353" s="96"/>
      <c r="AH353" s="96"/>
      <c r="AI353" s="96"/>
      <c r="AJ353" s="96"/>
      <c r="AK353" s="96"/>
      <c r="AL353" s="96"/>
      <c r="AM353" s="96"/>
      <c r="AN353" s="96"/>
      <c r="AO353" s="96"/>
      <c r="AP353" s="96"/>
      <c r="AQ353" s="96"/>
      <c r="AR353" s="96"/>
      <c r="AS353" s="96"/>
      <c r="AT353" s="96"/>
      <c r="AU353" s="96"/>
      <c r="AV353" s="96"/>
      <c r="AW353" s="96"/>
      <c r="AX353" s="96"/>
      <c r="AY353" s="96"/>
      <c r="AZ353" s="96"/>
      <c r="BA353" s="96"/>
      <c r="BB353" s="96"/>
    </row>
    <row r="354" spans="2:54" x14ac:dyDescent="0.25">
      <c r="B354" s="96"/>
      <c r="C354" s="96"/>
      <c r="D354" s="96"/>
      <c r="E354" s="96"/>
      <c r="F354" s="96"/>
      <c r="G354" s="96"/>
      <c r="H354" s="96"/>
      <c r="I354" s="96"/>
      <c r="J354" s="96"/>
      <c r="K354" s="96"/>
      <c r="L354" s="96"/>
      <c r="M354" s="96"/>
      <c r="N354" s="96"/>
      <c r="O354" s="96"/>
      <c r="P354" s="96"/>
      <c r="Q354" s="96"/>
      <c r="R354" s="96"/>
      <c r="S354" s="96"/>
      <c r="T354" s="96"/>
      <c r="U354" s="96"/>
      <c r="V354" s="96"/>
      <c r="W354" s="96"/>
      <c r="X354" s="96"/>
      <c r="Y354" s="96"/>
      <c r="Z354" s="96"/>
      <c r="AA354" s="96"/>
      <c r="AB354" s="96"/>
      <c r="AC354" s="96"/>
      <c r="AD354" s="96"/>
      <c r="AE354" s="96"/>
      <c r="AF354" s="96"/>
      <c r="AG354" s="96"/>
      <c r="AH354" s="96"/>
      <c r="AI354" s="96"/>
      <c r="AJ354" s="96"/>
      <c r="AK354" s="96"/>
      <c r="AL354" s="96"/>
      <c r="AM354" s="96"/>
      <c r="AN354" s="96"/>
      <c r="AO354" s="96"/>
      <c r="AP354" s="96"/>
      <c r="AQ354" s="96"/>
      <c r="AR354" s="96"/>
      <c r="AS354" s="96"/>
      <c r="AT354" s="96"/>
      <c r="AU354" s="96"/>
      <c r="AV354" s="96"/>
      <c r="AW354" s="96"/>
      <c r="AX354" s="96"/>
      <c r="AY354" s="96"/>
      <c r="AZ354" s="96"/>
      <c r="BA354" s="96"/>
      <c r="BB354" s="96"/>
    </row>
    <row r="355" spans="2:54" x14ac:dyDescent="0.25">
      <c r="B355" s="96"/>
      <c r="C355" s="96"/>
      <c r="D355" s="96"/>
      <c r="E355" s="96"/>
      <c r="F355" s="96"/>
      <c r="G355" s="96"/>
      <c r="H355" s="96"/>
      <c r="I355" s="96"/>
      <c r="J355" s="96"/>
      <c r="K355" s="96"/>
      <c r="L355" s="96"/>
      <c r="M355" s="96"/>
      <c r="N355" s="96"/>
      <c r="O355" s="96"/>
      <c r="P355" s="96"/>
      <c r="Q355" s="96"/>
      <c r="R355" s="96"/>
      <c r="S355" s="96"/>
      <c r="T355" s="96"/>
      <c r="U355" s="96"/>
      <c r="V355" s="96"/>
      <c r="W355" s="96"/>
      <c r="X355" s="96"/>
      <c r="Y355" s="96"/>
      <c r="Z355" s="96"/>
      <c r="AA355" s="96"/>
      <c r="AB355" s="96"/>
      <c r="AC355" s="96"/>
      <c r="AD355" s="96"/>
      <c r="AE355" s="96"/>
      <c r="AF355" s="96"/>
      <c r="AG355" s="96"/>
      <c r="AH355" s="96"/>
      <c r="AI355" s="96"/>
      <c r="AJ355" s="96"/>
      <c r="AK355" s="96"/>
      <c r="AL355" s="96"/>
      <c r="AM355" s="96"/>
      <c r="AN355" s="96"/>
      <c r="AO355" s="96"/>
      <c r="AP355" s="96"/>
      <c r="AQ355" s="96"/>
      <c r="AR355" s="96"/>
      <c r="AS355" s="96"/>
      <c r="AT355" s="96"/>
      <c r="AU355" s="96"/>
      <c r="AV355" s="96"/>
      <c r="AW355" s="96"/>
      <c r="AX355" s="96"/>
      <c r="AY355" s="96"/>
      <c r="AZ355" s="96"/>
      <c r="BA355" s="96"/>
      <c r="BB355" s="96"/>
    </row>
    <row r="356" spans="2:54" x14ac:dyDescent="0.25">
      <c r="B356" s="96"/>
      <c r="C356" s="96"/>
      <c r="D356" s="96"/>
      <c r="E356" s="96"/>
      <c r="F356" s="96"/>
      <c r="G356" s="96"/>
      <c r="H356" s="96"/>
      <c r="I356" s="96"/>
      <c r="J356" s="96"/>
      <c r="K356" s="96"/>
      <c r="L356" s="96"/>
      <c r="M356" s="96"/>
      <c r="N356" s="96"/>
      <c r="O356" s="96"/>
      <c r="P356" s="96"/>
      <c r="Q356" s="96"/>
      <c r="R356" s="96"/>
      <c r="S356" s="96"/>
      <c r="T356" s="96"/>
      <c r="U356" s="96"/>
      <c r="V356" s="96"/>
      <c r="W356" s="96"/>
      <c r="X356" s="96"/>
      <c r="Y356" s="96"/>
      <c r="Z356" s="96"/>
      <c r="AA356" s="96"/>
      <c r="AB356" s="96"/>
      <c r="AC356" s="96"/>
      <c r="AD356" s="96"/>
      <c r="AE356" s="96"/>
      <c r="AF356" s="96"/>
      <c r="AG356" s="96"/>
      <c r="AH356" s="96"/>
      <c r="AI356" s="96"/>
      <c r="AJ356" s="96"/>
      <c r="AK356" s="96"/>
      <c r="AL356" s="96"/>
      <c r="AM356" s="96"/>
      <c r="AN356" s="96"/>
      <c r="AO356" s="96"/>
      <c r="AP356" s="96"/>
      <c r="AQ356" s="96"/>
      <c r="AR356" s="96"/>
      <c r="AS356" s="96"/>
      <c r="AT356" s="96"/>
      <c r="AU356" s="96"/>
      <c r="AV356" s="96"/>
      <c r="AW356" s="96"/>
      <c r="AX356" s="96"/>
      <c r="AY356" s="96"/>
      <c r="AZ356" s="96"/>
      <c r="BA356" s="96"/>
      <c r="BB356" s="96"/>
    </row>
    <row r="357" spans="2:54" x14ac:dyDescent="0.25">
      <c r="B357" s="96"/>
      <c r="C357" s="96"/>
      <c r="D357" s="96"/>
      <c r="E357" s="96"/>
      <c r="F357" s="96"/>
      <c r="G357" s="96"/>
      <c r="H357" s="96"/>
      <c r="I357" s="96"/>
      <c r="J357" s="96"/>
      <c r="K357" s="96"/>
      <c r="L357" s="96"/>
      <c r="M357" s="96"/>
      <c r="N357" s="96"/>
      <c r="O357" s="96"/>
      <c r="P357" s="96"/>
      <c r="Q357" s="96"/>
      <c r="R357" s="96"/>
      <c r="S357" s="96"/>
      <c r="T357" s="96"/>
      <c r="U357" s="96"/>
      <c r="V357" s="96"/>
      <c r="W357" s="96"/>
      <c r="X357" s="96"/>
      <c r="Y357" s="96"/>
      <c r="Z357" s="96"/>
      <c r="AA357" s="96"/>
      <c r="AB357" s="96"/>
      <c r="AC357" s="96"/>
      <c r="AD357" s="96"/>
      <c r="AE357" s="96"/>
      <c r="AF357" s="96"/>
      <c r="AG357" s="96"/>
      <c r="AH357" s="96"/>
      <c r="AI357" s="96"/>
      <c r="AJ357" s="96"/>
      <c r="AK357" s="96"/>
      <c r="AL357" s="96"/>
      <c r="AM357" s="96"/>
      <c r="AN357" s="96"/>
      <c r="AO357" s="96"/>
      <c r="AP357" s="96"/>
      <c r="AQ357" s="96"/>
      <c r="AR357" s="96"/>
      <c r="AS357" s="96"/>
      <c r="AT357" s="96"/>
      <c r="AU357" s="96"/>
      <c r="AV357" s="96"/>
      <c r="AW357" s="96"/>
      <c r="AX357" s="96"/>
      <c r="AY357" s="96"/>
      <c r="AZ357" s="96"/>
      <c r="BA357" s="96"/>
      <c r="BB357" s="96"/>
    </row>
    <row r="358" spans="2:54" x14ac:dyDescent="0.25">
      <c r="B358" s="96"/>
      <c r="C358" s="96"/>
      <c r="D358" s="96"/>
      <c r="E358" s="96"/>
      <c r="F358" s="96"/>
      <c r="G358" s="96"/>
      <c r="H358" s="96"/>
      <c r="I358" s="96"/>
      <c r="J358" s="96"/>
      <c r="K358" s="96"/>
      <c r="L358" s="96"/>
      <c r="M358" s="96"/>
      <c r="N358" s="96"/>
      <c r="O358" s="96"/>
      <c r="P358" s="96"/>
      <c r="Q358" s="96"/>
      <c r="R358" s="96"/>
      <c r="S358" s="96"/>
      <c r="T358" s="96"/>
      <c r="U358" s="96"/>
      <c r="V358" s="96"/>
      <c r="W358" s="96"/>
      <c r="X358" s="96"/>
      <c r="Y358" s="96"/>
      <c r="Z358" s="96"/>
      <c r="AA358" s="96"/>
      <c r="AB358" s="96"/>
      <c r="AC358" s="96"/>
      <c r="AD358" s="96"/>
      <c r="AE358" s="96"/>
      <c r="AF358" s="96"/>
      <c r="AG358" s="96"/>
      <c r="AH358" s="96"/>
      <c r="AI358" s="96"/>
      <c r="AJ358" s="96"/>
      <c r="AK358" s="96"/>
      <c r="AL358" s="96"/>
      <c r="AM358" s="96"/>
      <c r="AN358" s="96"/>
      <c r="AO358" s="96"/>
      <c r="AP358" s="96"/>
      <c r="AQ358" s="96"/>
      <c r="AR358" s="96"/>
      <c r="AS358" s="96"/>
      <c r="AT358" s="96"/>
      <c r="AU358" s="96"/>
      <c r="AV358" s="96"/>
      <c r="AW358" s="96"/>
      <c r="AX358" s="96"/>
      <c r="AY358" s="96"/>
      <c r="AZ358" s="96"/>
      <c r="BA358" s="96"/>
      <c r="BB358" s="96"/>
    </row>
    <row r="359" spans="2:54" x14ac:dyDescent="0.25">
      <c r="B359" s="96"/>
      <c r="C359" s="96"/>
      <c r="D359" s="96"/>
      <c r="E359" s="96"/>
      <c r="F359" s="96"/>
      <c r="G359" s="96"/>
      <c r="H359" s="96"/>
      <c r="I359" s="96"/>
      <c r="J359" s="96"/>
      <c r="K359" s="96"/>
      <c r="L359" s="96"/>
      <c r="M359" s="96"/>
      <c r="N359" s="96"/>
      <c r="O359" s="96"/>
      <c r="P359" s="96"/>
      <c r="Q359" s="96"/>
      <c r="R359" s="96"/>
      <c r="S359" s="96"/>
      <c r="T359" s="96"/>
      <c r="U359" s="96"/>
      <c r="V359" s="96"/>
      <c r="W359" s="96"/>
      <c r="X359" s="96"/>
      <c r="Y359" s="96"/>
      <c r="Z359" s="96"/>
      <c r="AA359" s="96"/>
      <c r="AB359" s="96"/>
      <c r="AC359" s="96"/>
      <c r="AD359" s="96"/>
      <c r="AE359" s="96"/>
      <c r="AF359" s="96"/>
      <c r="AG359" s="96"/>
      <c r="AH359" s="96"/>
      <c r="AI359" s="96"/>
      <c r="AJ359" s="96"/>
      <c r="AK359" s="96"/>
      <c r="AL359" s="96"/>
      <c r="AM359" s="96"/>
      <c r="AN359" s="96"/>
      <c r="AO359" s="96"/>
      <c r="AP359" s="96"/>
      <c r="AQ359" s="96"/>
      <c r="AR359" s="96"/>
      <c r="AS359" s="96"/>
      <c r="AT359" s="96"/>
      <c r="AU359" s="96"/>
      <c r="AV359" s="96"/>
      <c r="AW359" s="96"/>
      <c r="AX359" s="96"/>
      <c r="AY359" s="96"/>
      <c r="AZ359" s="96"/>
      <c r="BA359" s="96"/>
      <c r="BB359" s="96"/>
    </row>
    <row r="360" spans="2:54" x14ac:dyDescent="0.25">
      <c r="B360" s="96"/>
      <c r="C360" s="96"/>
      <c r="D360" s="96"/>
      <c r="E360" s="96"/>
      <c r="F360" s="96"/>
      <c r="G360" s="96"/>
      <c r="H360" s="96"/>
      <c r="I360" s="96"/>
      <c r="J360" s="96"/>
      <c r="K360" s="96"/>
      <c r="L360" s="96"/>
      <c r="M360" s="96"/>
      <c r="N360" s="96"/>
      <c r="O360" s="96"/>
      <c r="P360" s="96"/>
      <c r="Q360" s="96"/>
      <c r="R360" s="96"/>
      <c r="S360" s="96"/>
      <c r="T360" s="96"/>
      <c r="U360" s="96"/>
      <c r="V360" s="96"/>
      <c r="W360" s="96"/>
      <c r="X360" s="96"/>
      <c r="Y360" s="96"/>
      <c r="Z360" s="96"/>
      <c r="AA360" s="96"/>
      <c r="AB360" s="96"/>
      <c r="AC360" s="96"/>
      <c r="AD360" s="96"/>
      <c r="AE360" s="96"/>
      <c r="AF360" s="96"/>
      <c r="AG360" s="96"/>
      <c r="AH360" s="96"/>
      <c r="AI360" s="96"/>
      <c r="AJ360" s="96"/>
      <c r="AK360" s="96"/>
      <c r="AL360" s="96"/>
      <c r="AM360" s="96"/>
      <c r="AN360" s="96"/>
      <c r="AO360" s="96"/>
      <c r="AP360" s="96"/>
      <c r="AQ360" s="96"/>
      <c r="AR360" s="96"/>
      <c r="AS360" s="96"/>
      <c r="AT360" s="96"/>
      <c r="AU360" s="96"/>
      <c r="AV360" s="96"/>
      <c r="AW360" s="96"/>
      <c r="AX360" s="96"/>
      <c r="AY360" s="96"/>
      <c r="AZ360" s="96"/>
      <c r="BA360" s="96"/>
      <c r="BB360" s="96"/>
    </row>
    <row r="361" spans="2:54" x14ac:dyDescent="0.25">
      <c r="B361" s="96"/>
      <c r="C361" s="96"/>
      <c r="D361" s="96"/>
      <c r="E361" s="96"/>
      <c r="F361" s="96"/>
      <c r="G361" s="96"/>
      <c r="H361" s="96"/>
      <c r="I361" s="96"/>
      <c r="J361" s="96"/>
      <c r="K361" s="96"/>
      <c r="L361" s="96"/>
      <c r="M361" s="96"/>
      <c r="N361" s="96"/>
      <c r="O361" s="96"/>
      <c r="P361" s="96"/>
      <c r="Q361" s="96"/>
      <c r="R361" s="96"/>
      <c r="S361" s="96"/>
      <c r="T361" s="96"/>
      <c r="U361" s="96"/>
      <c r="V361" s="96"/>
      <c r="W361" s="96"/>
      <c r="X361" s="96"/>
      <c r="Y361" s="96"/>
      <c r="Z361" s="96"/>
      <c r="AA361" s="96"/>
      <c r="AB361" s="96"/>
      <c r="AC361" s="96"/>
      <c r="AD361" s="96"/>
      <c r="AE361" s="96"/>
      <c r="AF361" s="96"/>
      <c r="AG361" s="96"/>
      <c r="AH361" s="96"/>
      <c r="AI361" s="96"/>
      <c r="AJ361" s="96"/>
      <c r="AK361" s="96"/>
      <c r="AL361" s="96"/>
      <c r="AM361" s="96"/>
      <c r="AN361" s="96"/>
      <c r="AO361" s="96"/>
      <c r="AP361" s="96"/>
      <c r="AQ361" s="96"/>
      <c r="AR361" s="96"/>
      <c r="AS361" s="96"/>
      <c r="AT361" s="96"/>
      <c r="AU361" s="96"/>
      <c r="AV361" s="96"/>
      <c r="AW361" s="96"/>
      <c r="AX361" s="96"/>
      <c r="AY361" s="96"/>
      <c r="AZ361" s="96"/>
      <c r="BA361" s="96"/>
      <c r="BB361" s="96"/>
    </row>
    <row r="362" spans="2:54" x14ac:dyDescent="0.25">
      <c r="B362" s="96"/>
      <c r="C362" s="96"/>
      <c r="D362" s="96"/>
      <c r="E362" s="96"/>
      <c r="F362" s="96"/>
      <c r="G362" s="96"/>
      <c r="H362" s="96"/>
      <c r="I362" s="96"/>
      <c r="J362" s="96"/>
      <c r="K362" s="96"/>
      <c r="L362" s="96"/>
      <c r="M362" s="96"/>
      <c r="N362" s="96"/>
      <c r="O362" s="96"/>
      <c r="P362" s="96"/>
      <c r="Q362" s="96"/>
      <c r="R362" s="96"/>
      <c r="S362" s="96"/>
      <c r="T362" s="96"/>
      <c r="U362" s="96"/>
      <c r="V362" s="96"/>
      <c r="W362" s="96"/>
      <c r="X362" s="96"/>
      <c r="Y362" s="96"/>
      <c r="Z362" s="96"/>
      <c r="AA362" s="96"/>
      <c r="AB362" s="96"/>
      <c r="AC362" s="96"/>
      <c r="AD362" s="96"/>
      <c r="AE362" s="96"/>
      <c r="AF362" s="96"/>
      <c r="AG362" s="96"/>
      <c r="AH362" s="96"/>
      <c r="AI362" s="96"/>
      <c r="AJ362" s="96"/>
      <c r="AK362" s="96"/>
      <c r="AL362" s="96"/>
      <c r="AM362" s="96"/>
      <c r="AN362" s="96"/>
      <c r="AO362" s="96"/>
      <c r="AP362" s="96"/>
      <c r="AQ362" s="96"/>
      <c r="AR362" s="96"/>
      <c r="AS362" s="96"/>
      <c r="AT362" s="96"/>
      <c r="AU362" s="96"/>
      <c r="AV362" s="96"/>
      <c r="AW362" s="96"/>
      <c r="AX362" s="96"/>
      <c r="AY362" s="96"/>
      <c r="AZ362" s="96"/>
      <c r="BA362" s="96"/>
      <c r="BB362" s="96"/>
    </row>
    <row r="363" spans="2:54" x14ac:dyDescent="0.25">
      <c r="B363" s="96"/>
      <c r="C363" s="96"/>
      <c r="D363" s="96"/>
      <c r="E363" s="96"/>
      <c r="F363" s="96"/>
      <c r="G363" s="96"/>
      <c r="H363" s="96"/>
      <c r="I363" s="96"/>
      <c r="J363" s="96"/>
      <c r="K363" s="96"/>
      <c r="L363" s="96"/>
      <c r="M363" s="96"/>
      <c r="N363" s="96"/>
      <c r="O363" s="96"/>
      <c r="P363" s="96"/>
      <c r="Q363" s="96"/>
      <c r="R363" s="96"/>
      <c r="S363" s="96"/>
      <c r="T363" s="96"/>
      <c r="U363" s="96"/>
      <c r="V363" s="96"/>
      <c r="W363" s="96"/>
      <c r="X363" s="96"/>
      <c r="Y363" s="96"/>
      <c r="Z363" s="96"/>
      <c r="AA363" s="96"/>
      <c r="AB363" s="96"/>
      <c r="AC363" s="96"/>
      <c r="AD363" s="96"/>
      <c r="AE363" s="96"/>
      <c r="AF363" s="96"/>
      <c r="AG363" s="96"/>
      <c r="AH363" s="96"/>
      <c r="AI363" s="96"/>
      <c r="AJ363" s="96"/>
      <c r="AK363" s="96"/>
      <c r="AL363" s="96"/>
      <c r="AM363" s="96"/>
      <c r="AN363" s="96"/>
      <c r="AO363" s="96"/>
      <c r="AP363" s="96"/>
      <c r="AQ363" s="96"/>
      <c r="AR363" s="96"/>
      <c r="AS363" s="96"/>
      <c r="AT363" s="96"/>
      <c r="AU363" s="96"/>
      <c r="AV363" s="96"/>
      <c r="AW363" s="96"/>
      <c r="AX363" s="96"/>
      <c r="AY363" s="96"/>
      <c r="AZ363" s="96"/>
      <c r="BA363" s="96"/>
      <c r="BB363" s="96"/>
    </row>
    <row r="364" spans="2:54" x14ac:dyDescent="0.25">
      <c r="B364" s="96"/>
      <c r="C364" s="96"/>
      <c r="D364" s="96"/>
      <c r="E364" s="96"/>
      <c r="F364" s="96"/>
      <c r="G364" s="96"/>
      <c r="H364" s="96"/>
      <c r="I364" s="96"/>
      <c r="J364" s="96"/>
      <c r="K364" s="96"/>
      <c r="L364" s="96"/>
      <c r="M364" s="96"/>
      <c r="N364" s="96"/>
      <c r="O364" s="96"/>
      <c r="P364" s="96"/>
      <c r="Q364" s="96"/>
      <c r="R364" s="96"/>
      <c r="S364" s="96"/>
      <c r="T364" s="96"/>
      <c r="U364" s="96"/>
      <c r="V364" s="96"/>
      <c r="W364" s="96"/>
      <c r="X364" s="96"/>
      <c r="Y364" s="96"/>
      <c r="Z364" s="96"/>
      <c r="AA364" s="96"/>
      <c r="AB364" s="96"/>
      <c r="AC364" s="96"/>
      <c r="AD364" s="96"/>
      <c r="AE364" s="96"/>
      <c r="AF364" s="96"/>
      <c r="AG364" s="96"/>
      <c r="AH364" s="96"/>
      <c r="AI364" s="96"/>
      <c r="AJ364" s="96"/>
      <c r="AK364" s="96"/>
      <c r="AL364" s="96"/>
      <c r="AM364" s="96"/>
      <c r="AN364" s="96"/>
      <c r="AO364" s="96"/>
      <c r="AP364" s="96"/>
      <c r="AQ364" s="96"/>
      <c r="AR364" s="96"/>
      <c r="AS364" s="96"/>
      <c r="AT364" s="96"/>
      <c r="AU364" s="96"/>
      <c r="AV364" s="96"/>
      <c r="AW364" s="96"/>
      <c r="AX364" s="96"/>
      <c r="AY364" s="96"/>
      <c r="AZ364" s="96"/>
      <c r="BA364" s="96"/>
      <c r="BB364" s="96"/>
    </row>
    <row r="365" spans="2:54" x14ac:dyDescent="0.25">
      <c r="B365" s="96"/>
      <c r="C365" s="96"/>
      <c r="D365" s="96"/>
      <c r="E365" s="96"/>
      <c r="F365" s="96"/>
      <c r="G365" s="96"/>
      <c r="H365" s="96"/>
      <c r="I365" s="96"/>
      <c r="J365" s="96"/>
      <c r="K365" s="96"/>
      <c r="L365" s="96"/>
      <c r="M365" s="96"/>
      <c r="N365" s="96"/>
      <c r="O365" s="96"/>
      <c r="P365" s="96"/>
      <c r="Q365" s="96"/>
      <c r="R365" s="96"/>
      <c r="S365" s="96"/>
      <c r="T365" s="96"/>
      <c r="U365" s="96"/>
      <c r="V365" s="96"/>
      <c r="W365" s="96"/>
      <c r="X365" s="96"/>
      <c r="Y365" s="96"/>
      <c r="Z365" s="96"/>
      <c r="AA365" s="96"/>
      <c r="AB365" s="96"/>
      <c r="AC365" s="96"/>
      <c r="AD365" s="96"/>
      <c r="AE365" s="96"/>
      <c r="AF365" s="96"/>
      <c r="AG365" s="96"/>
      <c r="AH365" s="96"/>
      <c r="AI365" s="96"/>
      <c r="AJ365" s="96"/>
      <c r="AK365" s="96"/>
      <c r="AL365" s="96"/>
      <c r="AM365" s="96"/>
      <c r="AN365" s="96"/>
      <c r="AO365" s="96"/>
      <c r="AP365" s="96"/>
      <c r="AQ365" s="96"/>
      <c r="AR365" s="96"/>
      <c r="AS365" s="96"/>
      <c r="AT365" s="96"/>
      <c r="AU365" s="96"/>
      <c r="AV365" s="96"/>
      <c r="AW365" s="96"/>
      <c r="AX365" s="96"/>
      <c r="AY365" s="96"/>
      <c r="AZ365" s="96"/>
      <c r="BA365" s="96"/>
      <c r="BB365" s="96"/>
    </row>
    <row r="366" spans="2:54" x14ac:dyDescent="0.25">
      <c r="B366" s="96"/>
      <c r="C366" s="96"/>
      <c r="D366" s="96"/>
      <c r="E366" s="96"/>
      <c r="F366" s="96"/>
      <c r="G366" s="96"/>
      <c r="H366" s="96"/>
      <c r="I366" s="96"/>
      <c r="J366" s="96"/>
      <c r="K366" s="96"/>
      <c r="L366" s="96"/>
      <c r="M366" s="96"/>
      <c r="N366" s="96"/>
      <c r="O366" s="96"/>
      <c r="P366" s="96"/>
      <c r="Q366" s="96"/>
      <c r="R366" s="96"/>
      <c r="S366" s="96"/>
      <c r="T366" s="96"/>
      <c r="U366" s="96"/>
      <c r="V366" s="96"/>
      <c r="W366" s="96"/>
      <c r="X366" s="96"/>
      <c r="Y366" s="96"/>
      <c r="Z366" s="96"/>
      <c r="AA366" s="96"/>
      <c r="AB366" s="96"/>
      <c r="AC366" s="96"/>
      <c r="AD366" s="96"/>
      <c r="AE366" s="96"/>
      <c r="AF366" s="96"/>
      <c r="AG366" s="96"/>
      <c r="AH366" s="96"/>
      <c r="AI366" s="96"/>
      <c r="AJ366" s="96"/>
      <c r="AK366" s="96"/>
      <c r="AL366" s="96"/>
      <c r="AM366" s="96"/>
      <c r="AN366" s="96"/>
      <c r="AO366" s="96"/>
      <c r="AP366" s="96"/>
      <c r="AQ366" s="96"/>
      <c r="AR366" s="96"/>
      <c r="AS366" s="96"/>
      <c r="AT366" s="96"/>
      <c r="AU366" s="96"/>
      <c r="AV366" s="96"/>
      <c r="AW366" s="96"/>
      <c r="AX366" s="96"/>
      <c r="AY366" s="96"/>
      <c r="AZ366" s="96"/>
      <c r="BA366" s="96"/>
      <c r="BB366" s="96"/>
    </row>
    <row r="367" spans="2:54" x14ac:dyDescent="0.25">
      <c r="B367" s="96"/>
      <c r="C367" s="96"/>
      <c r="D367" s="96"/>
      <c r="E367" s="96"/>
      <c r="F367" s="96"/>
      <c r="G367" s="96"/>
      <c r="H367" s="96"/>
      <c r="I367" s="96"/>
      <c r="J367" s="96"/>
      <c r="K367" s="96"/>
      <c r="L367" s="96"/>
      <c r="M367" s="96"/>
      <c r="N367" s="96"/>
      <c r="O367" s="96"/>
      <c r="P367" s="96"/>
      <c r="Q367" s="96"/>
      <c r="R367" s="96"/>
      <c r="S367" s="96"/>
      <c r="T367" s="96"/>
      <c r="U367" s="96"/>
      <c r="V367" s="96"/>
      <c r="W367" s="96"/>
      <c r="X367" s="96"/>
      <c r="Y367" s="96"/>
      <c r="Z367" s="96"/>
      <c r="AA367" s="96"/>
      <c r="AB367" s="96"/>
      <c r="AC367" s="96"/>
      <c r="AD367" s="96"/>
      <c r="AE367" s="96"/>
      <c r="AF367" s="96"/>
      <c r="AG367" s="96"/>
      <c r="AH367" s="96"/>
      <c r="AI367" s="96"/>
      <c r="AJ367" s="96"/>
      <c r="AK367" s="96"/>
      <c r="AL367" s="96"/>
      <c r="AM367" s="96"/>
      <c r="AN367" s="96"/>
      <c r="AO367" s="96"/>
      <c r="AP367" s="96"/>
      <c r="AQ367" s="96"/>
      <c r="AR367" s="96"/>
      <c r="AS367" s="96"/>
      <c r="AT367" s="96"/>
      <c r="AU367" s="96"/>
      <c r="AV367" s="96"/>
      <c r="AW367" s="96"/>
      <c r="AX367" s="96"/>
      <c r="AY367" s="96"/>
      <c r="AZ367" s="96"/>
      <c r="BA367" s="96"/>
      <c r="BB367" s="96"/>
    </row>
    <row r="368" spans="2:54" x14ac:dyDescent="0.25">
      <c r="B368" s="96"/>
      <c r="C368" s="96"/>
      <c r="D368" s="96"/>
      <c r="E368" s="96"/>
      <c r="F368" s="96"/>
      <c r="G368" s="96"/>
      <c r="H368" s="96"/>
      <c r="I368" s="96"/>
      <c r="J368" s="96"/>
      <c r="K368" s="96"/>
      <c r="L368" s="96"/>
      <c r="M368" s="96"/>
      <c r="N368" s="96"/>
      <c r="O368" s="96"/>
      <c r="P368" s="96"/>
      <c r="Q368" s="96"/>
      <c r="R368" s="96"/>
      <c r="S368" s="96"/>
      <c r="T368" s="96"/>
      <c r="U368" s="96"/>
      <c r="V368" s="96"/>
      <c r="W368" s="96"/>
      <c r="X368" s="96"/>
      <c r="Y368" s="96"/>
      <c r="Z368" s="96"/>
      <c r="AA368" s="96"/>
      <c r="AB368" s="96"/>
      <c r="AC368" s="96"/>
      <c r="AD368" s="96"/>
      <c r="AE368" s="96"/>
      <c r="AF368" s="96"/>
      <c r="AG368" s="96"/>
      <c r="AH368" s="96"/>
      <c r="AI368" s="96"/>
      <c r="AJ368" s="96"/>
      <c r="AK368" s="96"/>
      <c r="AL368" s="96"/>
      <c r="AM368" s="96"/>
      <c r="AN368" s="96"/>
      <c r="AO368" s="96"/>
      <c r="AP368" s="96"/>
      <c r="AQ368" s="96"/>
      <c r="AR368" s="96"/>
      <c r="AS368" s="96"/>
      <c r="AT368" s="96"/>
      <c r="AU368" s="96"/>
      <c r="AV368" s="96"/>
      <c r="AW368" s="96"/>
      <c r="AX368" s="96"/>
      <c r="AY368" s="96"/>
      <c r="AZ368" s="96"/>
      <c r="BA368" s="96"/>
      <c r="BB368" s="96"/>
    </row>
    <row r="369" spans="2:54" x14ac:dyDescent="0.25">
      <c r="B369" s="96"/>
      <c r="C369" s="96"/>
      <c r="D369" s="96"/>
      <c r="E369" s="96"/>
      <c r="F369" s="96"/>
      <c r="G369" s="96"/>
      <c r="H369" s="96"/>
      <c r="I369" s="96"/>
      <c r="J369" s="96"/>
      <c r="K369" s="96"/>
      <c r="L369" s="96"/>
      <c r="M369" s="96"/>
      <c r="N369" s="96"/>
      <c r="O369" s="96"/>
      <c r="P369" s="96"/>
      <c r="Q369" s="96"/>
      <c r="R369" s="96"/>
      <c r="S369" s="96"/>
      <c r="T369" s="96"/>
      <c r="U369" s="96"/>
      <c r="V369" s="96"/>
      <c r="W369" s="96"/>
      <c r="X369" s="96"/>
      <c r="Y369" s="96"/>
      <c r="Z369" s="96"/>
      <c r="AA369" s="96"/>
      <c r="AB369" s="96"/>
      <c r="AC369" s="96"/>
      <c r="AD369" s="96"/>
      <c r="AE369" s="96"/>
      <c r="AF369" s="96"/>
      <c r="AG369" s="96"/>
      <c r="AH369" s="96"/>
      <c r="AI369" s="96"/>
      <c r="AJ369" s="96"/>
      <c r="AK369" s="96"/>
      <c r="AL369" s="96"/>
      <c r="AM369" s="96"/>
      <c r="AN369" s="96"/>
      <c r="AO369" s="96"/>
      <c r="AP369" s="96"/>
      <c r="AQ369" s="96"/>
      <c r="AR369" s="96"/>
      <c r="AS369" s="96"/>
      <c r="AT369" s="96"/>
      <c r="AU369" s="96"/>
      <c r="AV369" s="96"/>
      <c r="AW369" s="96"/>
      <c r="AX369" s="96"/>
      <c r="AY369" s="96"/>
      <c r="AZ369" s="96"/>
      <c r="BA369" s="96"/>
      <c r="BB369" s="96"/>
    </row>
    <row r="370" spans="2:54" x14ac:dyDescent="0.25">
      <c r="B370" s="96"/>
      <c r="C370" s="96"/>
      <c r="D370" s="96"/>
      <c r="E370" s="96"/>
      <c r="F370" s="96"/>
      <c r="G370" s="96"/>
      <c r="H370" s="96"/>
      <c r="I370" s="96"/>
      <c r="J370" s="96"/>
      <c r="K370" s="96"/>
      <c r="L370" s="96"/>
      <c r="M370" s="96"/>
      <c r="N370" s="96"/>
      <c r="O370" s="96"/>
      <c r="P370" s="96"/>
      <c r="Q370" s="96"/>
      <c r="R370" s="96"/>
      <c r="S370" s="96"/>
      <c r="T370" s="96"/>
      <c r="U370" s="96"/>
      <c r="V370" s="96"/>
      <c r="W370" s="96"/>
      <c r="X370" s="96"/>
      <c r="Y370" s="96"/>
      <c r="Z370" s="96"/>
      <c r="AA370" s="96"/>
      <c r="AB370" s="96"/>
      <c r="AC370" s="96"/>
      <c r="AD370" s="96"/>
      <c r="AE370" s="96"/>
      <c r="AF370" s="96"/>
      <c r="AG370" s="96"/>
      <c r="AH370" s="96"/>
      <c r="AI370" s="96"/>
      <c r="AJ370" s="96"/>
      <c r="AK370" s="96"/>
      <c r="AL370" s="96"/>
      <c r="AM370" s="96"/>
      <c r="AN370" s="96"/>
      <c r="AO370" s="96"/>
      <c r="AP370" s="96"/>
      <c r="AQ370" s="96"/>
      <c r="AR370" s="96"/>
      <c r="AS370" s="96"/>
      <c r="AT370" s="96"/>
      <c r="AU370" s="96"/>
      <c r="AV370" s="96"/>
      <c r="AW370" s="96"/>
      <c r="AX370" s="96"/>
      <c r="AY370" s="96"/>
      <c r="AZ370" s="96"/>
      <c r="BA370" s="96"/>
      <c r="BB370" s="96"/>
    </row>
    <row r="371" spans="2:54" x14ac:dyDescent="0.25">
      <c r="B371" s="96"/>
      <c r="C371" s="96"/>
      <c r="D371" s="96"/>
      <c r="E371" s="96"/>
      <c r="F371" s="96"/>
      <c r="G371" s="96"/>
      <c r="H371" s="96"/>
      <c r="I371" s="96"/>
      <c r="J371" s="96"/>
      <c r="K371" s="96"/>
      <c r="L371" s="96"/>
      <c r="M371" s="96"/>
      <c r="N371" s="96"/>
      <c r="O371" s="96"/>
      <c r="P371" s="96"/>
      <c r="Q371" s="96"/>
      <c r="R371" s="96"/>
      <c r="S371" s="96"/>
      <c r="T371" s="96"/>
      <c r="U371" s="96"/>
      <c r="V371" s="96"/>
      <c r="W371" s="96"/>
      <c r="X371" s="96"/>
      <c r="Y371" s="96"/>
      <c r="Z371" s="96"/>
      <c r="AA371" s="96"/>
      <c r="AB371" s="96"/>
      <c r="AC371" s="96"/>
      <c r="AD371" s="96"/>
      <c r="AE371" s="96"/>
      <c r="AF371" s="96"/>
      <c r="AG371" s="96"/>
      <c r="AH371" s="96"/>
      <c r="AI371" s="96"/>
      <c r="AJ371" s="96"/>
      <c r="AK371" s="96"/>
      <c r="AL371" s="96"/>
      <c r="AM371" s="96"/>
      <c r="AN371" s="96"/>
      <c r="AO371" s="96"/>
      <c r="AP371" s="96"/>
      <c r="AQ371" s="96"/>
      <c r="AR371" s="96"/>
      <c r="AS371" s="96"/>
      <c r="AT371" s="96"/>
      <c r="AU371" s="96"/>
      <c r="AV371" s="96"/>
      <c r="AW371" s="96"/>
      <c r="AX371" s="96"/>
      <c r="AY371" s="96"/>
      <c r="AZ371" s="96"/>
      <c r="BA371" s="96"/>
      <c r="BB371" s="96"/>
    </row>
    <row r="372" spans="2:54" x14ac:dyDescent="0.25">
      <c r="B372" s="96"/>
      <c r="C372" s="96"/>
      <c r="D372" s="96"/>
      <c r="E372" s="96"/>
      <c r="F372" s="96"/>
      <c r="G372" s="96"/>
      <c r="H372" s="96"/>
      <c r="I372" s="96"/>
      <c r="J372" s="96"/>
      <c r="K372" s="96"/>
      <c r="L372" s="96"/>
      <c r="M372" s="96"/>
      <c r="N372" s="96"/>
      <c r="O372" s="96"/>
      <c r="P372" s="96"/>
      <c r="Q372" s="96"/>
      <c r="R372" s="96"/>
      <c r="S372" s="96"/>
      <c r="T372" s="96"/>
      <c r="U372" s="96"/>
      <c r="V372" s="96"/>
      <c r="W372" s="96"/>
      <c r="X372" s="96"/>
      <c r="Y372" s="96"/>
      <c r="Z372" s="96"/>
      <c r="AA372" s="96"/>
      <c r="AB372" s="96"/>
      <c r="AC372" s="96"/>
      <c r="AD372" s="96"/>
      <c r="AE372" s="96"/>
      <c r="AF372" s="96"/>
      <c r="AG372" s="96"/>
      <c r="AH372" s="96"/>
      <c r="AI372" s="96"/>
      <c r="AJ372" s="96"/>
      <c r="AK372" s="96"/>
      <c r="AL372" s="96"/>
      <c r="AM372" s="96"/>
      <c r="AN372" s="96"/>
      <c r="AO372" s="96"/>
      <c r="AP372" s="96"/>
      <c r="AQ372" s="96"/>
      <c r="AR372" s="96"/>
      <c r="AS372" s="96"/>
      <c r="AT372" s="96"/>
      <c r="AU372" s="96"/>
      <c r="AV372" s="96"/>
      <c r="AW372" s="96"/>
      <c r="AX372" s="96"/>
      <c r="AY372" s="96"/>
      <c r="AZ372" s="96"/>
      <c r="BA372" s="96"/>
      <c r="BB372" s="96"/>
    </row>
    <row r="373" spans="2:54" x14ac:dyDescent="0.25">
      <c r="B373" s="96"/>
      <c r="C373" s="96"/>
      <c r="D373" s="96"/>
      <c r="E373" s="96"/>
      <c r="F373" s="96"/>
      <c r="G373" s="96"/>
      <c r="H373" s="96"/>
      <c r="I373" s="96"/>
      <c r="J373" s="96"/>
      <c r="K373" s="96"/>
      <c r="L373" s="96"/>
      <c r="M373" s="96"/>
      <c r="N373" s="96"/>
      <c r="O373" s="96"/>
      <c r="P373" s="96"/>
      <c r="Q373" s="96"/>
      <c r="R373" s="96"/>
      <c r="S373" s="96"/>
      <c r="T373" s="96"/>
      <c r="U373" s="96"/>
      <c r="V373" s="96"/>
      <c r="W373" s="96"/>
      <c r="X373" s="96"/>
      <c r="Y373" s="96"/>
      <c r="Z373" s="96"/>
      <c r="AA373" s="96"/>
      <c r="AB373" s="96"/>
      <c r="AC373" s="96"/>
      <c r="AD373" s="96"/>
      <c r="AE373" s="96"/>
      <c r="AF373" s="96"/>
      <c r="AG373" s="96"/>
      <c r="AH373" s="96"/>
      <c r="AI373" s="96"/>
      <c r="AJ373" s="96"/>
      <c r="AK373" s="96"/>
      <c r="AL373" s="96"/>
      <c r="AM373" s="96"/>
      <c r="AN373" s="96"/>
      <c r="AO373" s="96"/>
      <c r="AP373" s="96"/>
      <c r="AQ373" s="96"/>
      <c r="AR373" s="96"/>
      <c r="AS373" s="96"/>
      <c r="AT373" s="96"/>
      <c r="AU373" s="96"/>
      <c r="AV373" s="96"/>
      <c r="AW373" s="96"/>
      <c r="AX373" s="96"/>
      <c r="AY373" s="96"/>
      <c r="AZ373" s="96"/>
      <c r="BA373" s="96"/>
      <c r="BB373" s="96"/>
    </row>
    <row r="374" spans="2:54" x14ac:dyDescent="0.25">
      <c r="B374" s="96"/>
      <c r="C374" s="96"/>
      <c r="D374" s="96"/>
      <c r="E374" s="96"/>
      <c r="F374" s="96"/>
      <c r="G374" s="96"/>
      <c r="H374" s="96"/>
      <c r="I374" s="96"/>
      <c r="J374" s="96"/>
      <c r="K374" s="96"/>
      <c r="L374" s="96"/>
      <c r="M374" s="96"/>
      <c r="N374" s="96"/>
      <c r="O374" s="96"/>
      <c r="P374" s="96"/>
      <c r="Q374" s="96"/>
      <c r="R374" s="96"/>
      <c r="S374" s="96"/>
      <c r="T374" s="96"/>
      <c r="U374" s="96"/>
      <c r="V374" s="96"/>
      <c r="W374" s="96"/>
      <c r="X374" s="96"/>
      <c r="Y374" s="96"/>
      <c r="Z374" s="96"/>
      <c r="AA374" s="96"/>
      <c r="AB374" s="96"/>
      <c r="AC374" s="96"/>
      <c r="AD374" s="96"/>
      <c r="AE374" s="96"/>
      <c r="AF374" s="96"/>
      <c r="AG374" s="96"/>
      <c r="AH374" s="96"/>
      <c r="AI374" s="96"/>
      <c r="AJ374" s="96"/>
      <c r="AK374" s="96"/>
      <c r="AL374" s="96"/>
      <c r="AM374" s="96"/>
      <c r="AN374" s="96"/>
      <c r="AO374" s="96"/>
      <c r="AP374" s="96"/>
      <c r="AQ374" s="96"/>
      <c r="AR374" s="96"/>
      <c r="AS374" s="96"/>
      <c r="AT374" s="96"/>
      <c r="AU374" s="96"/>
      <c r="AV374" s="96"/>
      <c r="AW374" s="96"/>
      <c r="AX374" s="96"/>
      <c r="AY374" s="96"/>
      <c r="AZ374" s="96"/>
      <c r="BA374" s="96"/>
      <c r="BB374" s="96"/>
    </row>
    <row r="375" spans="2:54" x14ac:dyDescent="0.25">
      <c r="B375" s="96"/>
      <c r="C375" s="96"/>
      <c r="D375" s="96"/>
      <c r="E375" s="96"/>
      <c r="F375" s="96"/>
      <c r="G375" s="96"/>
      <c r="H375" s="96"/>
      <c r="I375" s="96"/>
      <c r="J375" s="96"/>
      <c r="K375" s="96"/>
      <c r="L375" s="96"/>
      <c r="M375" s="96"/>
      <c r="N375" s="96"/>
      <c r="O375" s="96"/>
      <c r="P375" s="96"/>
      <c r="Q375" s="96"/>
      <c r="R375" s="96"/>
      <c r="S375" s="96"/>
      <c r="T375" s="96"/>
      <c r="U375" s="96"/>
      <c r="V375" s="96"/>
      <c r="W375" s="96"/>
      <c r="X375" s="96"/>
      <c r="Y375" s="96"/>
      <c r="Z375" s="96"/>
      <c r="AA375" s="96"/>
      <c r="AB375" s="96"/>
      <c r="AC375" s="96"/>
      <c r="AD375" s="96"/>
      <c r="AE375" s="96"/>
      <c r="AF375" s="96"/>
      <c r="AG375" s="96"/>
      <c r="AH375" s="96"/>
      <c r="AI375" s="96"/>
      <c r="AJ375" s="96"/>
      <c r="AK375" s="96"/>
      <c r="AL375" s="96"/>
      <c r="AM375" s="96"/>
      <c r="AN375" s="96"/>
      <c r="AO375" s="96"/>
      <c r="AP375" s="96"/>
      <c r="AQ375" s="96"/>
      <c r="AR375" s="96"/>
      <c r="AS375" s="96"/>
      <c r="AT375" s="96"/>
      <c r="AU375" s="96"/>
      <c r="AV375" s="96"/>
      <c r="AW375" s="96"/>
      <c r="AX375" s="96"/>
      <c r="AY375" s="96"/>
      <c r="AZ375" s="96"/>
      <c r="BA375" s="96"/>
      <c r="BB375" s="96"/>
    </row>
    <row r="376" spans="2:54" x14ac:dyDescent="0.25">
      <c r="B376" s="96"/>
      <c r="C376" s="96"/>
      <c r="D376" s="96"/>
      <c r="E376" s="96"/>
      <c r="F376" s="96"/>
      <c r="G376" s="96"/>
      <c r="H376" s="96"/>
      <c r="I376" s="96"/>
      <c r="J376" s="96"/>
      <c r="K376" s="96"/>
      <c r="L376" s="96"/>
      <c r="M376" s="96"/>
      <c r="N376" s="96"/>
      <c r="O376" s="96"/>
      <c r="P376" s="96"/>
      <c r="Q376" s="96"/>
      <c r="R376" s="96"/>
      <c r="S376" s="96"/>
      <c r="T376" s="96"/>
      <c r="U376" s="96"/>
      <c r="V376" s="96"/>
      <c r="W376" s="96"/>
      <c r="X376" s="96"/>
      <c r="Y376" s="96"/>
      <c r="Z376" s="96"/>
      <c r="AA376" s="96"/>
      <c r="AB376" s="96"/>
      <c r="AC376" s="96"/>
      <c r="AD376" s="96"/>
      <c r="AE376" s="96"/>
      <c r="AF376" s="96"/>
      <c r="AG376" s="96"/>
      <c r="AH376" s="96"/>
      <c r="AI376" s="96"/>
      <c r="AJ376" s="96"/>
      <c r="AK376" s="96"/>
      <c r="AL376" s="96"/>
      <c r="AM376" s="96"/>
      <c r="AN376" s="96"/>
      <c r="AO376" s="96"/>
      <c r="AP376" s="96"/>
      <c r="AQ376" s="96"/>
      <c r="AR376" s="96"/>
      <c r="AS376" s="96"/>
      <c r="AT376" s="96"/>
      <c r="AU376" s="96"/>
      <c r="AV376" s="96"/>
      <c r="AW376" s="96"/>
      <c r="AX376" s="96"/>
      <c r="AY376" s="96"/>
      <c r="AZ376" s="96"/>
      <c r="BA376" s="96"/>
      <c r="BB376" s="96"/>
    </row>
    <row r="377" spans="2:54" x14ac:dyDescent="0.25">
      <c r="B377" s="96"/>
      <c r="C377" s="96"/>
      <c r="D377" s="96"/>
      <c r="E377" s="96"/>
      <c r="F377" s="96"/>
      <c r="G377" s="96"/>
      <c r="H377" s="96"/>
      <c r="I377" s="96"/>
      <c r="J377" s="96"/>
      <c r="K377" s="96"/>
      <c r="L377" s="96"/>
      <c r="M377" s="96"/>
      <c r="N377" s="96"/>
      <c r="O377" s="96"/>
      <c r="P377" s="96"/>
      <c r="Q377" s="96"/>
      <c r="R377" s="96"/>
      <c r="S377" s="96"/>
      <c r="T377" s="96"/>
      <c r="U377" s="96"/>
      <c r="V377" s="96"/>
      <c r="W377" s="96"/>
      <c r="X377" s="96"/>
      <c r="Y377" s="96"/>
      <c r="Z377" s="96"/>
      <c r="AA377" s="96"/>
      <c r="AB377" s="96"/>
      <c r="AC377" s="96"/>
      <c r="AD377" s="96"/>
      <c r="AE377" s="96"/>
      <c r="AF377" s="96"/>
      <c r="AG377" s="96"/>
      <c r="AH377" s="96"/>
      <c r="AI377" s="96"/>
      <c r="AJ377" s="96"/>
      <c r="AK377" s="96"/>
      <c r="AL377" s="96"/>
      <c r="AM377" s="96"/>
      <c r="AN377" s="96"/>
      <c r="AO377" s="96"/>
      <c r="AP377" s="96"/>
      <c r="AQ377" s="96"/>
      <c r="AR377" s="96"/>
      <c r="AS377" s="96"/>
      <c r="AT377" s="96"/>
      <c r="AU377" s="96"/>
      <c r="AV377" s="96"/>
      <c r="AW377" s="96"/>
      <c r="AX377" s="96"/>
      <c r="AY377" s="96"/>
      <c r="AZ377" s="96"/>
      <c r="BA377" s="96"/>
      <c r="BB377" s="96"/>
    </row>
    <row r="378" spans="2:54" x14ac:dyDescent="0.25">
      <c r="B378" s="96"/>
      <c r="C378" s="96"/>
      <c r="D378" s="96"/>
      <c r="E378" s="96"/>
      <c r="F378" s="96"/>
      <c r="G378" s="96"/>
      <c r="H378" s="96"/>
      <c r="I378" s="96"/>
      <c r="J378" s="96"/>
      <c r="K378" s="96"/>
      <c r="L378" s="96"/>
      <c r="M378" s="96"/>
      <c r="N378" s="96"/>
      <c r="O378" s="96"/>
      <c r="P378" s="96"/>
      <c r="Q378" s="96"/>
      <c r="R378" s="96"/>
      <c r="S378" s="96"/>
      <c r="T378" s="96"/>
      <c r="U378" s="96"/>
      <c r="V378" s="96"/>
      <c r="W378" s="96"/>
      <c r="X378" s="96"/>
      <c r="Y378" s="96"/>
      <c r="Z378" s="96"/>
      <c r="AA378" s="96"/>
      <c r="AB378" s="96"/>
      <c r="AC378" s="96"/>
      <c r="AD378" s="96"/>
      <c r="AE378" s="96"/>
      <c r="AF378" s="96"/>
      <c r="AG378" s="96"/>
      <c r="AH378" s="96"/>
      <c r="AI378" s="96"/>
      <c r="AJ378" s="96"/>
      <c r="AK378" s="96"/>
      <c r="AL378" s="96"/>
      <c r="AM378" s="96"/>
      <c r="AN378" s="96"/>
      <c r="AO378" s="96"/>
      <c r="AP378" s="96"/>
      <c r="AQ378" s="96"/>
      <c r="AR378" s="96"/>
      <c r="AS378" s="96"/>
      <c r="AT378" s="96"/>
      <c r="AU378" s="96"/>
      <c r="AV378" s="96"/>
      <c r="AW378" s="96"/>
      <c r="AX378" s="96"/>
      <c r="AY378" s="96"/>
      <c r="AZ378" s="96"/>
      <c r="BA378" s="96"/>
      <c r="BB378" s="96"/>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8" tint="0.39997558519241921"/>
  </sheetPr>
  <dimension ref="A1:DA73"/>
  <sheetViews>
    <sheetView workbookViewId="0">
      <selection activeCell="G35" sqref="G35"/>
    </sheetView>
  </sheetViews>
  <sheetFormatPr defaultRowHeight="15" x14ac:dyDescent="0.25"/>
  <sheetData>
    <row r="1" spans="1:105" x14ac:dyDescent="0.25">
      <c r="A1" s="10"/>
      <c r="B1" s="151" t="s">
        <v>803</v>
      </c>
      <c r="C1" s="151"/>
      <c r="D1" s="151"/>
      <c r="E1" s="151"/>
      <c r="F1" s="151"/>
      <c r="G1" s="151"/>
      <c r="H1" s="151"/>
      <c r="I1" s="151"/>
      <c r="J1" s="151"/>
      <c r="K1" s="151"/>
      <c r="L1" s="151"/>
      <c r="M1" s="151"/>
      <c r="N1" s="151"/>
      <c r="O1" s="151"/>
      <c r="P1" s="151"/>
      <c r="Q1" s="151"/>
      <c r="R1" s="151"/>
      <c r="S1" s="151"/>
      <c r="T1" s="151"/>
      <c r="U1" s="151"/>
      <c r="V1" s="151"/>
      <c r="W1" s="151"/>
      <c r="X1" s="151"/>
      <c r="Y1" s="151"/>
      <c r="Z1" s="151"/>
      <c r="AA1" s="151"/>
      <c r="AB1" s="151"/>
      <c r="AC1" s="151"/>
      <c r="AD1" s="151"/>
      <c r="AE1" s="151"/>
      <c r="AF1" s="151"/>
      <c r="AG1" s="151"/>
      <c r="AH1" s="151"/>
      <c r="AI1" s="151"/>
      <c r="AJ1" s="10"/>
      <c r="AK1" s="151" t="s">
        <v>1190</v>
      </c>
      <c r="AL1" s="151"/>
      <c r="AM1" s="151"/>
      <c r="AN1" s="151"/>
      <c r="AO1" s="151"/>
      <c r="AP1" s="151"/>
      <c r="AQ1" s="151"/>
      <c r="AR1" s="151"/>
      <c r="AS1" s="151"/>
      <c r="AT1" s="151"/>
      <c r="AU1" s="151"/>
      <c r="AV1" s="151"/>
      <c r="AW1" s="151"/>
      <c r="AX1" s="151"/>
      <c r="AY1" s="151"/>
      <c r="AZ1" s="151"/>
      <c r="BA1" s="151"/>
      <c r="BB1" s="151"/>
      <c r="BC1" s="151"/>
      <c r="BD1" s="151"/>
      <c r="BE1" s="151"/>
      <c r="BF1" s="151"/>
      <c r="BG1" s="151"/>
      <c r="BH1" s="151"/>
      <c r="BI1" s="151"/>
      <c r="BJ1" s="151"/>
      <c r="BK1" s="151"/>
      <c r="BL1" s="151"/>
      <c r="BM1" s="151"/>
      <c r="BN1" s="151"/>
      <c r="BO1" s="151"/>
      <c r="BP1" s="151"/>
      <c r="BQ1" s="151"/>
      <c r="BR1" s="151"/>
      <c r="BS1" s="10"/>
      <c r="BT1" s="151" t="s">
        <v>1191</v>
      </c>
      <c r="BU1" s="151"/>
      <c r="BV1" s="151"/>
      <c r="BW1" s="151"/>
      <c r="BX1" s="151"/>
      <c r="BY1" s="151"/>
      <c r="BZ1" s="151"/>
      <c r="CA1" s="151"/>
      <c r="CB1" s="151"/>
      <c r="CC1" s="151"/>
      <c r="CD1" s="151"/>
      <c r="CE1" s="151"/>
      <c r="CF1" s="151"/>
      <c r="CG1" s="151"/>
      <c r="CH1" s="151"/>
      <c r="CI1" s="151"/>
      <c r="CJ1" s="151"/>
      <c r="CK1" s="151"/>
      <c r="CL1" s="151"/>
      <c r="CM1" s="151"/>
      <c r="CN1" s="151"/>
      <c r="CO1" s="151"/>
      <c r="CP1" s="151"/>
      <c r="CQ1" s="151"/>
      <c r="CR1" s="151"/>
      <c r="CS1" s="151"/>
      <c r="CT1" s="151"/>
      <c r="CU1" s="151"/>
      <c r="CV1" s="151"/>
      <c r="CW1" s="151"/>
      <c r="CX1" s="151"/>
      <c r="CY1" s="151"/>
      <c r="CZ1" s="151"/>
      <c r="DA1" s="151"/>
    </row>
    <row r="2" spans="1:105" x14ac:dyDescent="0.25">
      <c r="A2" s="11" t="s">
        <v>804</v>
      </c>
      <c r="B2" s="16" t="s">
        <v>8</v>
      </c>
      <c r="C2" s="16" t="s">
        <v>1160</v>
      </c>
      <c r="D2" s="16" t="s">
        <v>1161</v>
      </c>
      <c r="E2" s="16" t="s">
        <v>1162</v>
      </c>
      <c r="F2" s="16" t="s">
        <v>64</v>
      </c>
      <c r="G2" s="16" t="s">
        <v>26</v>
      </c>
      <c r="H2" s="16" t="s">
        <v>1163</v>
      </c>
      <c r="I2" s="16" t="s">
        <v>9</v>
      </c>
      <c r="J2" s="16" t="s">
        <v>22</v>
      </c>
      <c r="K2" s="16" t="s">
        <v>46</v>
      </c>
      <c r="L2" s="16" t="s">
        <v>1164</v>
      </c>
      <c r="M2" s="16" t="s">
        <v>1165</v>
      </c>
      <c r="N2" s="16" t="s">
        <v>10</v>
      </c>
      <c r="O2" s="16" t="s">
        <v>3</v>
      </c>
      <c r="P2" s="16" t="s">
        <v>17</v>
      </c>
      <c r="Q2" s="16" t="s">
        <v>1166</v>
      </c>
      <c r="R2" s="16" t="s">
        <v>21</v>
      </c>
      <c r="S2" s="16" t="s">
        <v>1167</v>
      </c>
      <c r="T2" s="16" t="s">
        <v>1168</v>
      </c>
      <c r="U2" s="16" t="s">
        <v>1169</v>
      </c>
      <c r="V2" s="16" t="s">
        <v>7</v>
      </c>
      <c r="W2" s="16" t="s">
        <v>1170</v>
      </c>
      <c r="X2" s="16" t="s">
        <v>14</v>
      </c>
      <c r="Y2" s="16" t="s">
        <v>1171</v>
      </c>
      <c r="Z2" s="16" t="s">
        <v>27</v>
      </c>
      <c r="AA2" s="16" t="s">
        <v>47</v>
      </c>
      <c r="AB2" s="16" t="s">
        <v>1172</v>
      </c>
      <c r="AC2" s="16" t="s">
        <v>37</v>
      </c>
      <c r="AD2" s="16" t="s">
        <v>1173</v>
      </c>
      <c r="AE2" s="16" t="s">
        <v>1174</v>
      </c>
      <c r="AF2" s="16" t="s">
        <v>1175</v>
      </c>
      <c r="AG2" s="16" t="s">
        <v>1176</v>
      </c>
      <c r="AH2" s="122" t="s">
        <v>6</v>
      </c>
      <c r="AI2" s="16" t="s">
        <v>4</v>
      </c>
      <c r="AJ2" s="16" t="s">
        <v>804</v>
      </c>
      <c r="AK2" s="16" t="s">
        <v>8</v>
      </c>
      <c r="AL2" s="16" t="s">
        <v>1160</v>
      </c>
      <c r="AM2" s="16" t="s">
        <v>1161</v>
      </c>
      <c r="AN2" s="16" t="s">
        <v>1162</v>
      </c>
      <c r="AO2" s="16" t="s">
        <v>64</v>
      </c>
      <c r="AP2" s="16" t="s">
        <v>26</v>
      </c>
      <c r="AQ2" s="16" t="s">
        <v>1163</v>
      </c>
      <c r="AR2" s="16" t="s">
        <v>9</v>
      </c>
      <c r="AS2" s="16" t="s">
        <v>22</v>
      </c>
      <c r="AT2" s="16" t="s">
        <v>46</v>
      </c>
      <c r="AU2" s="16" t="s">
        <v>1164</v>
      </c>
      <c r="AV2" s="16" t="s">
        <v>1165</v>
      </c>
      <c r="AW2" s="16" t="s">
        <v>10</v>
      </c>
      <c r="AX2" s="16" t="s">
        <v>3</v>
      </c>
      <c r="AY2" s="16" t="s">
        <v>17</v>
      </c>
      <c r="AZ2" s="16" t="s">
        <v>1166</v>
      </c>
      <c r="BA2" s="16" t="s">
        <v>21</v>
      </c>
      <c r="BB2" s="16" t="s">
        <v>1167</v>
      </c>
      <c r="BC2" s="16" t="s">
        <v>1168</v>
      </c>
      <c r="BD2" s="16" t="s">
        <v>1169</v>
      </c>
      <c r="BE2" s="16" t="s">
        <v>7</v>
      </c>
      <c r="BF2" s="16" t="s">
        <v>1170</v>
      </c>
      <c r="BG2" s="16" t="s">
        <v>14</v>
      </c>
      <c r="BH2" s="16" t="s">
        <v>1171</v>
      </c>
      <c r="BI2" s="16" t="s">
        <v>27</v>
      </c>
      <c r="BJ2" s="16" t="s">
        <v>47</v>
      </c>
      <c r="BK2" s="16" t="s">
        <v>1172</v>
      </c>
      <c r="BL2" s="16" t="s">
        <v>37</v>
      </c>
      <c r="BM2" s="16" t="s">
        <v>1173</v>
      </c>
      <c r="BN2" s="16" t="s">
        <v>1174</v>
      </c>
      <c r="BO2" s="16" t="s">
        <v>1175</v>
      </c>
      <c r="BP2" s="16" t="s">
        <v>1176</v>
      </c>
      <c r="BQ2" s="122" t="s">
        <v>6</v>
      </c>
      <c r="BR2" s="16" t="s">
        <v>4</v>
      </c>
      <c r="BS2" s="16" t="s">
        <v>804</v>
      </c>
      <c r="BT2" s="16" t="s">
        <v>8</v>
      </c>
      <c r="BU2" s="16" t="s">
        <v>1160</v>
      </c>
      <c r="BV2" s="16" t="s">
        <v>1161</v>
      </c>
      <c r="BW2" s="16" t="s">
        <v>1162</v>
      </c>
      <c r="BX2" s="16" t="s">
        <v>64</v>
      </c>
      <c r="BY2" s="16" t="s">
        <v>26</v>
      </c>
      <c r="BZ2" s="16" t="s">
        <v>1163</v>
      </c>
      <c r="CA2" s="16" t="s">
        <v>9</v>
      </c>
      <c r="CB2" s="16" t="s">
        <v>22</v>
      </c>
      <c r="CC2" s="16" t="s">
        <v>46</v>
      </c>
      <c r="CD2" s="16" t="s">
        <v>1164</v>
      </c>
      <c r="CE2" s="16" t="s">
        <v>1165</v>
      </c>
      <c r="CF2" s="16" t="s">
        <v>10</v>
      </c>
      <c r="CG2" s="16" t="s">
        <v>3</v>
      </c>
      <c r="CH2" s="16" t="s">
        <v>17</v>
      </c>
      <c r="CI2" s="16" t="s">
        <v>1166</v>
      </c>
      <c r="CJ2" s="16" t="s">
        <v>21</v>
      </c>
      <c r="CK2" s="16" t="s">
        <v>1167</v>
      </c>
      <c r="CL2" s="16" t="s">
        <v>1168</v>
      </c>
      <c r="CM2" s="16" t="s">
        <v>1169</v>
      </c>
      <c r="CN2" s="16" t="s">
        <v>7</v>
      </c>
      <c r="CO2" s="16" t="s">
        <v>1170</v>
      </c>
      <c r="CP2" s="16" t="s">
        <v>14</v>
      </c>
      <c r="CQ2" s="16" t="s">
        <v>1171</v>
      </c>
      <c r="CR2" s="16" t="s">
        <v>27</v>
      </c>
      <c r="CS2" s="16" t="s">
        <v>47</v>
      </c>
      <c r="CT2" s="16" t="s">
        <v>1172</v>
      </c>
      <c r="CU2" s="16" t="s">
        <v>37</v>
      </c>
      <c r="CV2" s="16" t="s">
        <v>1173</v>
      </c>
      <c r="CW2" s="16" t="s">
        <v>1174</v>
      </c>
      <c r="CX2" s="16" t="s">
        <v>1175</v>
      </c>
      <c r="CY2" s="16" t="s">
        <v>1176</v>
      </c>
      <c r="CZ2" s="122" t="s">
        <v>6</v>
      </c>
      <c r="DA2" s="16" t="s">
        <v>4</v>
      </c>
    </row>
    <row r="3" spans="1:105" x14ac:dyDescent="0.25">
      <c r="A3" s="11">
        <v>0</v>
      </c>
      <c r="B3" s="12">
        <v>0</v>
      </c>
      <c r="C3" s="12">
        <v>0</v>
      </c>
      <c r="D3" s="12">
        <v>0</v>
      </c>
      <c r="E3" s="12">
        <v>0</v>
      </c>
      <c r="F3" s="12">
        <v>0</v>
      </c>
      <c r="G3" s="12">
        <v>0</v>
      </c>
      <c r="H3" s="12">
        <v>0</v>
      </c>
      <c r="I3" s="12">
        <v>0</v>
      </c>
      <c r="J3" s="12">
        <v>0</v>
      </c>
      <c r="K3" s="12">
        <v>0</v>
      </c>
      <c r="L3" s="12">
        <v>0</v>
      </c>
      <c r="M3" s="12">
        <v>0</v>
      </c>
      <c r="N3" s="12">
        <v>0</v>
      </c>
      <c r="O3" s="12">
        <v>0</v>
      </c>
      <c r="P3" s="12">
        <v>0</v>
      </c>
      <c r="Q3" s="12">
        <v>0</v>
      </c>
      <c r="R3" s="12">
        <v>0</v>
      </c>
      <c r="S3" s="12">
        <v>0</v>
      </c>
      <c r="T3" s="12">
        <v>0</v>
      </c>
      <c r="U3" s="12">
        <v>0</v>
      </c>
      <c r="V3" s="12">
        <v>0</v>
      </c>
      <c r="W3" s="12">
        <v>0</v>
      </c>
      <c r="X3" s="12">
        <v>0</v>
      </c>
      <c r="Y3" s="12">
        <v>0</v>
      </c>
      <c r="Z3" s="12">
        <v>0</v>
      </c>
      <c r="AA3" s="12">
        <v>0</v>
      </c>
      <c r="AB3" s="12">
        <v>0</v>
      </c>
      <c r="AC3" s="12">
        <v>0</v>
      </c>
      <c r="AD3" s="12">
        <v>0</v>
      </c>
      <c r="AE3" s="12">
        <v>0</v>
      </c>
      <c r="AF3" s="12">
        <v>0</v>
      </c>
      <c r="AG3" s="12">
        <v>0</v>
      </c>
      <c r="AH3" s="12">
        <v>0</v>
      </c>
      <c r="AI3" s="12">
        <v>0</v>
      </c>
      <c r="AJ3" s="16">
        <v>0</v>
      </c>
      <c r="AK3" s="12">
        <v>0</v>
      </c>
      <c r="AL3" s="12">
        <v>0</v>
      </c>
      <c r="AM3" s="12">
        <v>0</v>
      </c>
      <c r="AN3" s="12">
        <v>0</v>
      </c>
      <c r="AO3" s="12">
        <v>0</v>
      </c>
      <c r="AP3" s="12">
        <v>0</v>
      </c>
      <c r="AQ3" s="12">
        <v>0</v>
      </c>
      <c r="AR3" s="12">
        <v>0</v>
      </c>
      <c r="AS3" s="12">
        <v>0</v>
      </c>
      <c r="AT3" s="12">
        <v>0</v>
      </c>
      <c r="AU3" s="12">
        <v>0</v>
      </c>
      <c r="AV3" s="12">
        <v>0</v>
      </c>
      <c r="AW3" s="12">
        <v>0</v>
      </c>
      <c r="AX3" s="12">
        <v>0</v>
      </c>
      <c r="AY3" s="12">
        <v>0</v>
      </c>
      <c r="AZ3" s="12">
        <v>0</v>
      </c>
      <c r="BA3" s="12">
        <v>0</v>
      </c>
      <c r="BB3" s="12">
        <v>0</v>
      </c>
      <c r="BC3" s="12">
        <v>0</v>
      </c>
      <c r="BD3" s="12">
        <v>0</v>
      </c>
      <c r="BE3" s="12">
        <v>0</v>
      </c>
      <c r="BF3" s="12">
        <v>0</v>
      </c>
      <c r="BG3" s="12">
        <v>0</v>
      </c>
      <c r="BH3" s="12">
        <v>0</v>
      </c>
      <c r="BI3" s="12">
        <v>0</v>
      </c>
      <c r="BJ3" s="12">
        <v>0</v>
      </c>
      <c r="BK3" s="12">
        <v>0</v>
      </c>
      <c r="BL3" s="12">
        <v>0</v>
      </c>
      <c r="BM3" s="12">
        <v>0</v>
      </c>
      <c r="BN3" s="12">
        <v>0</v>
      </c>
      <c r="BO3" s="12">
        <v>0</v>
      </c>
      <c r="BP3" s="12">
        <v>0</v>
      </c>
      <c r="BQ3" s="12">
        <v>0</v>
      </c>
      <c r="BR3" s="12">
        <v>0</v>
      </c>
      <c r="BS3" s="16">
        <v>0</v>
      </c>
      <c r="BT3" s="12">
        <v>0</v>
      </c>
      <c r="BU3" s="12">
        <v>0</v>
      </c>
      <c r="BV3" s="12">
        <v>0</v>
      </c>
      <c r="BW3" s="12">
        <v>0</v>
      </c>
      <c r="BX3" s="12">
        <v>0</v>
      </c>
      <c r="BY3" s="12">
        <v>0</v>
      </c>
      <c r="BZ3" s="12">
        <v>0</v>
      </c>
      <c r="CA3" s="12">
        <v>0</v>
      </c>
      <c r="CB3" s="12">
        <v>0</v>
      </c>
      <c r="CC3" s="12">
        <v>0</v>
      </c>
      <c r="CD3" s="12">
        <v>0</v>
      </c>
      <c r="CE3" s="12">
        <v>0</v>
      </c>
      <c r="CF3" s="12">
        <v>0</v>
      </c>
      <c r="CG3" s="12">
        <v>0</v>
      </c>
      <c r="CH3" s="12">
        <v>0</v>
      </c>
      <c r="CI3" s="12">
        <v>0</v>
      </c>
      <c r="CJ3" s="12">
        <v>0</v>
      </c>
      <c r="CK3" s="12">
        <v>0</v>
      </c>
      <c r="CL3" s="12">
        <v>0</v>
      </c>
      <c r="CM3" s="12">
        <v>0</v>
      </c>
      <c r="CN3" s="12">
        <v>0</v>
      </c>
      <c r="CO3" s="12">
        <v>0</v>
      </c>
      <c r="CP3" s="12">
        <v>0</v>
      </c>
      <c r="CQ3" s="12">
        <v>0</v>
      </c>
      <c r="CR3" s="12">
        <v>0</v>
      </c>
      <c r="CS3" s="12">
        <v>0</v>
      </c>
      <c r="CT3" s="12">
        <v>0</v>
      </c>
      <c r="CU3" s="12">
        <v>0</v>
      </c>
      <c r="CV3" s="12">
        <v>0</v>
      </c>
      <c r="CW3" s="12">
        <v>0</v>
      </c>
      <c r="CX3" s="12">
        <v>0</v>
      </c>
      <c r="CY3" s="12">
        <v>0</v>
      </c>
      <c r="CZ3" s="12">
        <v>0</v>
      </c>
      <c r="DA3" s="12">
        <v>0</v>
      </c>
    </row>
    <row r="4" spans="1:105" x14ac:dyDescent="0.25">
      <c r="A4" s="11">
        <v>1</v>
      </c>
      <c r="B4" s="12">
        <f>HLOOKUP(B$2,EIOPA_Spot_Rates,EIOPA_RFR!$A13,FALSE)</f>
        <v>-3.1800000000000001E-3</v>
      </c>
      <c r="C4" s="12">
        <f>HLOOKUP(C$2,EIOPA_Spot_Rates,EIOPA_RFR!$A13,FALSE)</f>
        <v>-3.6800000000000001E-3</v>
      </c>
      <c r="D4" s="12">
        <f>HLOOKUP(D$2,EIOPA_Spot_Rates,EIOPA_RFR!$A13,FALSE)</f>
        <v>3.79E-3</v>
      </c>
      <c r="E4" s="12">
        <f>HLOOKUP(E$2,EIOPA_Spot_Rates,EIOPA_RFR!$A13,FALSE)</f>
        <v>1.97E-3</v>
      </c>
      <c r="F4" s="12">
        <f>HLOOKUP(F$2,EIOPA_Spot_Rates,EIOPA_RFR!$A13,FALSE)</f>
        <v>-3.2799999999999999E-3</v>
      </c>
      <c r="G4" s="12">
        <f>HLOOKUP(G$2,EIOPA_Spot_Rates,EIOPA_RFR!$A13,FALSE)</f>
        <v>1.16E-3</v>
      </c>
      <c r="H4" s="12">
        <f>HLOOKUP(H$2,EIOPA_Spot_Rates,EIOPA_RFR!$A13,FALSE)</f>
        <v>4.8349999999999997E-2</v>
      </c>
      <c r="I4" s="12">
        <f>HLOOKUP(I$2,EIOPA_Spot_Rates,EIOPA_RFR!$A13,FALSE)</f>
        <v>-7.7999999999999996E-3</v>
      </c>
      <c r="J4" s="12">
        <f>HLOOKUP(J$2,EIOPA_Spot_Rates,EIOPA_RFR!$A13,FALSE)</f>
        <v>8.9999999999999993E-3</v>
      </c>
      <c r="K4" s="12">
        <f>HLOOKUP(K$2,EIOPA_Spot_Rates,EIOPA_RFR!$A13,FALSE)</f>
        <v>1.451E-2</v>
      </c>
      <c r="L4" s="12">
        <f>HLOOKUP(L$2,EIOPA_Spot_Rates,EIOPA_RFR!$A13,FALSE)</f>
        <v>9.5899999999999996E-3</v>
      </c>
      <c r="M4" s="12">
        <f>HLOOKUP(M$2,EIOPA_Spot_Rates,EIOPA_RFR!$A13,FALSE)</f>
        <v>9.5750000000000002E-2</v>
      </c>
      <c r="N4" s="12">
        <f>HLOOKUP(N$2,EIOPA_Spot_Rates,EIOPA_RFR!$A13,FALSE)</f>
        <v>-5.4200000000000003E-3</v>
      </c>
      <c r="O4" s="12">
        <f>HLOOKUP(O$2,EIOPA_Spot_Rates,EIOPA_RFR!$A13,FALSE)</f>
        <v>3.64E-3</v>
      </c>
      <c r="P4" s="12">
        <f>HLOOKUP(P$2,EIOPA_Spot_Rates,EIOPA_RFR!$A13,FALSE)</f>
        <v>1.8259999999999998E-2</v>
      </c>
      <c r="Q4" s="12">
        <f>HLOOKUP(Q$2,EIOPA_Spot_Rates,EIOPA_RFR!$A13,FALSE)</f>
        <v>9.11E-2</v>
      </c>
      <c r="R4" s="12">
        <f>HLOOKUP(R$2,EIOPA_Spot_Rates,EIOPA_RFR!$A13,FALSE)</f>
        <v>7.79E-3</v>
      </c>
      <c r="S4" s="12">
        <f>HLOOKUP(S$2,EIOPA_Spot_Rates,EIOPA_RFR!$A13,FALSE)</f>
        <v>2.4549999999999999E-2</v>
      </c>
      <c r="T4" s="12">
        <f>HLOOKUP(T$2,EIOPA_Spot_Rates,EIOPA_RFR!$A13,FALSE)</f>
        <v>3.3079999999999998E-2</v>
      </c>
      <c r="U4" s="12">
        <f>HLOOKUP(U$2,EIOPA_Spot_Rates,EIOPA_RFR!$A13,FALSE)</f>
        <v>5.3220000000000003E-2</v>
      </c>
      <c r="V4" s="12">
        <f>HLOOKUP(V$2,EIOPA_Spot_Rates,EIOPA_RFR!$A13,FALSE)</f>
        <v>1.065E-2</v>
      </c>
      <c r="W4" s="12">
        <f>HLOOKUP(W$2,EIOPA_Spot_Rates,EIOPA_RFR!$A13,FALSE)</f>
        <v>5.9200000000000003E-2</v>
      </c>
      <c r="X4" s="12">
        <f>HLOOKUP(X$2,EIOPA_Spot_Rates,EIOPA_RFR!$A13,FALSE)</f>
        <v>-5.5000000000000003E-4</v>
      </c>
      <c r="Y4" s="12">
        <f>HLOOKUP(Y$2,EIOPA_Spot_Rates,EIOPA_RFR!$A13,FALSE)</f>
        <v>3.3770000000000001E-2</v>
      </c>
      <c r="Z4" s="12">
        <f>HLOOKUP(Z$2,EIOPA_Spot_Rates,EIOPA_RFR!$A13,FALSE)</f>
        <v>6.9989999999999997E-2</v>
      </c>
      <c r="AA4" s="12">
        <f>HLOOKUP(AA$2,EIOPA_Spot_Rates,EIOPA_RFR!$A13,FALSE)</f>
        <v>1.8589999999999999E-2</v>
      </c>
      <c r="AB4" s="12">
        <f>HLOOKUP(AB$2,EIOPA_Spot_Rates,EIOPA_RFR!$A13,FALSE)</f>
        <v>1.1129999999999999E-2</v>
      </c>
      <c r="AC4" s="12">
        <f>HLOOKUP(AC$2,EIOPA_Spot_Rates,EIOPA_RFR!$A13,FALSE)</f>
        <v>7.1859999999999993E-2</v>
      </c>
      <c r="AD4" s="12">
        <f>HLOOKUP(AD$2,EIOPA_Spot_Rates,EIOPA_RFR!$A13,FALSE)</f>
        <v>1.354E-2</v>
      </c>
      <c r="AE4" s="12">
        <f>HLOOKUP(AE$2,EIOPA_Spot_Rates,EIOPA_RFR!$A13,FALSE)</f>
        <v>4.0600000000000002E-3</v>
      </c>
      <c r="AF4" s="12">
        <f>HLOOKUP(AF$2,EIOPA_Spot_Rates,EIOPA_RFR!$A13,FALSE)</f>
        <v>1.4200000000000001E-2</v>
      </c>
      <c r="AG4" s="12">
        <f>HLOOKUP(AG$2,EIOPA_Spot_Rates,EIOPA_RFR!$A13,FALSE)</f>
        <v>0.12239999999999999</v>
      </c>
      <c r="AH4" s="12">
        <f>HLOOKUP(AH$2,EIOPA_Spot_Rates,EIOPA_RFR!$A13,FALSE)</f>
        <v>1.2279999999999999E-2</v>
      </c>
      <c r="AI4" s="127">
        <f>O4</f>
        <v>3.64E-3</v>
      </c>
      <c r="AJ4" s="16">
        <v>1</v>
      </c>
      <c r="AK4" s="12">
        <f>HLOOKUP(AK$2,Interest_Rate_Stresses_Setup!$C$6:$BC$47,Interest_Rate_Stresses_Setup!$A8,FALSE)</f>
        <v>6.8199999999999997E-3</v>
      </c>
      <c r="AL4" s="12">
        <f>HLOOKUP(AL$2,Interest_Rate_Stresses_Setup!$C$6:$BC$47,Interest_Rate_Stresses_Setup!$A8,FALSE)</f>
        <v>6.3200000000000001E-3</v>
      </c>
      <c r="AM4" s="12">
        <f>HLOOKUP(AM$2,Interest_Rate_Stresses_Setup!$C$6:$BC$47,Interest_Rate_Stresses_Setup!$A8,FALSE)</f>
        <v>1.379E-2</v>
      </c>
      <c r="AN4" s="12">
        <f>HLOOKUP(AN$2,Interest_Rate_Stresses_Setup!$C$6:$BC$47,Interest_Rate_Stresses_Setup!$A8,FALSE)</f>
        <v>1.197E-2</v>
      </c>
      <c r="AO4" s="12">
        <f>HLOOKUP(AO$2,Interest_Rate_Stresses_Setup!$C$6:$BC$47,Interest_Rate_Stresses_Setup!$A8,FALSE)</f>
        <v>6.7200000000000003E-3</v>
      </c>
      <c r="AP4" s="12">
        <f>HLOOKUP(AP$2,Interest_Rate_Stresses_Setup!$C$6:$BC$47,Interest_Rate_Stresses_Setup!$A8,FALSE)</f>
        <v>1.116E-2</v>
      </c>
      <c r="AQ4" s="12">
        <f>HLOOKUP(AQ$2,Interest_Rate_Stresses_Setup!$C$6:$BC$47,Interest_Rate_Stresses_Setup!$A8,FALSE)</f>
        <v>5.8349999999999999E-2</v>
      </c>
      <c r="AR4" s="12">
        <f>HLOOKUP(AR$2,Interest_Rate_Stresses_Setup!$C$6:$BC$47,Interest_Rate_Stresses_Setup!$A8,FALSE)</f>
        <v>2.2000000000000006E-3</v>
      </c>
      <c r="AS4" s="12">
        <f>HLOOKUP(AS$2,Interest_Rate_Stresses_Setup!$C$6:$BC$47,Interest_Rate_Stresses_Setup!$A8,FALSE)</f>
        <v>1.9E-2</v>
      </c>
      <c r="AT4" s="12">
        <f>HLOOKUP(AT$2,Interest_Rate_Stresses_Setup!$C$6:$BC$47,Interest_Rate_Stresses_Setup!$A8,FALSE)</f>
        <v>2.4510000000000001E-2</v>
      </c>
      <c r="AU4" s="12">
        <f>HLOOKUP(AU$2,Interest_Rate_Stresses_Setup!$C$6:$BC$47,Interest_Rate_Stresses_Setup!$A8,FALSE)</f>
        <v>1.959E-2</v>
      </c>
      <c r="AV4" s="12">
        <f>HLOOKUP(AV$2,Interest_Rate_Stresses_Setup!$C$6:$BC$47,Interest_Rate_Stresses_Setup!$A8,FALSE)</f>
        <v>0.10575</v>
      </c>
      <c r="AW4" s="12">
        <f>HLOOKUP(AW$2,Interest_Rate_Stresses_Setup!$C$6:$BC$47,Interest_Rate_Stresses_Setup!$A8,FALSE)</f>
        <v>4.5799999999999999E-3</v>
      </c>
      <c r="AX4" s="12">
        <f>HLOOKUP(AX$2,Interest_Rate_Stresses_Setup!$C$6:$BC$47,Interest_Rate_Stresses_Setup!$A8,FALSE)</f>
        <v>1.3639999999999999E-2</v>
      </c>
      <c r="AY4" s="12">
        <f>HLOOKUP(AY$2,Interest_Rate_Stresses_Setup!$C$6:$BC$47,Interest_Rate_Stresses_Setup!$A8,FALSE)</f>
        <v>2.826E-2</v>
      </c>
      <c r="AZ4" s="12">
        <f>HLOOKUP(AZ$2,Interest_Rate_Stresses_Setup!$C$6:$BC$47,Interest_Rate_Stresses_Setup!$A8,FALSE)</f>
        <v>0.1011</v>
      </c>
      <c r="BA4" s="12">
        <f>HLOOKUP(BA$2,Interest_Rate_Stresses_Setup!$C$6:$BC$47,Interest_Rate_Stresses_Setup!$A8,FALSE)</f>
        <v>1.779E-2</v>
      </c>
      <c r="BB4" s="12">
        <f>HLOOKUP(BB$2,Interest_Rate_Stresses_Setup!$C$6:$BC$47,Interest_Rate_Stresses_Setup!$A8,FALSE)</f>
        <v>3.4549999999999997E-2</v>
      </c>
      <c r="BC4" s="12">
        <f>HLOOKUP(BC$2,Interest_Rate_Stresses_Setup!$C$6:$BC$47,Interest_Rate_Stresses_Setup!$A8,FALSE)</f>
        <v>4.308E-2</v>
      </c>
      <c r="BD4" s="12">
        <f>HLOOKUP(BD$2,Interest_Rate_Stresses_Setup!$C$6:$BC$47,Interest_Rate_Stresses_Setup!$A8,FALSE)</f>
        <v>6.3219999999999998E-2</v>
      </c>
      <c r="BE4" s="12">
        <f>HLOOKUP(BE$2,Interest_Rate_Stresses_Setup!$C$6:$BC$47,Interest_Rate_Stresses_Setup!$A8,FALSE)</f>
        <v>2.0650000000000002E-2</v>
      </c>
      <c r="BF4" s="12">
        <f>HLOOKUP(BF$2,Interest_Rate_Stresses_Setup!$C$6:$BC$47,Interest_Rate_Stresses_Setup!$A8,FALSE)</f>
        <v>6.9199999999999998E-2</v>
      </c>
      <c r="BG4" s="12">
        <f>HLOOKUP(BG$2,Interest_Rate_Stresses_Setup!$C$6:$BC$47,Interest_Rate_Stresses_Setup!$A8,FALSE)</f>
        <v>9.4500000000000001E-3</v>
      </c>
      <c r="BH4" s="12">
        <f>HLOOKUP(BH$2,Interest_Rate_Stresses_Setup!$C$6:$BC$47,Interest_Rate_Stresses_Setup!$A8,FALSE)</f>
        <v>4.3770000000000003E-2</v>
      </c>
      <c r="BI4" s="12">
        <f>HLOOKUP(BI$2,Interest_Rate_Stresses_Setup!$C$6:$BC$47,Interest_Rate_Stresses_Setup!$A8,FALSE)</f>
        <v>7.9989999999999992E-2</v>
      </c>
      <c r="BJ4" s="12">
        <f>HLOOKUP(BJ$2,Interest_Rate_Stresses_Setup!$C$6:$BC$47,Interest_Rate_Stresses_Setup!$A8,FALSE)</f>
        <v>2.8589999999999997E-2</v>
      </c>
      <c r="BK4" s="12">
        <f>HLOOKUP(BK$2,Interest_Rate_Stresses_Setup!$C$6:$BC$47,Interest_Rate_Stresses_Setup!$A8,FALSE)</f>
        <v>2.1129999999999999E-2</v>
      </c>
      <c r="BL4" s="12">
        <f>HLOOKUP(BL$2,Interest_Rate_Stresses_Setup!$C$6:$BC$47,Interest_Rate_Stresses_Setup!$A8,FALSE)</f>
        <v>8.1859999999999988E-2</v>
      </c>
      <c r="BM4" s="12">
        <f>HLOOKUP(BM$2,Interest_Rate_Stresses_Setup!$C$6:$BC$47,Interest_Rate_Stresses_Setup!$A8,FALSE)</f>
        <v>2.3539999999999998E-2</v>
      </c>
      <c r="BN4" s="12">
        <f>HLOOKUP(BN$2,Interest_Rate_Stresses_Setup!$C$6:$BC$47,Interest_Rate_Stresses_Setup!$A8,FALSE)</f>
        <v>1.406E-2</v>
      </c>
      <c r="BO4" s="12">
        <f>HLOOKUP(BO$2,Interest_Rate_Stresses_Setup!$C$6:$BC$47,Interest_Rate_Stresses_Setup!$A8,FALSE)</f>
        <v>2.4199999999999999E-2</v>
      </c>
      <c r="BP4" s="12">
        <f>HLOOKUP(BP$2,Interest_Rate_Stresses_Setup!$C$6:$BC$47,Interest_Rate_Stresses_Setup!$A8,FALSE)</f>
        <v>0.13239999999999999</v>
      </c>
      <c r="BQ4" s="12">
        <f>HLOOKUP(BQ$2,Interest_Rate_Stresses_Setup!$C$6:$BC$47,Interest_Rate_Stresses_Setup!$A8,FALSE)</f>
        <v>2.2280000000000001E-2</v>
      </c>
      <c r="BR4" s="127">
        <f>AX4</f>
        <v>1.3639999999999999E-2</v>
      </c>
      <c r="BS4" s="16">
        <v>1</v>
      </c>
      <c r="BT4" s="12">
        <f>HLOOKUP(BT$2,Interest_Rate_Stresses_Setup!$C$50:$BC$91,Interest_Rate_Stresses_Setup!$A52,FALSE)</f>
        <v>-3.1800000000000001E-3</v>
      </c>
      <c r="BU4" s="12">
        <f>HLOOKUP(BU$2,Interest_Rate_Stresses_Setup!$C$50:$BC$91,Interest_Rate_Stresses_Setup!$A52,FALSE)</f>
        <v>-3.6800000000000001E-3</v>
      </c>
      <c r="BV4" s="12">
        <f>HLOOKUP(BV$2,Interest_Rate_Stresses_Setup!$C$50:$BC$91,Interest_Rate_Stresses_Setup!$A52,FALSE)</f>
        <v>9.4749999999999999E-4</v>
      </c>
      <c r="BW4" s="12">
        <f>HLOOKUP(BW$2,Interest_Rate_Stresses_Setup!$C$50:$BC$91,Interest_Rate_Stresses_Setup!$A52,FALSE)</f>
        <v>4.9249999999999999E-4</v>
      </c>
      <c r="BX4" s="12">
        <f>HLOOKUP(BX$2,Interest_Rate_Stresses_Setup!$C$50:$BC$91,Interest_Rate_Stresses_Setup!$A52,FALSE)</f>
        <v>-3.2799999999999999E-3</v>
      </c>
      <c r="BY4" s="12">
        <f>HLOOKUP(BY$2,Interest_Rate_Stresses_Setup!$C$50:$BC$91,Interest_Rate_Stresses_Setup!$A52,FALSE)</f>
        <v>2.9E-4</v>
      </c>
      <c r="BZ4" s="12">
        <f>HLOOKUP(BZ$2,Interest_Rate_Stresses_Setup!$C$50:$BC$91,Interest_Rate_Stresses_Setup!$A52,FALSE)</f>
        <v>1.2087499999999999E-2</v>
      </c>
      <c r="CA4" s="12">
        <f>HLOOKUP(CA$2,Interest_Rate_Stresses_Setup!$C$50:$BC$91,Interest_Rate_Stresses_Setup!$A52,FALSE)</f>
        <v>-7.7999999999999996E-3</v>
      </c>
      <c r="CB4" s="12">
        <f>HLOOKUP(CB$2,Interest_Rate_Stresses_Setup!$C$50:$BC$91,Interest_Rate_Stresses_Setup!$A52,FALSE)</f>
        <v>2.2499999999999998E-3</v>
      </c>
      <c r="CC4" s="12">
        <f>HLOOKUP(CC$2,Interest_Rate_Stresses_Setup!$C$50:$BC$91,Interest_Rate_Stresses_Setup!$A52,FALSE)</f>
        <v>3.6275000000000001E-3</v>
      </c>
      <c r="CD4" s="12">
        <f>HLOOKUP(CD$2,Interest_Rate_Stresses_Setup!$C$50:$BC$91,Interest_Rate_Stresses_Setup!$A52,FALSE)</f>
        <v>2.3974999999999999E-3</v>
      </c>
      <c r="CE4" s="12">
        <f>HLOOKUP(CE$2,Interest_Rate_Stresses_Setup!$C$50:$BC$91,Interest_Rate_Stresses_Setup!$A52,FALSE)</f>
        <v>2.39375E-2</v>
      </c>
      <c r="CF4" s="12">
        <f>HLOOKUP(CF$2,Interest_Rate_Stresses_Setup!$C$50:$BC$91,Interest_Rate_Stresses_Setup!$A52,FALSE)</f>
        <v>-5.4200000000000003E-3</v>
      </c>
      <c r="CG4" s="12">
        <f>HLOOKUP(CG$2,Interest_Rate_Stresses_Setup!$C$50:$BC$91,Interest_Rate_Stresses_Setup!$A52,FALSE)</f>
        <v>9.1E-4</v>
      </c>
      <c r="CH4" s="12">
        <f>HLOOKUP(CH$2,Interest_Rate_Stresses_Setup!$C$50:$BC$91,Interest_Rate_Stresses_Setup!$A52,FALSE)</f>
        <v>4.5649999999999996E-3</v>
      </c>
      <c r="CI4" s="12">
        <f>HLOOKUP(CI$2,Interest_Rate_Stresses_Setup!$C$50:$BC$91,Interest_Rate_Stresses_Setup!$A52,FALSE)</f>
        <v>2.2775E-2</v>
      </c>
      <c r="CJ4" s="12">
        <f>HLOOKUP(CJ$2,Interest_Rate_Stresses_Setup!$C$50:$BC$91,Interest_Rate_Stresses_Setup!$A52,FALSE)</f>
        <v>1.9475E-3</v>
      </c>
      <c r="CK4" s="12">
        <f>HLOOKUP(CK$2,Interest_Rate_Stresses_Setup!$C$50:$BC$91,Interest_Rate_Stresses_Setup!$A52,FALSE)</f>
        <v>6.1374999999999997E-3</v>
      </c>
      <c r="CL4" s="12">
        <f>HLOOKUP(CL$2,Interest_Rate_Stresses_Setup!$C$50:$BC$91,Interest_Rate_Stresses_Setup!$A52,FALSE)</f>
        <v>8.2699999999999996E-3</v>
      </c>
      <c r="CM4" s="12">
        <f>HLOOKUP(CM$2,Interest_Rate_Stresses_Setup!$C$50:$BC$91,Interest_Rate_Stresses_Setup!$A52,FALSE)</f>
        <v>1.3305000000000001E-2</v>
      </c>
      <c r="CN4" s="12">
        <f>HLOOKUP(CN$2,Interest_Rate_Stresses_Setup!$C$50:$BC$91,Interest_Rate_Stresses_Setup!$A52,FALSE)</f>
        <v>2.6624999999999999E-3</v>
      </c>
      <c r="CO4" s="12">
        <f>HLOOKUP(CO$2,Interest_Rate_Stresses_Setup!$C$50:$BC$91,Interest_Rate_Stresses_Setup!$A52,FALSE)</f>
        <v>1.4800000000000001E-2</v>
      </c>
      <c r="CP4" s="12">
        <f>HLOOKUP(CP$2,Interest_Rate_Stresses_Setup!$C$50:$BC$91,Interest_Rate_Stresses_Setup!$A52,FALSE)</f>
        <v>-5.5000000000000003E-4</v>
      </c>
      <c r="CQ4" s="12">
        <f>HLOOKUP(CQ$2,Interest_Rate_Stresses_Setup!$C$50:$BC$91,Interest_Rate_Stresses_Setup!$A52,FALSE)</f>
        <v>8.4425000000000004E-3</v>
      </c>
      <c r="CR4" s="12">
        <f>HLOOKUP(CR$2,Interest_Rate_Stresses_Setup!$C$50:$BC$91,Interest_Rate_Stresses_Setup!$A52,FALSE)</f>
        <v>1.7497499999999999E-2</v>
      </c>
      <c r="CS4" s="12">
        <f>HLOOKUP(CS$2,Interest_Rate_Stresses_Setup!$C$50:$BC$91,Interest_Rate_Stresses_Setup!$A52,FALSE)</f>
        <v>4.6474999999999997E-3</v>
      </c>
      <c r="CT4" s="12">
        <f>HLOOKUP(CT$2,Interest_Rate_Stresses_Setup!$C$50:$BC$91,Interest_Rate_Stresses_Setup!$A52,FALSE)</f>
        <v>2.7824999999999998E-3</v>
      </c>
      <c r="CU4" s="12">
        <f>HLOOKUP(CU$2,Interest_Rate_Stresses_Setup!$C$50:$BC$91,Interest_Rate_Stresses_Setup!$A52,FALSE)</f>
        <v>1.7964999999999998E-2</v>
      </c>
      <c r="CV4" s="12">
        <f>HLOOKUP(CV$2,Interest_Rate_Stresses_Setup!$C$50:$BC$91,Interest_Rate_Stresses_Setup!$A52,FALSE)</f>
        <v>3.385E-3</v>
      </c>
      <c r="CW4" s="12">
        <f>HLOOKUP(CW$2,Interest_Rate_Stresses_Setup!$C$50:$BC$91,Interest_Rate_Stresses_Setup!$A52,FALSE)</f>
        <v>1.0150000000000001E-3</v>
      </c>
      <c r="CX4" s="12">
        <f>HLOOKUP(CX$2,Interest_Rate_Stresses_Setup!$C$50:$BC$91,Interest_Rate_Stresses_Setup!$A52,FALSE)</f>
        <v>3.5500000000000002E-3</v>
      </c>
      <c r="CY4" s="12">
        <f>HLOOKUP(CY$2,Interest_Rate_Stresses_Setup!$C$50:$BC$91,Interest_Rate_Stresses_Setup!$A52,FALSE)</f>
        <v>3.0599999999999999E-2</v>
      </c>
      <c r="CZ4" s="12">
        <f>HLOOKUP(CZ$2,Interest_Rate_Stresses_Setup!$C$50:$BC$91,Interest_Rate_Stresses_Setup!$A52,FALSE)</f>
        <v>3.0699999999999998E-3</v>
      </c>
      <c r="DA4" s="127">
        <f>CG4</f>
        <v>9.1E-4</v>
      </c>
    </row>
    <row r="5" spans="1:105" x14ac:dyDescent="0.25">
      <c r="A5" s="11">
        <v>2</v>
      </c>
      <c r="B5" s="12">
        <f>HLOOKUP(B$2,EIOPA_Spot_Rates,EIOPA_RFR!$A14,FALSE)</f>
        <v>-2.3E-3</v>
      </c>
      <c r="C5" s="12">
        <f>HLOOKUP(C$2,EIOPA_Spot_Rates,EIOPA_RFR!$A14,FALSE)</f>
        <v>-2.8E-3</v>
      </c>
      <c r="D5" s="12">
        <f>HLOOKUP(D$2,EIOPA_Spot_Rates,EIOPA_RFR!$A14,FALSE)</f>
        <v>1.014E-2</v>
      </c>
      <c r="E5" s="12">
        <f>HLOOKUP(E$2,EIOPA_Spot_Rates,EIOPA_RFR!$A14,FALSE)</f>
        <v>3.5000000000000001E-3</v>
      </c>
      <c r="F5" s="12">
        <f>HLOOKUP(F$2,EIOPA_Spot_Rates,EIOPA_RFR!$A14,FALSE)</f>
        <v>-2.3999999999999998E-3</v>
      </c>
      <c r="G5" s="12">
        <f>HLOOKUP(G$2,EIOPA_Spot_Rates,EIOPA_RFR!$A14,FALSE)</f>
        <v>7.4799999999999997E-3</v>
      </c>
      <c r="H5" s="12">
        <f>HLOOKUP(H$2,EIOPA_Spot_Rates,EIOPA_RFR!$A14,FALSE)</f>
        <v>4.8399999999999999E-2</v>
      </c>
      <c r="I5" s="12">
        <f>HLOOKUP(I$2,EIOPA_Spot_Rates,EIOPA_RFR!$A14,FALSE)</f>
        <v>-7.3499999999999998E-3</v>
      </c>
      <c r="J5" s="12">
        <f>HLOOKUP(J$2,EIOPA_Spot_Rates,EIOPA_RFR!$A14,FALSE)</f>
        <v>1.076E-2</v>
      </c>
      <c r="K5" s="12">
        <f>HLOOKUP(K$2,EIOPA_Spot_Rates,EIOPA_RFR!$A14,FALSE)</f>
        <v>1.8370000000000001E-2</v>
      </c>
      <c r="L5" s="12">
        <f>HLOOKUP(L$2,EIOPA_Spot_Rates,EIOPA_RFR!$A14,FALSE)</f>
        <v>1.452E-2</v>
      </c>
      <c r="M5" s="12">
        <f>HLOOKUP(M$2,EIOPA_Spot_Rates,EIOPA_RFR!$A14,FALSE)</f>
        <v>8.7970000000000007E-2</v>
      </c>
      <c r="N5" s="12">
        <f>HLOOKUP(N$2,EIOPA_Spot_Rates,EIOPA_RFR!$A14,FALSE)</f>
        <v>-3.7499999999999999E-3</v>
      </c>
      <c r="O5" s="12">
        <f>HLOOKUP(O$2,EIOPA_Spot_Rates,EIOPA_RFR!$A14,FALSE)</f>
        <v>4.4999999999999997E-3</v>
      </c>
      <c r="P5" s="12">
        <f>HLOOKUP(P$2,EIOPA_Spot_Rates,EIOPA_RFR!$A14,FALSE)</f>
        <v>1.9529999999999999E-2</v>
      </c>
      <c r="Q5" s="12">
        <f>HLOOKUP(Q$2,EIOPA_Spot_Rates,EIOPA_RFR!$A14,FALSE)</f>
        <v>8.8279999999999997E-2</v>
      </c>
      <c r="R5" s="12">
        <f>HLOOKUP(R$2,EIOPA_Spot_Rates,EIOPA_RFR!$A14,FALSE)</f>
        <v>8.9099999999999995E-3</v>
      </c>
      <c r="S5" s="12">
        <f>HLOOKUP(S$2,EIOPA_Spot_Rates,EIOPA_RFR!$A14,FALSE)</f>
        <v>2.63E-2</v>
      </c>
      <c r="T5" s="12">
        <f>HLOOKUP(T$2,EIOPA_Spot_Rates,EIOPA_RFR!$A14,FALSE)</f>
        <v>3.3910000000000003E-2</v>
      </c>
      <c r="U5" s="12">
        <f>HLOOKUP(U$2,EIOPA_Spot_Rates,EIOPA_RFR!$A14,FALSE)</f>
        <v>5.3679999999999999E-2</v>
      </c>
      <c r="V5" s="12">
        <f>HLOOKUP(V$2,EIOPA_Spot_Rates,EIOPA_RFR!$A14,FALSE)</f>
        <v>1.349E-2</v>
      </c>
      <c r="W5" s="12">
        <f>HLOOKUP(W$2,EIOPA_Spot_Rates,EIOPA_RFR!$A14,FALSE)</f>
        <v>6.0519999999999997E-2</v>
      </c>
      <c r="X5" s="12">
        <f>HLOOKUP(X$2,EIOPA_Spot_Rates,EIOPA_RFR!$A14,FALSE)</f>
        <v>-4.6999999999999999E-4</v>
      </c>
      <c r="Y5" s="12">
        <f>HLOOKUP(Y$2,EIOPA_Spot_Rates,EIOPA_RFR!$A14,FALSE)</f>
        <v>3.4819999999999997E-2</v>
      </c>
      <c r="Z5" s="12">
        <f>HLOOKUP(Z$2,EIOPA_Spot_Rates,EIOPA_RFR!$A14,FALSE)</f>
        <v>7.0129999999999998E-2</v>
      </c>
      <c r="AA5" s="12">
        <f>HLOOKUP(AA$2,EIOPA_Spot_Rates,EIOPA_RFR!$A14,FALSE)</f>
        <v>2.1059999999999999E-2</v>
      </c>
      <c r="AB5" s="12">
        <f>HLOOKUP(AB$2,EIOPA_Spot_Rates,EIOPA_RFR!$A14,FALSE)</f>
        <v>1.3899999999999999E-2</v>
      </c>
      <c r="AC5" s="12">
        <f>HLOOKUP(AC$2,EIOPA_Spot_Rates,EIOPA_RFR!$A14,FALSE)</f>
        <v>7.1809999999999999E-2</v>
      </c>
      <c r="AD5" s="12">
        <f>HLOOKUP(AD$2,EIOPA_Spot_Rates,EIOPA_RFR!$A14,FALSE)</f>
        <v>1.426E-2</v>
      </c>
      <c r="AE5" s="12">
        <f>HLOOKUP(AE$2,EIOPA_Spot_Rates,EIOPA_RFR!$A14,FALSE)</f>
        <v>5.2700000000000004E-3</v>
      </c>
      <c r="AF5" s="12">
        <f>HLOOKUP(AF$2,EIOPA_Spot_Rates,EIOPA_RFR!$A14,FALSE)</f>
        <v>1.5570000000000001E-2</v>
      </c>
      <c r="AG5" s="12">
        <f>HLOOKUP(AG$2,EIOPA_Spot_Rates,EIOPA_RFR!$A14,FALSE)</f>
        <v>0.11933000000000001</v>
      </c>
      <c r="AH5" s="12">
        <f>HLOOKUP(AH$2,EIOPA_Spot_Rates,EIOPA_RFR!$A14,FALSE)</f>
        <v>1.465E-2</v>
      </c>
      <c r="AI5" s="127">
        <f t="shared" ref="AI5:AI68" si="0">O5</f>
        <v>4.4999999999999997E-3</v>
      </c>
      <c r="AJ5" s="16">
        <v>2</v>
      </c>
      <c r="AK5" s="12">
        <f>HLOOKUP(AK$2,Interest_Rate_Stresses_Setup!$C$6:$BC$47,Interest_Rate_Stresses_Setup!$A9,FALSE)</f>
        <v>7.7000000000000002E-3</v>
      </c>
      <c r="AL5" s="12">
        <f>HLOOKUP(AL$2,Interest_Rate_Stresses_Setup!$C$6:$BC$47,Interest_Rate_Stresses_Setup!$A9,FALSE)</f>
        <v>7.1999999999999998E-3</v>
      </c>
      <c r="AM5" s="12">
        <f>HLOOKUP(AM$2,Interest_Rate_Stresses_Setup!$C$6:$BC$47,Interest_Rate_Stresses_Setup!$A9,FALSE)</f>
        <v>2.0139999999999998E-2</v>
      </c>
      <c r="AN5" s="12">
        <f>HLOOKUP(AN$2,Interest_Rate_Stresses_Setup!$C$6:$BC$47,Interest_Rate_Stresses_Setup!$A9,FALSE)</f>
        <v>1.35E-2</v>
      </c>
      <c r="AO5" s="12">
        <f>HLOOKUP(AO$2,Interest_Rate_Stresses_Setup!$C$6:$BC$47,Interest_Rate_Stresses_Setup!$A9,FALSE)</f>
        <v>7.6000000000000009E-3</v>
      </c>
      <c r="AP5" s="12">
        <f>HLOOKUP(AP$2,Interest_Rate_Stresses_Setup!$C$6:$BC$47,Interest_Rate_Stresses_Setup!$A9,FALSE)</f>
        <v>1.7479999999999999E-2</v>
      </c>
      <c r="AQ5" s="12">
        <f>HLOOKUP(AQ$2,Interest_Rate_Stresses_Setup!$C$6:$BC$47,Interest_Rate_Stresses_Setup!$A9,FALSE)</f>
        <v>5.8400000000000001E-2</v>
      </c>
      <c r="AR5" s="12">
        <f>HLOOKUP(AR$2,Interest_Rate_Stresses_Setup!$C$6:$BC$47,Interest_Rate_Stresses_Setup!$A9,FALSE)</f>
        <v>2.6500000000000004E-3</v>
      </c>
      <c r="AS5" s="12">
        <f>HLOOKUP(AS$2,Interest_Rate_Stresses_Setup!$C$6:$BC$47,Interest_Rate_Stresses_Setup!$A9,FALSE)</f>
        <v>2.0760000000000001E-2</v>
      </c>
      <c r="AT5" s="12">
        <f>HLOOKUP(AT$2,Interest_Rate_Stresses_Setup!$C$6:$BC$47,Interest_Rate_Stresses_Setup!$A9,FALSE)</f>
        <v>2.8369999999999999E-2</v>
      </c>
      <c r="AU5" s="12">
        <f>HLOOKUP(AU$2,Interest_Rate_Stresses_Setup!$C$6:$BC$47,Interest_Rate_Stresses_Setup!$A9,FALSE)</f>
        <v>2.452E-2</v>
      </c>
      <c r="AV5" s="12">
        <f>HLOOKUP(AV$2,Interest_Rate_Stresses_Setup!$C$6:$BC$47,Interest_Rate_Stresses_Setup!$A9,FALSE)</f>
        <v>9.7970000000000002E-2</v>
      </c>
      <c r="AW5" s="12">
        <f>HLOOKUP(AW$2,Interest_Rate_Stresses_Setup!$C$6:$BC$47,Interest_Rate_Stresses_Setup!$A9,FALSE)</f>
        <v>6.2500000000000003E-3</v>
      </c>
      <c r="AX5" s="12">
        <f>HLOOKUP(AX$2,Interest_Rate_Stresses_Setup!$C$6:$BC$47,Interest_Rate_Stresses_Setup!$A9,FALSE)</f>
        <v>1.4499999999999999E-2</v>
      </c>
      <c r="AY5" s="12">
        <f>HLOOKUP(AY$2,Interest_Rate_Stresses_Setup!$C$6:$BC$47,Interest_Rate_Stresses_Setup!$A9,FALSE)</f>
        <v>2.9530000000000001E-2</v>
      </c>
      <c r="AZ5" s="12">
        <f>HLOOKUP(AZ$2,Interest_Rate_Stresses_Setup!$C$6:$BC$47,Interest_Rate_Stresses_Setup!$A9,FALSE)</f>
        <v>9.8279999999999992E-2</v>
      </c>
      <c r="BA5" s="12">
        <f>HLOOKUP(BA$2,Interest_Rate_Stresses_Setup!$C$6:$BC$47,Interest_Rate_Stresses_Setup!$A9,FALSE)</f>
        <v>1.891E-2</v>
      </c>
      <c r="BB5" s="12">
        <f>HLOOKUP(BB$2,Interest_Rate_Stresses_Setup!$C$6:$BC$47,Interest_Rate_Stresses_Setup!$A9,FALSE)</f>
        <v>3.6299999999999999E-2</v>
      </c>
      <c r="BC5" s="12">
        <f>HLOOKUP(BC$2,Interest_Rate_Stresses_Setup!$C$6:$BC$47,Interest_Rate_Stresses_Setup!$A9,FALSE)</f>
        <v>4.3910000000000005E-2</v>
      </c>
      <c r="BD5" s="12">
        <f>HLOOKUP(BD$2,Interest_Rate_Stresses_Setup!$C$6:$BC$47,Interest_Rate_Stresses_Setup!$A9,FALSE)</f>
        <v>6.368E-2</v>
      </c>
      <c r="BE5" s="12">
        <f>HLOOKUP(BE$2,Interest_Rate_Stresses_Setup!$C$6:$BC$47,Interest_Rate_Stresses_Setup!$A9,FALSE)</f>
        <v>2.349E-2</v>
      </c>
      <c r="BF5" s="12">
        <f>HLOOKUP(BF$2,Interest_Rate_Stresses_Setup!$C$6:$BC$47,Interest_Rate_Stresses_Setup!$A9,FALSE)</f>
        <v>7.0519999999999999E-2</v>
      </c>
      <c r="BG5" s="12">
        <f>HLOOKUP(BG$2,Interest_Rate_Stresses_Setup!$C$6:$BC$47,Interest_Rate_Stresses_Setup!$A9,FALSE)</f>
        <v>9.5300000000000003E-3</v>
      </c>
      <c r="BH5" s="12">
        <f>HLOOKUP(BH$2,Interest_Rate_Stresses_Setup!$C$6:$BC$47,Interest_Rate_Stresses_Setup!$A9,FALSE)</f>
        <v>4.4819999999999999E-2</v>
      </c>
      <c r="BI5" s="12">
        <f>HLOOKUP(BI$2,Interest_Rate_Stresses_Setup!$C$6:$BC$47,Interest_Rate_Stresses_Setup!$A9,FALSE)</f>
        <v>8.0129999999999993E-2</v>
      </c>
      <c r="BJ5" s="12">
        <f>HLOOKUP(BJ$2,Interest_Rate_Stresses_Setup!$C$6:$BC$47,Interest_Rate_Stresses_Setup!$A9,FALSE)</f>
        <v>3.1059999999999997E-2</v>
      </c>
      <c r="BK5" s="12">
        <f>HLOOKUP(BK$2,Interest_Rate_Stresses_Setup!$C$6:$BC$47,Interest_Rate_Stresses_Setup!$A9,FALSE)</f>
        <v>2.3899999999999998E-2</v>
      </c>
      <c r="BL5" s="12">
        <f>HLOOKUP(BL$2,Interest_Rate_Stresses_Setup!$C$6:$BC$47,Interest_Rate_Stresses_Setup!$A9,FALSE)</f>
        <v>8.1809999999999994E-2</v>
      </c>
      <c r="BM5" s="12">
        <f>HLOOKUP(BM$2,Interest_Rate_Stresses_Setup!$C$6:$BC$47,Interest_Rate_Stresses_Setup!$A9,FALSE)</f>
        <v>2.426E-2</v>
      </c>
      <c r="BN5" s="12">
        <f>HLOOKUP(BN$2,Interest_Rate_Stresses_Setup!$C$6:$BC$47,Interest_Rate_Stresses_Setup!$A9,FALSE)</f>
        <v>1.5270000000000001E-2</v>
      </c>
      <c r="BO5" s="12">
        <f>HLOOKUP(BO$2,Interest_Rate_Stresses_Setup!$C$6:$BC$47,Interest_Rate_Stresses_Setup!$A9,FALSE)</f>
        <v>2.5570000000000002E-2</v>
      </c>
      <c r="BP5" s="12">
        <f>HLOOKUP(BP$2,Interest_Rate_Stresses_Setup!$C$6:$BC$47,Interest_Rate_Stresses_Setup!$A9,FALSE)</f>
        <v>0.12933</v>
      </c>
      <c r="BQ5" s="12">
        <f>HLOOKUP(BQ$2,Interest_Rate_Stresses_Setup!$C$6:$BC$47,Interest_Rate_Stresses_Setup!$A9,FALSE)</f>
        <v>2.4649999999999998E-2</v>
      </c>
      <c r="BR5" s="127">
        <f t="shared" ref="BR5:BR68" si="1">AX5</f>
        <v>1.4499999999999999E-2</v>
      </c>
      <c r="BS5" s="16">
        <v>2</v>
      </c>
      <c r="BT5" s="12">
        <f>HLOOKUP(BT$2,Interest_Rate_Stresses_Setup!$C$50:$BC$91,Interest_Rate_Stresses_Setup!$A53,FALSE)</f>
        <v>-2.3E-3</v>
      </c>
      <c r="BU5" s="12">
        <f>HLOOKUP(BU$2,Interest_Rate_Stresses_Setup!$C$50:$BC$91,Interest_Rate_Stresses_Setup!$A53,FALSE)</f>
        <v>-2.8E-3</v>
      </c>
      <c r="BV5" s="12">
        <f>HLOOKUP(BV$2,Interest_Rate_Stresses_Setup!$C$50:$BC$91,Interest_Rate_Stresses_Setup!$A53,FALSE)</f>
        <v>3.5489999999999996E-3</v>
      </c>
      <c r="BW5" s="12">
        <f>HLOOKUP(BW$2,Interest_Rate_Stresses_Setup!$C$50:$BC$91,Interest_Rate_Stresses_Setup!$A53,FALSE)</f>
        <v>1.225E-3</v>
      </c>
      <c r="BX5" s="12">
        <f>HLOOKUP(BX$2,Interest_Rate_Stresses_Setup!$C$50:$BC$91,Interest_Rate_Stresses_Setup!$A53,FALSE)</f>
        <v>-2.3999999999999998E-3</v>
      </c>
      <c r="BY5" s="12">
        <f>HLOOKUP(BY$2,Interest_Rate_Stresses_Setup!$C$50:$BC$91,Interest_Rate_Stresses_Setup!$A53,FALSE)</f>
        <v>2.6179999999999997E-3</v>
      </c>
      <c r="BZ5" s="12">
        <f>HLOOKUP(BZ$2,Interest_Rate_Stresses_Setup!$C$50:$BC$91,Interest_Rate_Stresses_Setup!$A53,FALSE)</f>
        <v>1.6939999999999997E-2</v>
      </c>
      <c r="CA5" s="12">
        <f>HLOOKUP(CA$2,Interest_Rate_Stresses_Setup!$C$50:$BC$91,Interest_Rate_Stresses_Setup!$A53,FALSE)</f>
        <v>-7.3499999999999998E-3</v>
      </c>
      <c r="CB5" s="12">
        <f>HLOOKUP(CB$2,Interest_Rate_Stresses_Setup!$C$50:$BC$91,Interest_Rate_Stresses_Setup!$A53,FALSE)</f>
        <v>3.7659999999999998E-3</v>
      </c>
      <c r="CC5" s="12">
        <f>HLOOKUP(CC$2,Interest_Rate_Stresses_Setup!$C$50:$BC$91,Interest_Rate_Stresses_Setup!$A53,FALSE)</f>
        <v>6.4295000000000003E-3</v>
      </c>
      <c r="CD5" s="12">
        <f>HLOOKUP(CD$2,Interest_Rate_Stresses_Setup!$C$50:$BC$91,Interest_Rate_Stresses_Setup!$A53,FALSE)</f>
        <v>5.0819999999999997E-3</v>
      </c>
      <c r="CE5" s="12">
        <f>HLOOKUP(CE$2,Interest_Rate_Stresses_Setup!$C$50:$BC$91,Interest_Rate_Stresses_Setup!$A53,FALSE)</f>
        <v>3.0789500000000001E-2</v>
      </c>
      <c r="CF5" s="12">
        <f>HLOOKUP(CF$2,Interest_Rate_Stresses_Setup!$C$50:$BC$91,Interest_Rate_Stresses_Setup!$A53,FALSE)</f>
        <v>-3.7499999999999999E-3</v>
      </c>
      <c r="CG5" s="12">
        <f>HLOOKUP(CG$2,Interest_Rate_Stresses_Setup!$C$50:$BC$91,Interest_Rate_Stresses_Setup!$A53,FALSE)</f>
        <v>1.5749999999999998E-3</v>
      </c>
      <c r="CH5" s="12">
        <f>HLOOKUP(CH$2,Interest_Rate_Stresses_Setup!$C$50:$BC$91,Interest_Rate_Stresses_Setup!$A53,FALSE)</f>
        <v>6.8354999999999996E-3</v>
      </c>
      <c r="CI5" s="12">
        <f>HLOOKUP(CI$2,Interest_Rate_Stresses_Setup!$C$50:$BC$91,Interest_Rate_Stresses_Setup!$A53,FALSE)</f>
        <v>3.0897999999999998E-2</v>
      </c>
      <c r="CJ5" s="12">
        <f>HLOOKUP(CJ$2,Interest_Rate_Stresses_Setup!$C$50:$BC$91,Interest_Rate_Stresses_Setup!$A53,FALSE)</f>
        <v>3.1184999999999997E-3</v>
      </c>
      <c r="CK5" s="12">
        <f>HLOOKUP(CK$2,Interest_Rate_Stresses_Setup!$C$50:$BC$91,Interest_Rate_Stresses_Setup!$A53,FALSE)</f>
        <v>9.2049999999999996E-3</v>
      </c>
      <c r="CL5" s="12">
        <f>HLOOKUP(CL$2,Interest_Rate_Stresses_Setup!$C$50:$BC$91,Interest_Rate_Stresses_Setup!$A53,FALSE)</f>
        <v>1.1868500000000001E-2</v>
      </c>
      <c r="CM5" s="12">
        <f>HLOOKUP(CM$2,Interest_Rate_Stresses_Setup!$C$50:$BC$91,Interest_Rate_Stresses_Setup!$A53,FALSE)</f>
        <v>1.8787999999999999E-2</v>
      </c>
      <c r="CN5" s="12">
        <f>HLOOKUP(CN$2,Interest_Rate_Stresses_Setup!$C$50:$BC$91,Interest_Rate_Stresses_Setup!$A53,FALSE)</f>
        <v>4.7215E-3</v>
      </c>
      <c r="CO5" s="12">
        <f>HLOOKUP(CO$2,Interest_Rate_Stresses_Setup!$C$50:$BC$91,Interest_Rate_Stresses_Setup!$A53,FALSE)</f>
        <v>2.1181999999999999E-2</v>
      </c>
      <c r="CP5" s="12">
        <f>HLOOKUP(CP$2,Interest_Rate_Stresses_Setup!$C$50:$BC$91,Interest_Rate_Stresses_Setup!$A53,FALSE)</f>
        <v>-4.6999999999999999E-4</v>
      </c>
      <c r="CQ5" s="12">
        <f>HLOOKUP(CQ$2,Interest_Rate_Stresses_Setup!$C$50:$BC$91,Interest_Rate_Stresses_Setup!$A53,FALSE)</f>
        <v>1.2186999999999998E-2</v>
      </c>
      <c r="CR5" s="12">
        <f>HLOOKUP(CR$2,Interest_Rate_Stresses_Setup!$C$50:$BC$91,Interest_Rate_Stresses_Setup!$A53,FALSE)</f>
        <v>2.4545499999999998E-2</v>
      </c>
      <c r="CS5" s="12">
        <f>HLOOKUP(CS$2,Interest_Rate_Stresses_Setup!$C$50:$BC$91,Interest_Rate_Stresses_Setup!$A53,FALSE)</f>
        <v>7.3709999999999991E-3</v>
      </c>
      <c r="CT5" s="12">
        <f>HLOOKUP(CT$2,Interest_Rate_Stresses_Setup!$C$50:$BC$91,Interest_Rate_Stresses_Setup!$A53,FALSE)</f>
        <v>4.8649999999999995E-3</v>
      </c>
      <c r="CU5" s="12">
        <f>HLOOKUP(CU$2,Interest_Rate_Stresses_Setup!$C$50:$BC$91,Interest_Rate_Stresses_Setup!$A53,FALSE)</f>
        <v>2.51335E-2</v>
      </c>
      <c r="CV5" s="12">
        <f>HLOOKUP(CV$2,Interest_Rate_Stresses_Setup!$C$50:$BC$91,Interest_Rate_Stresses_Setup!$A53,FALSE)</f>
        <v>4.9909999999999998E-3</v>
      </c>
      <c r="CW5" s="12">
        <f>HLOOKUP(CW$2,Interest_Rate_Stresses_Setup!$C$50:$BC$91,Interest_Rate_Stresses_Setup!$A53,FALSE)</f>
        <v>1.8445E-3</v>
      </c>
      <c r="CX5" s="12">
        <f>HLOOKUP(CX$2,Interest_Rate_Stresses_Setup!$C$50:$BC$91,Interest_Rate_Stresses_Setup!$A53,FALSE)</f>
        <v>5.4494999999999995E-3</v>
      </c>
      <c r="CY5" s="12">
        <f>HLOOKUP(CY$2,Interest_Rate_Stresses_Setup!$C$50:$BC$91,Interest_Rate_Stresses_Setup!$A53,FALSE)</f>
        <v>4.1765499999999997E-2</v>
      </c>
      <c r="CZ5" s="12">
        <f>HLOOKUP(CZ$2,Interest_Rate_Stresses_Setup!$C$50:$BC$91,Interest_Rate_Stresses_Setup!$A53,FALSE)</f>
        <v>5.1274999999999992E-3</v>
      </c>
      <c r="DA5" s="127">
        <f t="shared" ref="DA5:DA68" si="2">CG5</f>
        <v>1.5749999999999998E-3</v>
      </c>
    </row>
    <row r="6" spans="1:105" x14ac:dyDescent="0.25">
      <c r="A6" s="11">
        <v>3</v>
      </c>
      <c r="B6" s="12">
        <f>HLOOKUP(B$2,EIOPA_Spot_Rates,EIOPA_RFR!$A15,FALSE)</f>
        <v>-1.39E-3</v>
      </c>
      <c r="C6" s="12">
        <f>HLOOKUP(C$2,EIOPA_Spot_Rates,EIOPA_RFR!$A15,FALSE)</f>
        <v>-1.89E-3</v>
      </c>
      <c r="D6" s="12">
        <f>HLOOKUP(D$2,EIOPA_Spot_Rates,EIOPA_RFR!$A15,FALSE)</f>
        <v>1.6E-2</v>
      </c>
      <c r="E6" s="12">
        <f>HLOOKUP(E$2,EIOPA_Spot_Rates,EIOPA_RFR!$A15,FALSE)</f>
        <v>4.3400000000000001E-3</v>
      </c>
      <c r="F6" s="12">
        <f>HLOOKUP(F$2,EIOPA_Spot_Rates,EIOPA_RFR!$A15,FALSE)</f>
        <v>-1.49E-3</v>
      </c>
      <c r="G6" s="12">
        <f>HLOOKUP(G$2,EIOPA_Spot_Rates,EIOPA_RFR!$A15,FALSE)</f>
        <v>9.5999999999999992E-3</v>
      </c>
      <c r="H6" s="12">
        <f>HLOOKUP(H$2,EIOPA_Spot_Rates,EIOPA_RFR!$A15,FALSE)</f>
        <v>4.8399999999999999E-2</v>
      </c>
      <c r="I6" s="12">
        <f>HLOOKUP(I$2,EIOPA_Spot_Rates,EIOPA_RFR!$A15,FALSE)</f>
        <v>-6.4799999999999996E-3</v>
      </c>
      <c r="J6" s="12">
        <f>HLOOKUP(J$2,EIOPA_Spot_Rates,EIOPA_RFR!$A15,FALSE)</f>
        <v>1.1820000000000001E-2</v>
      </c>
      <c r="K6" s="12">
        <f>HLOOKUP(K$2,EIOPA_Spot_Rates,EIOPA_RFR!$A15,FALSE)</f>
        <v>2.198E-2</v>
      </c>
      <c r="L6" s="12">
        <f>HLOOKUP(L$2,EIOPA_Spot_Rates,EIOPA_RFR!$A15,FALSE)</f>
        <v>1.941E-2</v>
      </c>
      <c r="M6" s="12">
        <f>HLOOKUP(M$2,EIOPA_Spot_Rates,EIOPA_RFR!$A15,FALSE)</f>
        <v>8.4180000000000005E-2</v>
      </c>
      <c r="N6" s="12">
        <f>HLOOKUP(N$2,EIOPA_Spot_Rates,EIOPA_RFR!$A15,FALSE)</f>
        <v>-1.6199999999999999E-3</v>
      </c>
      <c r="O6" s="12">
        <f>HLOOKUP(O$2,EIOPA_Spot_Rates,EIOPA_RFR!$A15,FALSE)</f>
        <v>5.3299999999999997E-3</v>
      </c>
      <c r="P6" s="12">
        <f>HLOOKUP(P$2,EIOPA_Spot_Rates,EIOPA_RFR!$A15,FALSE)</f>
        <v>2.0879999999999999E-2</v>
      </c>
      <c r="Q6" s="12">
        <f>HLOOKUP(Q$2,EIOPA_Spot_Rates,EIOPA_RFR!$A15,FALSE)</f>
        <v>9.0380000000000002E-2</v>
      </c>
      <c r="R6" s="12">
        <f>HLOOKUP(R$2,EIOPA_Spot_Rates,EIOPA_RFR!$A15,FALSE)</f>
        <v>1.0410000000000001E-2</v>
      </c>
      <c r="S6" s="12">
        <f>HLOOKUP(S$2,EIOPA_Spot_Rates,EIOPA_RFR!$A15,FALSE)</f>
        <v>2.8799999999999999E-2</v>
      </c>
      <c r="T6" s="12">
        <f>HLOOKUP(T$2,EIOPA_Spot_Rates,EIOPA_RFR!$A15,FALSE)</f>
        <v>3.4520000000000002E-2</v>
      </c>
      <c r="U6" s="12">
        <f>HLOOKUP(U$2,EIOPA_Spot_Rates,EIOPA_RFR!$A15,FALSE)</f>
        <v>5.4859999999999999E-2</v>
      </c>
      <c r="V6" s="12">
        <f>HLOOKUP(V$2,EIOPA_Spot_Rates,EIOPA_RFR!$A15,FALSE)</f>
        <v>1.5640000000000001E-2</v>
      </c>
      <c r="W6" s="12">
        <f>HLOOKUP(W$2,EIOPA_Spot_Rates,EIOPA_RFR!$A15,FALSE)</f>
        <v>6.1719999999999997E-2</v>
      </c>
      <c r="X6" s="12">
        <f>HLOOKUP(X$2,EIOPA_Spot_Rates,EIOPA_RFR!$A15,FALSE)</f>
        <v>-3.6000000000000002E-4</v>
      </c>
      <c r="Y6" s="12">
        <f>HLOOKUP(Y$2,EIOPA_Spot_Rates,EIOPA_RFR!$A15,FALSE)</f>
        <v>3.5540000000000002E-2</v>
      </c>
      <c r="Z6" s="12">
        <f>HLOOKUP(Z$2,EIOPA_Spot_Rates,EIOPA_RFR!$A15,FALSE)</f>
        <v>7.0269999999999999E-2</v>
      </c>
      <c r="AA6" s="12">
        <f>HLOOKUP(AA$2,EIOPA_Spot_Rates,EIOPA_RFR!$A15,FALSE)</f>
        <v>2.3470000000000001E-2</v>
      </c>
      <c r="AB6" s="12">
        <f>HLOOKUP(AB$2,EIOPA_Spot_Rates,EIOPA_RFR!$A15,FALSE)</f>
        <v>1.609E-2</v>
      </c>
      <c r="AC6" s="12">
        <f>HLOOKUP(AC$2,EIOPA_Spot_Rates,EIOPA_RFR!$A15,FALSE)</f>
        <v>7.2779999999999997E-2</v>
      </c>
      <c r="AD6" s="12">
        <f>HLOOKUP(AD$2,EIOPA_Spot_Rates,EIOPA_RFR!$A15,FALSE)</f>
        <v>1.495E-2</v>
      </c>
      <c r="AE6" s="12">
        <f>HLOOKUP(AE$2,EIOPA_Spot_Rates,EIOPA_RFR!$A15,FALSE)</f>
        <v>6.2899999999999996E-3</v>
      </c>
      <c r="AF6" s="12">
        <f>HLOOKUP(AF$2,EIOPA_Spot_Rates,EIOPA_RFR!$A15,FALSE)</f>
        <v>1.7520000000000001E-2</v>
      </c>
      <c r="AG6" s="12">
        <f>HLOOKUP(AG$2,EIOPA_Spot_Rates,EIOPA_RFR!$A15,FALSE)</f>
        <v>0.11713999999999999</v>
      </c>
      <c r="AH6" s="12">
        <f>HLOOKUP(AH$2,EIOPA_Spot_Rates,EIOPA_RFR!$A15,FALSE)</f>
        <v>1.6590000000000001E-2</v>
      </c>
      <c r="AI6" s="127">
        <f t="shared" si="0"/>
        <v>5.3299999999999997E-3</v>
      </c>
      <c r="AJ6" s="16">
        <v>3</v>
      </c>
      <c r="AK6" s="12">
        <f>HLOOKUP(AK$2,Interest_Rate_Stresses_Setup!$C$6:$BC$47,Interest_Rate_Stresses_Setup!$A10,FALSE)</f>
        <v>8.6099999999999996E-3</v>
      </c>
      <c r="AL6" s="12">
        <f>HLOOKUP(AL$2,Interest_Rate_Stresses_Setup!$C$6:$BC$47,Interest_Rate_Stresses_Setup!$A10,FALSE)</f>
        <v>8.1100000000000009E-3</v>
      </c>
      <c r="AM6" s="12">
        <f>HLOOKUP(AM$2,Interest_Rate_Stresses_Setup!$C$6:$BC$47,Interest_Rate_Stresses_Setup!$A10,FALSE)</f>
        <v>2.6000000000000002E-2</v>
      </c>
      <c r="AN6" s="12">
        <f>HLOOKUP(AN$2,Interest_Rate_Stresses_Setup!$C$6:$BC$47,Interest_Rate_Stresses_Setup!$A10,FALSE)</f>
        <v>1.434E-2</v>
      </c>
      <c r="AO6" s="12">
        <f>HLOOKUP(AO$2,Interest_Rate_Stresses_Setup!$C$6:$BC$47,Interest_Rate_Stresses_Setup!$A10,FALSE)</f>
        <v>8.5100000000000002E-3</v>
      </c>
      <c r="AP6" s="12">
        <f>HLOOKUP(AP$2,Interest_Rate_Stresses_Setup!$C$6:$BC$47,Interest_Rate_Stresses_Setup!$A10,FALSE)</f>
        <v>1.9599999999999999E-2</v>
      </c>
      <c r="AQ6" s="12">
        <f>HLOOKUP(AQ$2,Interest_Rate_Stresses_Setup!$C$6:$BC$47,Interest_Rate_Stresses_Setup!$A10,FALSE)</f>
        <v>5.8400000000000001E-2</v>
      </c>
      <c r="AR6" s="12">
        <f>HLOOKUP(AR$2,Interest_Rate_Stresses_Setup!$C$6:$BC$47,Interest_Rate_Stresses_Setup!$A10,FALSE)</f>
        <v>3.5200000000000006E-3</v>
      </c>
      <c r="AS6" s="12">
        <f>HLOOKUP(AS$2,Interest_Rate_Stresses_Setup!$C$6:$BC$47,Interest_Rate_Stresses_Setup!$A10,FALSE)</f>
        <v>2.1819999999999999E-2</v>
      </c>
      <c r="AT6" s="12">
        <f>HLOOKUP(AT$2,Interest_Rate_Stresses_Setup!$C$6:$BC$47,Interest_Rate_Stresses_Setup!$A10,FALSE)</f>
        <v>3.1980000000000001E-2</v>
      </c>
      <c r="AU6" s="12">
        <f>HLOOKUP(AU$2,Interest_Rate_Stresses_Setup!$C$6:$BC$47,Interest_Rate_Stresses_Setup!$A10,FALSE)</f>
        <v>2.9409999999999999E-2</v>
      </c>
      <c r="AV6" s="12">
        <f>HLOOKUP(AV$2,Interest_Rate_Stresses_Setup!$C$6:$BC$47,Interest_Rate_Stresses_Setup!$A10,FALSE)</f>
        <v>9.418E-2</v>
      </c>
      <c r="AW6" s="12">
        <f>HLOOKUP(AW$2,Interest_Rate_Stresses_Setup!$C$6:$BC$47,Interest_Rate_Stresses_Setup!$A10,FALSE)</f>
        <v>8.3800000000000003E-3</v>
      </c>
      <c r="AX6" s="12">
        <f>HLOOKUP(AX$2,Interest_Rate_Stresses_Setup!$C$6:$BC$47,Interest_Rate_Stresses_Setup!$A10,FALSE)</f>
        <v>1.533E-2</v>
      </c>
      <c r="AY6" s="12">
        <f>HLOOKUP(AY$2,Interest_Rate_Stresses_Setup!$C$6:$BC$47,Interest_Rate_Stresses_Setup!$A10,FALSE)</f>
        <v>3.0879999999999998E-2</v>
      </c>
      <c r="AZ6" s="12">
        <f>HLOOKUP(AZ$2,Interest_Rate_Stresses_Setup!$C$6:$BC$47,Interest_Rate_Stresses_Setup!$A10,FALSE)</f>
        <v>0.10038</v>
      </c>
      <c r="BA6" s="12">
        <f>HLOOKUP(BA$2,Interest_Rate_Stresses_Setup!$C$6:$BC$47,Interest_Rate_Stresses_Setup!$A10,FALSE)</f>
        <v>2.0410000000000001E-2</v>
      </c>
      <c r="BB6" s="12">
        <f>HLOOKUP(BB$2,Interest_Rate_Stresses_Setup!$C$6:$BC$47,Interest_Rate_Stresses_Setup!$A10,FALSE)</f>
        <v>3.8800000000000001E-2</v>
      </c>
      <c r="BC6" s="12">
        <f>HLOOKUP(BC$2,Interest_Rate_Stresses_Setup!$C$6:$BC$47,Interest_Rate_Stresses_Setup!$A10,FALSE)</f>
        <v>4.4520000000000004E-2</v>
      </c>
      <c r="BD6" s="12">
        <f>HLOOKUP(BD$2,Interest_Rate_Stresses_Setup!$C$6:$BC$47,Interest_Rate_Stresses_Setup!$A10,FALSE)</f>
        <v>6.4860000000000001E-2</v>
      </c>
      <c r="BE6" s="12">
        <f>HLOOKUP(BE$2,Interest_Rate_Stresses_Setup!$C$6:$BC$47,Interest_Rate_Stresses_Setup!$A10,FALSE)</f>
        <v>2.5640000000000003E-2</v>
      </c>
      <c r="BF6" s="12">
        <f>HLOOKUP(BF$2,Interest_Rate_Stresses_Setup!$C$6:$BC$47,Interest_Rate_Stresses_Setup!$A10,FALSE)</f>
        <v>7.1719999999999992E-2</v>
      </c>
      <c r="BG6" s="12">
        <f>HLOOKUP(BG$2,Interest_Rate_Stresses_Setup!$C$6:$BC$47,Interest_Rate_Stresses_Setup!$A10,FALSE)</f>
        <v>9.640000000000001E-3</v>
      </c>
      <c r="BH6" s="12">
        <f>HLOOKUP(BH$2,Interest_Rate_Stresses_Setup!$C$6:$BC$47,Interest_Rate_Stresses_Setup!$A10,FALSE)</f>
        <v>4.5540000000000004E-2</v>
      </c>
      <c r="BI6" s="12">
        <f>HLOOKUP(BI$2,Interest_Rate_Stresses_Setup!$C$6:$BC$47,Interest_Rate_Stresses_Setup!$A10,FALSE)</f>
        <v>8.0269999999999994E-2</v>
      </c>
      <c r="BJ6" s="12">
        <f>HLOOKUP(BJ$2,Interest_Rate_Stresses_Setup!$C$6:$BC$47,Interest_Rate_Stresses_Setup!$A10,FALSE)</f>
        <v>3.347E-2</v>
      </c>
      <c r="BK6" s="12">
        <f>HLOOKUP(BK$2,Interest_Rate_Stresses_Setup!$C$6:$BC$47,Interest_Rate_Stresses_Setup!$A10,FALSE)</f>
        <v>2.6090000000000002E-2</v>
      </c>
      <c r="BL6" s="12">
        <f>HLOOKUP(BL$2,Interest_Rate_Stresses_Setup!$C$6:$BC$47,Interest_Rate_Stresses_Setup!$A10,FALSE)</f>
        <v>8.2779999999999992E-2</v>
      </c>
      <c r="BM6" s="12">
        <f>HLOOKUP(BM$2,Interest_Rate_Stresses_Setup!$C$6:$BC$47,Interest_Rate_Stresses_Setup!$A10,FALSE)</f>
        <v>2.495E-2</v>
      </c>
      <c r="BN6" s="12">
        <f>HLOOKUP(BN$2,Interest_Rate_Stresses_Setup!$C$6:$BC$47,Interest_Rate_Stresses_Setup!$A10,FALSE)</f>
        <v>1.6289999999999999E-2</v>
      </c>
      <c r="BO6" s="12">
        <f>HLOOKUP(BO$2,Interest_Rate_Stresses_Setup!$C$6:$BC$47,Interest_Rate_Stresses_Setup!$A10,FALSE)</f>
        <v>2.7520000000000003E-2</v>
      </c>
      <c r="BP6" s="12">
        <f>HLOOKUP(BP$2,Interest_Rate_Stresses_Setup!$C$6:$BC$47,Interest_Rate_Stresses_Setup!$A10,FALSE)</f>
        <v>0.12714</v>
      </c>
      <c r="BQ6" s="12">
        <f>HLOOKUP(BQ$2,Interest_Rate_Stresses_Setup!$C$6:$BC$47,Interest_Rate_Stresses_Setup!$A10,FALSE)</f>
        <v>2.6590000000000003E-2</v>
      </c>
      <c r="BR6" s="127">
        <f t="shared" si="1"/>
        <v>1.533E-2</v>
      </c>
      <c r="BS6" s="16">
        <v>3</v>
      </c>
      <c r="BT6" s="12">
        <f>HLOOKUP(BT$2,Interest_Rate_Stresses_Setup!$C$50:$BC$91,Interest_Rate_Stresses_Setup!$A54,FALSE)</f>
        <v>-1.39E-3</v>
      </c>
      <c r="BU6" s="12">
        <f>HLOOKUP(BU$2,Interest_Rate_Stresses_Setup!$C$50:$BC$91,Interest_Rate_Stresses_Setup!$A54,FALSE)</f>
        <v>-1.89E-3</v>
      </c>
      <c r="BV6" s="12">
        <f>HLOOKUP(BV$2,Interest_Rate_Stresses_Setup!$C$50:$BC$91,Interest_Rate_Stresses_Setup!$A54,FALSE)</f>
        <v>7.0399999999999994E-3</v>
      </c>
      <c r="BW6" s="12">
        <f>HLOOKUP(BW$2,Interest_Rate_Stresses_Setup!$C$50:$BC$91,Interest_Rate_Stresses_Setup!$A54,FALSE)</f>
        <v>1.9095999999999998E-3</v>
      </c>
      <c r="BX6" s="12">
        <f>HLOOKUP(BX$2,Interest_Rate_Stresses_Setup!$C$50:$BC$91,Interest_Rate_Stresses_Setup!$A54,FALSE)</f>
        <v>-1.49E-3</v>
      </c>
      <c r="BY6" s="12">
        <f>HLOOKUP(BY$2,Interest_Rate_Stresses_Setup!$C$50:$BC$91,Interest_Rate_Stresses_Setup!$A54,FALSE)</f>
        <v>4.2239999999999995E-3</v>
      </c>
      <c r="BZ6" s="12">
        <f>HLOOKUP(BZ$2,Interest_Rate_Stresses_Setup!$C$50:$BC$91,Interest_Rate_Stresses_Setup!$A54,FALSE)</f>
        <v>2.1295999999999995E-2</v>
      </c>
      <c r="CA6" s="12">
        <f>HLOOKUP(CA$2,Interest_Rate_Stresses_Setup!$C$50:$BC$91,Interest_Rate_Stresses_Setup!$A54,FALSE)</f>
        <v>-6.4799999999999996E-3</v>
      </c>
      <c r="CB6" s="12">
        <f>HLOOKUP(CB$2,Interest_Rate_Stresses_Setup!$C$50:$BC$91,Interest_Rate_Stresses_Setup!$A54,FALSE)</f>
        <v>5.2007999999999993E-3</v>
      </c>
      <c r="CC6" s="12">
        <f>HLOOKUP(CC$2,Interest_Rate_Stresses_Setup!$C$50:$BC$91,Interest_Rate_Stresses_Setup!$A54,FALSE)</f>
        <v>9.6711999999999979E-3</v>
      </c>
      <c r="CD6" s="12">
        <f>HLOOKUP(CD$2,Interest_Rate_Stresses_Setup!$C$50:$BC$91,Interest_Rate_Stresses_Setup!$A54,FALSE)</f>
        <v>8.5403999999999983E-3</v>
      </c>
      <c r="CE6" s="12">
        <f>HLOOKUP(CE$2,Interest_Rate_Stresses_Setup!$C$50:$BC$91,Interest_Rate_Stresses_Setup!$A54,FALSE)</f>
        <v>3.7039199999999994E-2</v>
      </c>
      <c r="CF6" s="12">
        <f>HLOOKUP(CF$2,Interest_Rate_Stresses_Setup!$C$50:$BC$91,Interest_Rate_Stresses_Setup!$A54,FALSE)</f>
        <v>-1.6199999999999999E-3</v>
      </c>
      <c r="CG6" s="12">
        <f>HLOOKUP(CG$2,Interest_Rate_Stresses_Setup!$C$50:$BC$91,Interest_Rate_Stresses_Setup!$A54,FALSE)</f>
        <v>2.3451999999999995E-3</v>
      </c>
      <c r="CH6" s="12">
        <f>HLOOKUP(CH$2,Interest_Rate_Stresses_Setup!$C$50:$BC$91,Interest_Rate_Stresses_Setup!$A54,FALSE)</f>
        <v>9.1871999999999978E-3</v>
      </c>
      <c r="CI6" s="12">
        <f>HLOOKUP(CI$2,Interest_Rate_Stresses_Setup!$C$50:$BC$91,Interest_Rate_Stresses_Setup!$A54,FALSE)</f>
        <v>3.9767199999999996E-2</v>
      </c>
      <c r="CJ6" s="12">
        <f>HLOOKUP(CJ$2,Interest_Rate_Stresses_Setup!$C$50:$BC$91,Interest_Rate_Stresses_Setup!$A54,FALSE)</f>
        <v>4.5804000000000001E-3</v>
      </c>
      <c r="CK6" s="12">
        <f>HLOOKUP(CK$2,Interest_Rate_Stresses_Setup!$C$50:$BC$91,Interest_Rate_Stresses_Setup!$A54,FALSE)</f>
        <v>1.2671999999999998E-2</v>
      </c>
      <c r="CL6" s="12">
        <f>HLOOKUP(CL$2,Interest_Rate_Stresses_Setup!$C$50:$BC$91,Interest_Rate_Stresses_Setup!$A54,FALSE)</f>
        <v>1.5188799999999999E-2</v>
      </c>
      <c r="CM6" s="12">
        <f>HLOOKUP(CM$2,Interest_Rate_Stresses_Setup!$C$50:$BC$91,Interest_Rate_Stresses_Setup!$A54,FALSE)</f>
        <v>2.4138399999999997E-2</v>
      </c>
      <c r="CN6" s="12">
        <f>HLOOKUP(CN$2,Interest_Rate_Stresses_Setup!$C$50:$BC$91,Interest_Rate_Stresses_Setup!$A54,FALSE)</f>
        <v>6.8815999999999999E-3</v>
      </c>
      <c r="CO6" s="12">
        <f>HLOOKUP(CO$2,Interest_Rate_Stresses_Setup!$C$50:$BC$91,Interest_Rate_Stresses_Setup!$A54,FALSE)</f>
        <v>2.7156799999999995E-2</v>
      </c>
      <c r="CP6" s="12">
        <f>HLOOKUP(CP$2,Interest_Rate_Stresses_Setup!$C$50:$BC$91,Interest_Rate_Stresses_Setup!$A54,FALSE)</f>
        <v>-3.6000000000000002E-4</v>
      </c>
      <c r="CQ6" s="12">
        <f>HLOOKUP(CQ$2,Interest_Rate_Stresses_Setup!$C$50:$BC$91,Interest_Rate_Stresses_Setup!$A54,FALSE)</f>
        <v>1.5637599999999998E-2</v>
      </c>
      <c r="CR6" s="12">
        <f>HLOOKUP(CR$2,Interest_Rate_Stresses_Setup!$C$50:$BC$91,Interest_Rate_Stresses_Setup!$A54,FALSE)</f>
        <v>3.0918799999999996E-2</v>
      </c>
      <c r="CS6" s="12">
        <f>HLOOKUP(CS$2,Interest_Rate_Stresses_Setup!$C$50:$BC$91,Interest_Rate_Stresses_Setup!$A54,FALSE)</f>
        <v>1.0326799999999999E-2</v>
      </c>
      <c r="CT6" s="12">
        <f>HLOOKUP(CT$2,Interest_Rate_Stresses_Setup!$C$50:$BC$91,Interest_Rate_Stresses_Setup!$A54,FALSE)</f>
        <v>7.0795999999999993E-3</v>
      </c>
      <c r="CU6" s="12">
        <f>HLOOKUP(CU$2,Interest_Rate_Stresses_Setup!$C$50:$BC$91,Interest_Rate_Stresses_Setup!$A54,FALSE)</f>
        <v>3.2023199999999995E-2</v>
      </c>
      <c r="CV6" s="12">
        <f>HLOOKUP(CV$2,Interest_Rate_Stresses_Setup!$C$50:$BC$91,Interest_Rate_Stresses_Setup!$A54,FALSE)</f>
        <v>6.5779999999999988E-3</v>
      </c>
      <c r="CW6" s="12">
        <f>HLOOKUP(CW$2,Interest_Rate_Stresses_Setup!$C$50:$BC$91,Interest_Rate_Stresses_Setup!$A54,FALSE)</f>
        <v>2.7675999999999994E-3</v>
      </c>
      <c r="CX6" s="12">
        <f>HLOOKUP(CX$2,Interest_Rate_Stresses_Setup!$C$50:$BC$91,Interest_Rate_Stresses_Setup!$A54,FALSE)</f>
        <v>7.7087999999999992E-3</v>
      </c>
      <c r="CY6" s="12">
        <f>HLOOKUP(CY$2,Interest_Rate_Stresses_Setup!$C$50:$BC$91,Interest_Rate_Stresses_Setup!$A54,FALSE)</f>
        <v>5.1541599999999993E-2</v>
      </c>
      <c r="CZ6" s="12">
        <f>HLOOKUP(CZ$2,Interest_Rate_Stresses_Setup!$C$50:$BC$91,Interest_Rate_Stresses_Setup!$A54,FALSE)</f>
        <v>7.299599999999999E-3</v>
      </c>
      <c r="DA6" s="127">
        <f t="shared" si="2"/>
        <v>2.3451999999999995E-3</v>
      </c>
    </row>
    <row r="7" spans="1:105" x14ac:dyDescent="0.25">
      <c r="A7" s="11">
        <v>4</v>
      </c>
      <c r="B7" s="12">
        <f>HLOOKUP(B$2,EIOPA_Spot_Rates,EIOPA_RFR!$A16,FALSE)</f>
        <v>-3.2000000000000003E-4</v>
      </c>
      <c r="C7" s="12">
        <f>HLOOKUP(C$2,EIOPA_Spot_Rates,EIOPA_RFR!$A16,FALSE)</f>
        <v>-8.1999999999999998E-4</v>
      </c>
      <c r="D7" s="12">
        <f>HLOOKUP(D$2,EIOPA_Spot_Rates,EIOPA_RFR!$A16,FALSE)</f>
        <v>2.053E-2</v>
      </c>
      <c r="E7" s="12">
        <f>HLOOKUP(E$2,EIOPA_Spot_Rates,EIOPA_RFR!$A16,FALSE)</f>
        <v>5.1700000000000001E-3</v>
      </c>
      <c r="F7" s="12">
        <f>HLOOKUP(F$2,EIOPA_Spot_Rates,EIOPA_RFR!$A16,FALSE)</f>
        <v>-4.2000000000000002E-4</v>
      </c>
      <c r="G7" s="12">
        <f>HLOOKUP(G$2,EIOPA_Spot_Rates,EIOPA_RFR!$A16,FALSE)</f>
        <v>1.37E-2</v>
      </c>
      <c r="H7" s="12">
        <f>HLOOKUP(H$2,EIOPA_Spot_Rates,EIOPA_RFR!$A16,FALSE)</f>
        <v>4.82E-2</v>
      </c>
      <c r="I7" s="12">
        <f>HLOOKUP(I$2,EIOPA_Spot_Rates,EIOPA_RFR!$A16,FALSE)</f>
        <v>-5.45E-3</v>
      </c>
      <c r="J7" s="12">
        <f>HLOOKUP(J$2,EIOPA_Spot_Rates,EIOPA_RFR!$A16,FALSE)</f>
        <v>1.289E-2</v>
      </c>
      <c r="K7" s="12">
        <f>HLOOKUP(K$2,EIOPA_Spot_Rates,EIOPA_RFR!$A16,FALSE)</f>
        <v>2.5049999999999999E-2</v>
      </c>
      <c r="L7" s="12">
        <f>HLOOKUP(L$2,EIOPA_Spot_Rates,EIOPA_RFR!$A16,FALSE)</f>
        <v>2.3890000000000002E-2</v>
      </c>
      <c r="M7" s="12">
        <f>HLOOKUP(M$2,EIOPA_Spot_Rates,EIOPA_RFR!$A16,FALSE)</f>
        <v>8.2400000000000001E-2</v>
      </c>
      <c r="N7" s="12">
        <f>HLOOKUP(N$2,EIOPA_Spot_Rates,EIOPA_RFR!$A16,FALSE)</f>
        <v>3.8999999999999999E-4</v>
      </c>
      <c r="O7" s="12">
        <f>HLOOKUP(O$2,EIOPA_Spot_Rates,EIOPA_RFR!$A16,FALSE)</f>
        <v>6.0899999999999999E-3</v>
      </c>
      <c r="P7" s="12">
        <f>HLOOKUP(P$2,EIOPA_Spot_Rates,EIOPA_RFR!$A16,FALSE)</f>
        <v>2.2280000000000001E-2</v>
      </c>
      <c r="Q7" s="12">
        <f>HLOOKUP(Q$2,EIOPA_Spot_Rates,EIOPA_RFR!$A16,FALSE)</f>
        <v>9.1980000000000006E-2</v>
      </c>
      <c r="R7" s="12">
        <f>HLOOKUP(R$2,EIOPA_Spot_Rates,EIOPA_RFR!$A16,FALSE)</f>
        <v>1.1599999999999999E-2</v>
      </c>
      <c r="S7" s="12">
        <f>HLOOKUP(S$2,EIOPA_Spot_Rates,EIOPA_RFR!$A16,FALSE)</f>
        <v>3.1119999999999998E-2</v>
      </c>
      <c r="T7" s="12">
        <f>HLOOKUP(T$2,EIOPA_Spot_Rates,EIOPA_RFR!$A16,FALSE)</f>
        <v>3.5299999999999998E-2</v>
      </c>
      <c r="U7" s="12">
        <f>HLOOKUP(U$2,EIOPA_Spot_Rates,EIOPA_RFR!$A16,FALSE)</f>
        <v>5.6070000000000002E-2</v>
      </c>
      <c r="V7" s="12">
        <f>HLOOKUP(V$2,EIOPA_Spot_Rates,EIOPA_RFR!$A16,FALSE)</f>
        <v>1.7510000000000001E-2</v>
      </c>
      <c r="W7" s="12">
        <f>HLOOKUP(W$2,EIOPA_Spot_Rates,EIOPA_RFR!$A16,FALSE)</f>
        <v>6.2869999999999995E-2</v>
      </c>
      <c r="X7" s="12">
        <f>HLOOKUP(X$2,EIOPA_Spot_Rates,EIOPA_RFR!$A16,FALSE)</f>
        <v>-1.8000000000000001E-4</v>
      </c>
      <c r="Y7" s="12">
        <f>HLOOKUP(Y$2,EIOPA_Spot_Rates,EIOPA_RFR!$A16,FALSE)</f>
        <v>3.6249999999999998E-2</v>
      </c>
      <c r="Z7" s="12">
        <f>HLOOKUP(Z$2,EIOPA_Spot_Rates,EIOPA_RFR!$A16,FALSE)</f>
        <v>7.0470000000000005E-2</v>
      </c>
      <c r="AA7" s="12">
        <f>HLOOKUP(AA$2,EIOPA_Spot_Rates,EIOPA_RFR!$A16,FALSE)</f>
        <v>2.5559999999999999E-2</v>
      </c>
      <c r="AB7" s="12">
        <f>HLOOKUP(AB$2,EIOPA_Spot_Rates,EIOPA_RFR!$A16,FALSE)</f>
        <v>1.787E-2</v>
      </c>
      <c r="AC7" s="12">
        <f>HLOOKUP(AC$2,EIOPA_Spot_Rates,EIOPA_RFR!$A16,FALSE)</f>
        <v>7.4179999999999996E-2</v>
      </c>
      <c r="AD7" s="12">
        <f>HLOOKUP(AD$2,EIOPA_Spot_Rates,EIOPA_RFR!$A16,FALSE)</f>
        <v>1.554E-2</v>
      </c>
      <c r="AE7" s="12">
        <f>HLOOKUP(AE$2,EIOPA_Spot_Rates,EIOPA_RFR!$A16,FALSE)</f>
        <v>7.1500000000000001E-3</v>
      </c>
      <c r="AF7" s="12">
        <f>HLOOKUP(AF$2,EIOPA_Spot_Rates,EIOPA_RFR!$A16,FALSE)</f>
        <v>1.9279999999999999E-2</v>
      </c>
      <c r="AG7" s="12">
        <f>HLOOKUP(AG$2,EIOPA_Spot_Rates,EIOPA_RFR!$A16,FALSE)</f>
        <v>0.11605</v>
      </c>
      <c r="AH7" s="12">
        <f>HLOOKUP(AH$2,EIOPA_Spot_Rates,EIOPA_RFR!$A16,FALSE)</f>
        <v>1.8010000000000002E-2</v>
      </c>
      <c r="AI7" s="127">
        <f t="shared" si="0"/>
        <v>6.0899999999999999E-3</v>
      </c>
      <c r="AJ7" s="16">
        <v>4</v>
      </c>
      <c r="AK7" s="12">
        <f>HLOOKUP(AK$2,Interest_Rate_Stresses_Setup!$C$6:$BC$47,Interest_Rate_Stresses_Setup!$A11,FALSE)</f>
        <v>9.6799999999999994E-3</v>
      </c>
      <c r="AL7" s="12">
        <f>HLOOKUP(AL$2,Interest_Rate_Stresses_Setup!$C$6:$BC$47,Interest_Rate_Stresses_Setup!$A11,FALSE)</f>
        <v>9.1800000000000007E-3</v>
      </c>
      <c r="AM7" s="12">
        <f>HLOOKUP(AM$2,Interest_Rate_Stresses_Setup!$C$6:$BC$47,Interest_Rate_Stresses_Setup!$A11,FALSE)</f>
        <v>3.0530000000000002E-2</v>
      </c>
      <c r="AN7" s="12">
        <f>HLOOKUP(AN$2,Interest_Rate_Stresses_Setup!$C$6:$BC$47,Interest_Rate_Stresses_Setup!$A11,FALSE)</f>
        <v>1.5169999999999999E-2</v>
      </c>
      <c r="AO7" s="12">
        <f>HLOOKUP(AO$2,Interest_Rate_Stresses_Setup!$C$6:$BC$47,Interest_Rate_Stresses_Setup!$A11,FALSE)</f>
        <v>9.58E-3</v>
      </c>
      <c r="AP7" s="12">
        <f>HLOOKUP(AP$2,Interest_Rate_Stresses_Setup!$C$6:$BC$47,Interest_Rate_Stresses_Setup!$A11,FALSE)</f>
        <v>2.3699999999999999E-2</v>
      </c>
      <c r="AQ7" s="12">
        <f>HLOOKUP(AQ$2,Interest_Rate_Stresses_Setup!$C$6:$BC$47,Interest_Rate_Stresses_Setup!$A11,FALSE)</f>
        <v>5.8200000000000002E-2</v>
      </c>
      <c r="AR7" s="12">
        <f>HLOOKUP(AR$2,Interest_Rate_Stresses_Setup!$C$6:$BC$47,Interest_Rate_Stresses_Setup!$A11,FALSE)</f>
        <v>4.5500000000000002E-3</v>
      </c>
      <c r="AS7" s="12">
        <f>HLOOKUP(AS$2,Interest_Rate_Stresses_Setup!$C$6:$BC$47,Interest_Rate_Stresses_Setup!$A11,FALSE)</f>
        <v>2.2890000000000001E-2</v>
      </c>
      <c r="AT7" s="12">
        <f>HLOOKUP(AT$2,Interest_Rate_Stresses_Setup!$C$6:$BC$47,Interest_Rate_Stresses_Setup!$A11,FALSE)</f>
        <v>3.5049999999999998E-2</v>
      </c>
      <c r="AU7" s="12">
        <f>HLOOKUP(AU$2,Interest_Rate_Stresses_Setup!$C$6:$BC$47,Interest_Rate_Stresses_Setup!$A11,FALSE)</f>
        <v>3.3890000000000003E-2</v>
      </c>
      <c r="AV7" s="12">
        <f>HLOOKUP(AV$2,Interest_Rate_Stresses_Setup!$C$6:$BC$47,Interest_Rate_Stresses_Setup!$A11,FALSE)</f>
        <v>9.2399999999999996E-2</v>
      </c>
      <c r="AW7" s="12">
        <f>HLOOKUP(AW$2,Interest_Rate_Stresses_Setup!$C$6:$BC$47,Interest_Rate_Stresses_Setup!$A11,FALSE)</f>
        <v>1.039E-2</v>
      </c>
      <c r="AX7" s="12">
        <f>HLOOKUP(AX$2,Interest_Rate_Stresses_Setup!$C$6:$BC$47,Interest_Rate_Stresses_Setup!$A11,FALSE)</f>
        <v>1.609E-2</v>
      </c>
      <c r="AY7" s="12">
        <f>HLOOKUP(AY$2,Interest_Rate_Stresses_Setup!$C$6:$BC$47,Interest_Rate_Stresses_Setup!$A11,FALSE)</f>
        <v>3.2280000000000003E-2</v>
      </c>
      <c r="AZ7" s="12">
        <f>HLOOKUP(AZ$2,Interest_Rate_Stresses_Setup!$C$6:$BC$47,Interest_Rate_Stresses_Setup!$A11,FALSE)</f>
        <v>0.10198</v>
      </c>
      <c r="BA7" s="12">
        <f>HLOOKUP(BA$2,Interest_Rate_Stresses_Setup!$C$6:$BC$47,Interest_Rate_Stresses_Setup!$A11,FALSE)</f>
        <v>2.1600000000000001E-2</v>
      </c>
      <c r="BB7" s="12">
        <f>HLOOKUP(BB$2,Interest_Rate_Stresses_Setup!$C$6:$BC$47,Interest_Rate_Stresses_Setup!$A11,FALSE)</f>
        <v>4.1119999999999997E-2</v>
      </c>
      <c r="BC7" s="12">
        <f>HLOOKUP(BC$2,Interest_Rate_Stresses_Setup!$C$6:$BC$47,Interest_Rate_Stresses_Setup!$A11,FALSE)</f>
        <v>4.53E-2</v>
      </c>
      <c r="BD7" s="12">
        <f>HLOOKUP(BD$2,Interest_Rate_Stresses_Setup!$C$6:$BC$47,Interest_Rate_Stresses_Setup!$A11,FALSE)</f>
        <v>6.6070000000000004E-2</v>
      </c>
      <c r="BE7" s="12">
        <f>HLOOKUP(BE$2,Interest_Rate_Stresses_Setup!$C$6:$BC$47,Interest_Rate_Stresses_Setup!$A11,FALSE)</f>
        <v>2.751E-2</v>
      </c>
      <c r="BF7" s="12">
        <f>HLOOKUP(BF$2,Interest_Rate_Stresses_Setup!$C$6:$BC$47,Interest_Rate_Stresses_Setup!$A11,FALSE)</f>
        <v>7.286999999999999E-2</v>
      </c>
      <c r="BG7" s="12">
        <f>HLOOKUP(BG$2,Interest_Rate_Stresses_Setup!$C$6:$BC$47,Interest_Rate_Stresses_Setup!$A11,FALSE)</f>
        <v>9.8200000000000006E-3</v>
      </c>
      <c r="BH7" s="12">
        <f>HLOOKUP(BH$2,Interest_Rate_Stresses_Setup!$C$6:$BC$47,Interest_Rate_Stresses_Setup!$A11,FALSE)</f>
        <v>4.6249999999999999E-2</v>
      </c>
      <c r="BI7" s="12">
        <f>HLOOKUP(BI$2,Interest_Rate_Stresses_Setup!$C$6:$BC$47,Interest_Rate_Stresses_Setup!$A11,FALSE)</f>
        <v>8.047E-2</v>
      </c>
      <c r="BJ7" s="12">
        <f>HLOOKUP(BJ$2,Interest_Rate_Stresses_Setup!$C$6:$BC$47,Interest_Rate_Stresses_Setup!$A11,FALSE)</f>
        <v>3.5560000000000001E-2</v>
      </c>
      <c r="BK7" s="12">
        <f>HLOOKUP(BK$2,Interest_Rate_Stresses_Setup!$C$6:$BC$47,Interest_Rate_Stresses_Setup!$A11,FALSE)</f>
        <v>2.7869999999999999E-2</v>
      </c>
      <c r="BL7" s="12">
        <f>HLOOKUP(BL$2,Interest_Rate_Stresses_Setup!$C$6:$BC$47,Interest_Rate_Stresses_Setup!$A11,FALSE)</f>
        <v>8.4179999999999991E-2</v>
      </c>
      <c r="BM7" s="12">
        <f>HLOOKUP(BM$2,Interest_Rate_Stresses_Setup!$C$6:$BC$47,Interest_Rate_Stresses_Setup!$A11,FALSE)</f>
        <v>2.554E-2</v>
      </c>
      <c r="BN7" s="12">
        <f>HLOOKUP(BN$2,Interest_Rate_Stresses_Setup!$C$6:$BC$47,Interest_Rate_Stresses_Setup!$A11,FALSE)</f>
        <v>1.7149999999999999E-2</v>
      </c>
      <c r="BO7" s="12">
        <f>HLOOKUP(BO$2,Interest_Rate_Stresses_Setup!$C$6:$BC$47,Interest_Rate_Stresses_Setup!$A11,FALSE)</f>
        <v>2.928E-2</v>
      </c>
      <c r="BP7" s="12">
        <f>HLOOKUP(BP$2,Interest_Rate_Stresses_Setup!$C$6:$BC$47,Interest_Rate_Stresses_Setup!$A11,FALSE)</f>
        <v>0.12605</v>
      </c>
      <c r="BQ7" s="12">
        <f>HLOOKUP(BQ$2,Interest_Rate_Stresses_Setup!$C$6:$BC$47,Interest_Rate_Stresses_Setup!$A11,FALSE)</f>
        <v>2.801E-2</v>
      </c>
      <c r="BR7" s="127">
        <f t="shared" si="1"/>
        <v>1.609E-2</v>
      </c>
      <c r="BS7" s="16">
        <v>4</v>
      </c>
      <c r="BT7" s="12">
        <f>HLOOKUP(BT$2,Interest_Rate_Stresses_Setup!$C$50:$BC$91,Interest_Rate_Stresses_Setup!$A55,FALSE)</f>
        <v>-3.2000000000000003E-4</v>
      </c>
      <c r="BU7" s="12">
        <f>HLOOKUP(BU$2,Interest_Rate_Stresses_Setup!$C$50:$BC$91,Interest_Rate_Stresses_Setup!$A55,FALSE)</f>
        <v>-8.1999999999999998E-4</v>
      </c>
      <c r="BV7" s="12">
        <f>HLOOKUP(BV$2,Interest_Rate_Stresses_Setup!$C$50:$BC$91,Interest_Rate_Stresses_Setup!$A55,FALSE)</f>
        <v>1.0265E-2</v>
      </c>
      <c r="BW7" s="12">
        <f>HLOOKUP(BW$2,Interest_Rate_Stresses_Setup!$C$50:$BC$91,Interest_Rate_Stresses_Setup!$A55,FALSE)</f>
        <v>2.5850000000000001E-3</v>
      </c>
      <c r="BX7" s="12">
        <f>HLOOKUP(BX$2,Interest_Rate_Stresses_Setup!$C$50:$BC$91,Interest_Rate_Stresses_Setup!$A55,FALSE)</f>
        <v>-4.2000000000000002E-4</v>
      </c>
      <c r="BY7" s="12">
        <f>HLOOKUP(BY$2,Interest_Rate_Stresses_Setup!$C$50:$BC$91,Interest_Rate_Stresses_Setup!$A55,FALSE)</f>
        <v>6.8500000000000002E-3</v>
      </c>
      <c r="BZ7" s="12">
        <f>HLOOKUP(BZ$2,Interest_Rate_Stresses_Setup!$C$50:$BC$91,Interest_Rate_Stresses_Setup!$A55,FALSE)</f>
        <v>2.41E-2</v>
      </c>
      <c r="CA7" s="12">
        <f>HLOOKUP(CA$2,Interest_Rate_Stresses_Setup!$C$50:$BC$91,Interest_Rate_Stresses_Setup!$A55,FALSE)</f>
        <v>-5.45E-3</v>
      </c>
      <c r="CB7" s="12">
        <f>HLOOKUP(CB$2,Interest_Rate_Stresses_Setup!$C$50:$BC$91,Interest_Rate_Stresses_Setup!$A55,FALSE)</f>
        <v>6.4450000000000002E-3</v>
      </c>
      <c r="CC7" s="12">
        <f>HLOOKUP(CC$2,Interest_Rate_Stresses_Setup!$C$50:$BC$91,Interest_Rate_Stresses_Setup!$A55,FALSE)</f>
        <v>1.2525E-2</v>
      </c>
      <c r="CD7" s="12">
        <f>HLOOKUP(CD$2,Interest_Rate_Stresses_Setup!$C$50:$BC$91,Interest_Rate_Stresses_Setup!$A55,FALSE)</f>
        <v>1.1945000000000001E-2</v>
      </c>
      <c r="CE7" s="12">
        <f>HLOOKUP(CE$2,Interest_Rate_Stresses_Setup!$C$50:$BC$91,Interest_Rate_Stresses_Setup!$A55,FALSE)</f>
        <v>4.1200000000000001E-2</v>
      </c>
      <c r="CF7" s="12">
        <f>HLOOKUP(CF$2,Interest_Rate_Stresses_Setup!$C$50:$BC$91,Interest_Rate_Stresses_Setup!$A55,FALSE)</f>
        <v>1.95E-4</v>
      </c>
      <c r="CG7" s="12">
        <f>HLOOKUP(CG$2,Interest_Rate_Stresses_Setup!$C$50:$BC$91,Interest_Rate_Stresses_Setup!$A55,FALSE)</f>
        <v>3.045E-3</v>
      </c>
      <c r="CH7" s="12">
        <f>HLOOKUP(CH$2,Interest_Rate_Stresses_Setup!$C$50:$BC$91,Interest_Rate_Stresses_Setup!$A55,FALSE)</f>
        <v>1.1140000000000001E-2</v>
      </c>
      <c r="CI7" s="12">
        <f>HLOOKUP(CI$2,Interest_Rate_Stresses_Setup!$C$50:$BC$91,Interest_Rate_Stresses_Setup!$A55,FALSE)</f>
        <v>4.5990000000000003E-2</v>
      </c>
      <c r="CJ7" s="12">
        <f>HLOOKUP(CJ$2,Interest_Rate_Stresses_Setup!$C$50:$BC$91,Interest_Rate_Stresses_Setup!$A55,FALSE)</f>
        <v>5.7999999999999996E-3</v>
      </c>
      <c r="CK7" s="12">
        <f>HLOOKUP(CK$2,Interest_Rate_Stresses_Setup!$C$50:$BC$91,Interest_Rate_Stresses_Setup!$A55,FALSE)</f>
        <v>1.5559999999999999E-2</v>
      </c>
      <c r="CL7" s="12">
        <f>HLOOKUP(CL$2,Interest_Rate_Stresses_Setup!$C$50:$BC$91,Interest_Rate_Stresses_Setup!$A55,FALSE)</f>
        <v>1.7649999999999999E-2</v>
      </c>
      <c r="CM7" s="12">
        <f>HLOOKUP(CM$2,Interest_Rate_Stresses_Setup!$C$50:$BC$91,Interest_Rate_Stresses_Setup!$A55,FALSE)</f>
        <v>2.8035000000000001E-2</v>
      </c>
      <c r="CN7" s="12">
        <f>HLOOKUP(CN$2,Interest_Rate_Stresses_Setup!$C$50:$BC$91,Interest_Rate_Stresses_Setup!$A55,FALSE)</f>
        <v>8.7550000000000006E-3</v>
      </c>
      <c r="CO7" s="12">
        <f>HLOOKUP(CO$2,Interest_Rate_Stresses_Setup!$C$50:$BC$91,Interest_Rate_Stresses_Setup!$A55,FALSE)</f>
        <v>3.1434999999999998E-2</v>
      </c>
      <c r="CP7" s="12">
        <f>HLOOKUP(CP$2,Interest_Rate_Stresses_Setup!$C$50:$BC$91,Interest_Rate_Stresses_Setup!$A55,FALSE)</f>
        <v>-1.8000000000000001E-4</v>
      </c>
      <c r="CQ7" s="12">
        <f>HLOOKUP(CQ$2,Interest_Rate_Stresses_Setup!$C$50:$BC$91,Interest_Rate_Stresses_Setup!$A55,FALSE)</f>
        <v>1.8124999999999999E-2</v>
      </c>
      <c r="CR7" s="12">
        <f>HLOOKUP(CR$2,Interest_Rate_Stresses_Setup!$C$50:$BC$91,Interest_Rate_Stresses_Setup!$A55,FALSE)</f>
        <v>3.5235000000000002E-2</v>
      </c>
      <c r="CS7" s="12">
        <f>HLOOKUP(CS$2,Interest_Rate_Stresses_Setup!$C$50:$BC$91,Interest_Rate_Stresses_Setup!$A55,FALSE)</f>
        <v>1.278E-2</v>
      </c>
      <c r="CT7" s="12">
        <f>HLOOKUP(CT$2,Interest_Rate_Stresses_Setup!$C$50:$BC$91,Interest_Rate_Stresses_Setup!$A55,FALSE)</f>
        <v>8.9350000000000002E-3</v>
      </c>
      <c r="CU7" s="12">
        <f>HLOOKUP(CU$2,Interest_Rate_Stresses_Setup!$C$50:$BC$91,Interest_Rate_Stresses_Setup!$A55,FALSE)</f>
        <v>3.7089999999999998E-2</v>
      </c>
      <c r="CV7" s="12">
        <f>HLOOKUP(CV$2,Interest_Rate_Stresses_Setup!$C$50:$BC$91,Interest_Rate_Stresses_Setup!$A55,FALSE)</f>
        <v>7.77E-3</v>
      </c>
      <c r="CW7" s="12">
        <f>HLOOKUP(CW$2,Interest_Rate_Stresses_Setup!$C$50:$BC$91,Interest_Rate_Stresses_Setup!$A55,FALSE)</f>
        <v>3.5750000000000001E-3</v>
      </c>
      <c r="CX7" s="12">
        <f>HLOOKUP(CX$2,Interest_Rate_Stresses_Setup!$C$50:$BC$91,Interest_Rate_Stresses_Setup!$A55,FALSE)</f>
        <v>9.6399999999999993E-3</v>
      </c>
      <c r="CY7" s="12">
        <f>HLOOKUP(CY$2,Interest_Rate_Stresses_Setup!$C$50:$BC$91,Interest_Rate_Stresses_Setup!$A55,FALSE)</f>
        <v>5.8025E-2</v>
      </c>
      <c r="CZ7" s="12">
        <f>HLOOKUP(CZ$2,Interest_Rate_Stresses_Setup!$C$50:$BC$91,Interest_Rate_Stresses_Setup!$A55,FALSE)</f>
        <v>9.0050000000000009E-3</v>
      </c>
      <c r="DA7" s="127">
        <f t="shared" si="2"/>
        <v>3.045E-3</v>
      </c>
    </row>
    <row r="8" spans="1:105" x14ac:dyDescent="0.25">
      <c r="A8" s="11">
        <v>5</v>
      </c>
      <c r="B8" s="12">
        <f>HLOOKUP(B$2,EIOPA_Spot_Rates,EIOPA_RFR!$A17,FALSE)</f>
        <v>8.1999999999999998E-4</v>
      </c>
      <c r="C8" s="12">
        <f>HLOOKUP(C$2,EIOPA_Spot_Rates,EIOPA_RFR!$A17,FALSE)</f>
        <v>3.2000000000000003E-4</v>
      </c>
      <c r="D8" s="12">
        <f>HLOOKUP(D$2,EIOPA_Spot_Rates,EIOPA_RFR!$A17,FALSE)</f>
        <v>2.3310000000000001E-2</v>
      </c>
      <c r="E8" s="12">
        <f>HLOOKUP(E$2,EIOPA_Spot_Rates,EIOPA_RFR!$A17,FALSE)</f>
        <v>6.0200000000000002E-3</v>
      </c>
      <c r="F8" s="12">
        <f>HLOOKUP(F$2,EIOPA_Spot_Rates,EIOPA_RFR!$A17,FALSE)</f>
        <v>7.2000000000000005E-4</v>
      </c>
      <c r="G8" s="12">
        <f>HLOOKUP(G$2,EIOPA_Spot_Rates,EIOPA_RFR!$A17,FALSE)</f>
        <v>1.8440000000000002E-2</v>
      </c>
      <c r="H8" s="12">
        <f>HLOOKUP(H$2,EIOPA_Spot_Rates,EIOPA_RFR!$A17,FALSE)</f>
        <v>4.7960000000000003E-2</v>
      </c>
      <c r="I8" s="12">
        <f>HLOOKUP(I$2,EIOPA_Spot_Rates,EIOPA_RFR!$A17,FALSE)</f>
        <v>-4.3800000000000002E-3</v>
      </c>
      <c r="J8" s="12">
        <f>HLOOKUP(J$2,EIOPA_Spot_Rates,EIOPA_RFR!$A17,FALSE)</f>
        <v>1.401E-2</v>
      </c>
      <c r="K8" s="12">
        <f>HLOOKUP(K$2,EIOPA_Spot_Rates,EIOPA_RFR!$A17,FALSE)</f>
        <v>2.7390000000000001E-2</v>
      </c>
      <c r="L8" s="12">
        <f>HLOOKUP(L$2,EIOPA_Spot_Rates,EIOPA_RFR!$A17,FALSE)</f>
        <v>2.7879999999999999E-2</v>
      </c>
      <c r="M8" s="12">
        <f>HLOOKUP(M$2,EIOPA_Spot_Rates,EIOPA_RFR!$A17,FALSE)</f>
        <v>8.1119999999999998E-2</v>
      </c>
      <c r="N8" s="12">
        <f>HLOOKUP(N$2,EIOPA_Spot_Rates,EIOPA_RFR!$A17,FALSE)</f>
        <v>2.3800000000000002E-3</v>
      </c>
      <c r="O8" s="12">
        <f>HLOOKUP(O$2,EIOPA_Spot_Rates,EIOPA_RFR!$A17,FALSE)</f>
        <v>6.8399999999999997E-3</v>
      </c>
      <c r="P8" s="12">
        <f>HLOOKUP(P$2,EIOPA_Spot_Rates,EIOPA_RFR!$A17,FALSE)</f>
        <v>2.3619999999999999E-2</v>
      </c>
      <c r="Q8" s="12">
        <f>HLOOKUP(Q$2,EIOPA_Spot_Rates,EIOPA_RFR!$A17,FALSE)</f>
        <v>9.2859999999999998E-2</v>
      </c>
      <c r="R8" s="12">
        <f>HLOOKUP(R$2,EIOPA_Spot_Rates,EIOPA_RFR!$A17,FALSE)</f>
        <v>1.265E-2</v>
      </c>
      <c r="S8" s="12">
        <f>HLOOKUP(S$2,EIOPA_Spot_Rates,EIOPA_RFR!$A17,FALSE)</f>
        <v>3.3270000000000001E-2</v>
      </c>
      <c r="T8" s="12">
        <f>HLOOKUP(T$2,EIOPA_Spot_Rates,EIOPA_RFR!$A17,FALSE)</f>
        <v>3.6339999999999997E-2</v>
      </c>
      <c r="U8" s="12">
        <f>HLOOKUP(U$2,EIOPA_Spot_Rates,EIOPA_RFR!$A17,FALSE)</f>
        <v>5.6930000000000001E-2</v>
      </c>
      <c r="V8" s="12">
        <f>HLOOKUP(V$2,EIOPA_Spot_Rates,EIOPA_RFR!$A17,FALSE)</f>
        <v>1.8700000000000001E-2</v>
      </c>
      <c r="W8" s="12">
        <f>HLOOKUP(W$2,EIOPA_Spot_Rates,EIOPA_RFR!$A17,FALSE)</f>
        <v>6.3899999999999998E-2</v>
      </c>
      <c r="X8" s="12">
        <f>HLOOKUP(X$2,EIOPA_Spot_Rates,EIOPA_RFR!$A17,FALSE)</f>
        <v>6.0000000000000002E-5</v>
      </c>
      <c r="Y8" s="12">
        <f>HLOOKUP(Y$2,EIOPA_Spot_Rates,EIOPA_RFR!$A17,FALSE)</f>
        <v>3.7039999999999997E-2</v>
      </c>
      <c r="Z8" s="12">
        <f>HLOOKUP(Z$2,EIOPA_Spot_Rates,EIOPA_RFR!$A17,FALSE)</f>
        <v>7.084E-2</v>
      </c>
      <c r="AA8" s="12">
        <f>HLOOKUP(AA$2,EIOPA_Spot_Rates,EIOPA_RFR!$A17,FALSE)</f>
        <v>2.7349999999999999E-2</v>
      </c>
      <c r="AB8" s="12">
        <f>HLOOKUP(AB$2,EIOPA_Spot_Rates,EIOPA_RFR!$A17,FALSE)</f>
        <v>1.9269999999999999E-2</v>
      </c>
      <c r="AC8" s="12">
        <f>HLOOKUP(AC$2,EIOPA_Spot_Rates,EIOPA_RFR!$A17,FALSE)</f>
        <v>7.5800000000000006E-2</v>
      </c>
      <c r="AD8" s="12">
        <f>HLOOKUP(AD$2,EIOPA_Spot_Rates,EIOPA_RFR!$A17,FALSE)</f>
        <v>1.6080000000000001E-2</v>
      </c>
      <c r="AE8" s="12">
        <f>HLOOKUP(AE$2,EIOPA_Spot_Rates,EIOPA_RFR!$A17,FALSE)</f>
        <v>7.8899999999999994E-3</v>
      </c>
      <c r="AF8" s="12">
        <f>HLOOKUP(AF$2,EIOPA_Spot_Rates,EIOPA_RFR!$A17,FALSE)</f>
        <v>2.0899999999999998E-2</v>
      </c>
      <c r="AG8" s="12">
        <f>HLOOKUP(AG$2,EIOPA_Spot_Rates,EIOPA_RFR!$A17,FALSE)</f>
        <v>0.11498</v>
      </c>
      <c r="AH8" s="12">
        <f>HLOOKUP(AH$2,EIOPA_Spot_Rates,EIOPA_RFR!$A17,FALSE)</f>
        <v>1.9120000000000002E-2</v>
      </c>
      <c r="AI8" s="127">
        <f t="shared" si="0"/>
        <v>6.8399999999999997E-3</v>
      </c>
      <c r="AJ8" s="16">
        <v>5</v>
      </c>
      <c r="AK8" s="12">
        <f>HLOOKUP(AK$2,Interest_Rate_Stresses_Setup!$C$6:$BC$47,Interest_Rate_Stresses_Setup!$A12,FALSE)</f>
        <v>1.082E-2</v>
      </c>
      <c r="AL8" s="12">
        <f>HLOOKUP(AL$2,Interest_Rate_Stresses_Setup!$C$6:$BC$47,Interest_Rate_Stresses_Setup!$A12,FALSE)</f>
        <v>1.0320000000000001E-2</v>
      </c>
      <c r="AM8" s="12">
        <f>HLOOKUP(AM$2,Interest_Rate_Stresses_Setup!$C$6:$BC$47,Interest_Rate_Stresses_Setup!$A12,FALSE)</f>
        <v>3.3309999999999999E-2</v>
      </c>
      <c r="AN8" s="12">
        <f>HLOOKUP(AN$2,Interest_Rate_Stresses_Setup!$C$6:$BC$47,Interest_Rate_Stresses_Setup!$A12,FALSE)</f>
        <v>1.602E-2</v>
      </c>
      <c r="AO8" s="12">
        <f>HLOOKUP(AO$2,Interest_Rate_Stresses_Setup!$C$6:$BC$47,Interest_Rate_Stresses_Setup!$A12,FALSE)</f>
        <v>1.072E-2</v>
      </c>
      <c r="AP8" s="12">
        <f>HLOOKUP(AP$2,Interest_Rate_Stresses_Setup!$C$6:$BC$47,Interest_Rate_Stresses_Setup!$A12,FALSE)</f>
        <v>2.844E-2</v>
      </c>
      <c r="AQ8" s="12">
        <f>HLOOKUP(AQ$2,Interest_Rate_Stresses_Setup!$C$6:$BC$47,Interest_Rate_Stresses_Setup!$A12,FALSE)</f>
        <v>5.7960000000000005E-2</v>
      </c>
      <c r="AR8" s="12">
        <f>HLOOKUP(AR$2,Interest_Rate_Stresses_Setup!$C$6:$BC$47,Interest_Rate_Stresses_Setup!$A12,FALSE)</f>
        <v>5.62E-3</v>
      </c>
      <c r="AS8" s="12">
        <f>HLOOKUP(AS$2,Interest_Rate_Stresses_Setup!$C$6:$BC$47,Interest_Rate_Stresses_Setup!$A12,FALSE)</f>
        <v>2.401E-2</v>
      </c>
      <c r="AT8" s="12">
        <f>HLOOKUP(AT$2,Interest_Rate_Stresses_Setup!$C$6:$BC$47,Interest_Rate_Stresses_Setup!$A12,FALSE)</f>
        <v>3.739E-2</v>
      </c>
      <c r="AU8" s="12">
        <f>HLOOKUP(AU$2,Interest_Rate_Stresses_Setup!$C$6:$BC$47,Interest_Rate_Stresses_Setup!$A12,FALSE)</f>
        <v>3.7879999999999997E-2</v>
      </c>
      <c r="AV8" s="12">
        <f>HLOOKUP(AV$2,Interest_Rate_Stresses_Setup!$C$6:$BC$47,Interest_Rate_Stresses_Setup!$A12,FALSE)</f>
        <v>9.1119999999999993E-2</v>
      </c>
      <c r="AW8" s="12">
        <f>HLOOKUP(AW$2,Interest_Rate_Stresses_Setup!$C$6:$BC$47,Interest_Rate_Stresses_Setup!$A12,FALSE)</f>
        <v>1.238E-2</v>
      </c>
      <c r="AX8" s="12">
        <f>HLOOKUP(AX$2,Interest_Rate_Stresses_Setup!$C$6:$BC$47,Interest_Rate_Stresses_Setup!$A12,FALSE)</f>
        <v>1.6840000000000001E-2</v>
      </c>
      <c r="AY8" s="12">
        <f>HLOOKUP(AY$2,Interest_Rate_Stresses_Setup!$C$6:$BC$47,Interest_Rate_Stresses_Setup!$A12,FALSE)</f>
        <v>3.3619999999999997E-2</v>
      </c>
      <c r="AZ8" s="12">
        <f>HLOOKUP(AZ$2,Interest_Rate_Stresses_Setup!$C$6:$BC$47,Interest_Rate_Stresses_Setup!$A12,FALSE)</f>
        <v>0.10285999999999999</v>
      </c>
      <c r="BA8" s="12">
        <f>HLOOKUP(BA$2,Interest_Rate_Stresses_Setup!$C$6:$BC$47,Interest_Rate_Stresses_Setup!$A12,FALSE)</f>
        <v>2.265E-2</v>
      </c>
      <c r="BB8" s="12">
        <f>HLOOKUP(BB$2,Interest_Rate_Stresses_Setup!$C$6:$BC$47,Interest_Rate_Stresses_Setup!$A12,FALSE)</f>
        <v>4.3270000000000003E-2</v>
      </c>
      <c r="BC8" s="12">
        <f>HLOOKUP(BC$2,Interest_Rate_Stresses_Setup!$C$6:$BC$47,Interest_Rate_Stresses_Setup!$A12,FALSE)</f>
        <v>4.6339999999999999E-2</v>
      </c>
      <c r="BD8" s="12">
        <f>HLOOKUP(BD$2,Interest_Rate_Stresses_Setup!$C$6:$BC$47,Interest_Rate_Stresses_Setup!$A12,FALSE)</f>
        <v>6.6930000000000003E-2</v>
      </c>
      <c r="BE8" s="12">
        <f>HLOOKUP(BE$2,Interest_Rate_Stresses_Setup!$C$6:$BC$47,Interest_Rate_Stresses_Setup!$A12,FALSE)</f>
        <v>2.8700000000000003E-2</v>
      </c>
      <c r="BF8" s="12">
        <f>HLOOKUP(BF$2,Interest_Rate_Stresses_Setup!$C$6:$BC$47,Interest_Rate_Stresses_Setup!$A12,FALSE)</f>
        <v>7.3899999999999993E-2</v>
      </c>
      <c r="BG8" s="12">
        <f>HLOOKUP(BG$2,Interest_Rate_Stresses_Setup!$C$6:$BC$47,Interest_Rate_Stresses_Setup!$A12,FALSE)</f>
        <v>1.0059999999999999E-2</v>
      </c>
      <c r="BH8" s="12">
        <f>HLOOKUP(BH$2,Interest_Rate_Stresses_Setup!$C$6:$BC$47,Interest_Rate_Stresses_Setup!$A12,FALSE)</f>
        <v>4.7039999999999998E-2</v>
      </c>
      <c r="BI8" s="12">
        <f>HLOOKUP(BI$2,Interest_Rate_Stresses_Setup!$C$6:$BC$47,Interest_Rate_Stresses_Setup!$A12,FALSE)</f>
        <v>8.0839999999999995E-2</v>
      </c>
      <c r="BJ8" s="12">
        <f>HLOOKUP(BJ$2,Interest_Rate_Stresses_Setup!$C$6:$BC$47,Interest_Rate_Stresses_Setup!$A12,FALSE)</f>
        <v>3.7350000000000001E-2</v>
      </c>
      <c r="BK8" s="12">
        <f>HLOOKUP(BK$2,Interest_Rate_Stresses_Setup!$C$6:$BC$47,Interest_Rate_Stresses_Setup!$A12,FALSE)</f>
        <v>2.9269999999999997E-2</v>
      </c>
      <c r="BL8" s="12">
        <f>HLOOKUP(BL$2,Interest_Rate_Stresses_Setup!$C$6:$BC$47,Interest_Rate_Stresses_Setup!$A12,FALSE)</f>
        <v>8.5800000000000001E-2</v>
      </c>
      <c r="BM8" s="12">
        <f>HLOOKUP(BM$2,Interest_Rate_Stresses_Setup!$C$6:$BC$47,Interest_Rate_Stresses_Setup!$A12,FALSE)</f>
        <v>2.6079999999999999E-2</v>
      </c>
      <c r="BN8" s="12">
        <f>HLOOKUP(BN$2,Interest_Rate_Stresses_Setup!$C$6:$BC$47,Interest_Rate_Stresses_Setup!$A12,FALSE)</f>
        <v>1.789E-2</v>
      </c>
      <c r="BO8" s="12">
        <f>HLOOKUP(BO$2,Interest_Rate_Stresses_Setup!$C$6:$BC$47,Interest_Rate_Stresses_Setup!$A12,FALSE)</f>
        <v>3.0899999999999997E-2</v>
      </c>
      <c r="BP8" s="12">
        <f>HLOOKUP(BP$2,Interest_Rate_Stresses_Setup!$C$6:$BC$47,Interest_Rate_Stresses_Setup!$A12,FALSE)</f>
        <v>0.12497999999999999</v>
      </c>
      <c r="BQ8" s="12">
        <f>HLOOKUP(BQ$2,Interest_Rate_Stresses_Setup!$C$6:$BC$47,Interest_Rate_Stresses_Setup!$A12,FALSE)</f>
        <v>2.912E-2</v>
      </c>
      <c r="BR8" s="127">
        <f t="shared" si="1"/>
        <v>1.6840000000000001E-2</v>
      </c>
      <c r="BS8" s="16">
        <v>5</v>
      </c>
      <c r="BT8" s="12">
        <f>HLOOKUP(BT$2,Interest_Rate_Stresses_Setup!$C$50:$BC$91,Interest_Rate_Stresses_Setup!$A56,FALSE)</f>
        <v>4.4280000000000003E-4</v>
      </c>
      <c r="BU8" s="12">
        <f>HLOOKUP(BU$2,Interest_Rate_Stresses_Setup!$C$50:$BC$91,Interest_Rate_Stresses_Setup!$A56,FALSE)</f>
        <v>1.7280000000000003E-4</v>
      </c>
      <c r="BV8" s="12">
        <f>HLOOKUP(BV$2,Interest_Rate_Stresses_Setup!$C$50:$BC$91,Interest_Rate_Stresses_Setup!$A56,FALSE)</f>
        <v>1.2587400000000002E-2</v>
      </c>
      <c r="BW8" s="12">
        <f>HLOOKUP(BW$2,Interest_Rate_Stresses_Setup!$C$50:$BC$91,Interest_Rate_Stresses_Setup!$A56,FALSE)</f>
        <v>3.2508000000000003E-3</v>
      </c>
      <c r="BX8" s="12">
        <f>HLOOKUP(BX$2,Interest_Rate_Stresses_Setup!$C$50:$BC$91,Interest_Rate_Stresses_Setup!$A56,FALSE)</f>
        <v>3.8880000000000007E-4</v>
      </c>
      <c r="BY8" s="12">
        <f>HLOOKUP(BY$2,Interest_Rate_Stresses_Setup!$C$50:$BC$91,Interest_Rate_Stresses_Setup!$A56,FALSE)</f>
        <v>9.9576000000000022E-3</v>
      </c>
      <c r="BZ8" s="12">
        <f>HLOOKUP(BZ$2,Interest_Rate_Stresses_Setup!$C$50:$BC$91,Interest_Rate_Stresses_Setup!$A56,FALSE)</f>
        <v>2.5898400000000002E-2</v>
      </c>
      <c r="CA8" s="12">
        <f>HLOOKUP(CA$2,Interest_Rate_Stresses_Setup!$C$50:$BC$91,Interest_Rate_Stresses_Setup!$A56,FALSE)</f>
        <v>-4.3800000000000002E-3</v>
      </c>
      <c r="CB8" s="12">
        <f>HLOOKUP(CB$2,Interest_Rate_Stresses_Setup!$C$50:$BC$91,Interest_Rate_Stresses_Setup!$A56,FALSE)</f>
        <v>7.5654000000000008E-3</v>
      </c>
      <c r="CC8" s="12">
        <f>HLOOKUP(CC$2,Interest_Rate_Stresses_Setup!$C$50:$BC$91,Interest_Rate_Stresses_Setup!$A56,FALSE)</f>
        <v>1.4790600000000001E-2</v>
      </c>
      <c r="CD8" s="12">
        <f>HLOOKUP(CD$2,Interest_Rate_Stresses_Setup!$C$50:$BC$91,Interest_Rate_Stresses_Setup!$A56,FALSE)</f>
        <v>1.5055199999999999E-2</v>
      </c>
      <c r="CE8" s="12">
        <f>HLOOKUP(CE$2,Interest_Rate_Stresses_Setup!$C$50:$BC$91,Interest_Rate_Stresses_Setup!$A56,FALSE)</f>
        <v>4.3804800000000005E-2</v>
      </c>
      <c r="CF8" s="12">
        <f>HLOOKUP(CF$2,Interest_Rate_Stresses_Setup!$C$50:$BC$91,Interest_Rate_Stresses_Setup!$A56,FALSE)</f>
        <v>1.2852000000000002E-3</v>
      </c>
      <c r="CG8" s="12">
        <f>HLOOKUP(CG$2,Interest_Rate_Stresses_Setup!$C$50:$BC$91,Interest_Rate_Stresses_Setup!$A56,FALSE)</f>
        <v>3.6936E-3</v>
      </c>
      <c r="CH8" s="12">
        <f>HLOOKUP(CH$2,Interest_Rate_Stresses_Setup!$C$50:$BC$91,Interest_Rate_Stresses_Setup!$A56,FALSE)</f>
        <v>1.27548E-2</v>
      </c>
      <c r="CI8" s="12">
        <f>HLOOKUP(CI$2,Interest_Rate_Stresses_Setup!$C$50:$BC$91,Interest_Rate_Stresses_Setup!$A56,FALSE)</f>
        <v>5.0144400000000006E-2</v>
      </c>
      <c r="CJ8" s="12">
        <f>HLOOKUP(CJ$2,Interest_Rate_Stresses_Setup!$C$50:$BC$91,Interest_Rate_Stresses_Setup!$A56,FALSE)</f>
        <v>6.8310000000000003E-3</v>
      </c>
      <c r="CK8" s="12">
        <f>HLOOKUP(CK$2,Interest_Rate_Stresses_Setup!$C$50:$BC$91,Interest_Rate_Stresses_Setup!$A56,FALSE)</f>
        <v>1.7965800000000001E-2</v>
      </c>
      <c r="CL8" s="12">
        <f>HLOOKUP(CL$2,Interest_Rate_Stresses_Setup!$C$50:$BC$91,Interest_Rate_Stresses_Setup!$A56,FALSE)</f>
        <v>1.9623600000000001E-2</v>
      </c>
      <c r="CM8" s="12">
        <f>HLOOKUP(CM$2,Interest_Rate_Stresses_Setup!$C$50:$BC$91,Interest_Rate_Stresses_Setup!$A56,FALSE)</f>
        <v>3.0742200000000004E-2</v>
      </c>
      <c r="CN8" s="12">
        <f>HLOOKUP(CN$2,Interest_Rate_Stresses_Setup!$C$50:$BC$91,Interest_Rate_Stresses_Setup!$A56,FALSE)</f>
        <v>1.0098000000000001E-2</v>
      </c>
      <c r="CO8" s="12">
        <f>HLOOKUP(CO$2,Interest_Rate_Stresses_Setup!$C$50:$BC$91,Interest_Rate_Stresses_Setup!$A56,FALSE)</f>
        <v>3.4506000000000002E-2</v>
      </c>
      <c r="CP8" s="12">
        <f>HLOOKUP(CP$2,Interest_Rate_Stresses_Setup!$C$50:$BC$91,Interest_Rate_Stresses_Setup!$A56,FALSE)</f>
        <v>3.2400000000000001E-5</v>
      </c>
      <c r="CQ8" s="12">
        <f>HLOOKUP(CQ$2,Interest_Rate_Stresses_Setup!$C$50:$BC$91,Interest_Rate_Stresses_Setup!$A56,FALSE)</f>
        <v>2.0001599999999998E-2</v>
      </c>
      <c r="CR8" s="12">
        <f>HLOOKUP(CR$2,Interest_Rate_Stresses_Setup!$C$50:$BC$91,Interest_Rate_Stresses_Setup!$A56,FALSE)</f>
        <v>3.8253600000000006E-2</v>
      </c>
      <c r="CS8" s="12">
        <f>HLOOKUP(CS$2,Interest_Rate_Stresses_Setup!$C$50:$BC$91,Interest_Rate_Stresses_Setup!$A56,FALSE)</f>
        <v>1.4769000000000001E-2</v>
      </c>
      <c r="CT8" s="12">
        <f>HLOOKUP(CT$2,Interest_Rate_Stresses_Setup!$C$50:$BC$91,Interest_Rate_Stresses_Setup!$A56,FALSE)</f>
        <v>1.04058E-2</v>
      </c>
      <c r="CU8" s="12">
        <f>HLOOKUP(CU$2,Interest_Rate_Stresses_Setup!$C$50:$BC$91,Interest_Rate_Stresses_Setup!$A56,FALSE)</f>
        <v>4.0932000000000003E-2</v>
      </c>
      <c r="CV8" s="12">
        <f>HLOOKUP(CV$2,Interest_Rate_Stresses_Setup!$C$50:$BC$91,Interest_Rate_Stresses_Setup!$A56,FALSE)</f>
        <v>8.6832000000000003E-3</v>
      </c>
      <c r="CW8" s="12">
        <f>HLOOKUP(CW$2,Interest_Rate_Stresses_Setup!$C$50:$BC$91,Interest_Rate_Stresses_Setup!$A56,FALSE)</f>
        <v>4.2605999999999998E-3</v>
      </c>
      <c r="CX8" s="12">
        <f>HLOOKUP(CX$2,Interest_Rate_Stresses_Setup!$C$50:$BC$91,Interest_Rate_Stresses_Setup!$A56,FALSE)</f>
        <v>1.1285999999999999E-2</v>
      </c>
      <c r="CY8" s="12">
        <f>HLOOKUP(CY$2,Interest_Rate_Stresses_Setup!$C$50:$BC$91,Interest_Rate_Stresses_Setup!$A56,FALSE)</f>
        <v>6.2089200000000004E-2</v>
      </c>
      <c r="CZ8" s="12">
        <f>HLOOKUP(CZ$2,Interest_Rate_Stresses_Setup!$C$50:$BC$91,Interest_Rate_Stresses_Setup!$A56,FALSE)</f>
        <v>1.0324800000000002E-2</v>
      </c>
      <c r="DA8" s="127">
        <f t="shared" si="2"/>
        <v>3.6936E-3</v>
      </c>
    </row>
    <row r="9" spans="1:105" x14ac:dyDescent="0.25">
      <c r="A9" s="11">
        <v>6</v>
      </c>
      <c r="B9" s="12">
        <f>HLOOKUP(B$2,EIOPA_Spot_Rates,EIOPA_RFR!$A18,FALSE)</f>
        <v>2.0500000000000002E-3</v>
      </c>
      <c r="C9" s="12">
        <f>HLOOKUP(C$2,EIOPA_Spot_Rates,EIOPA_RFR!$A18,FALSE)</f>
        <v>1.5499999999999999E-3</v>
      </c>
      <c r="D9" s="12">
        <f>HLOOKUP(D$2,EIOPA_Spot_Rates,EIOPA_RFR!$A18,FALSE)</f>
        <v>2.5059999999999999E-2</v>
      </c>
      <c r="E9" s="12">
        <f>HLOOKUP(E$2,EIOPA_Spot_Rates,EIOPA_RFR!$A18,FALSE)</f>
        <v>6.7999999999999996E-3</v>
      </c>
      <c r="F9" s="12">
        <f>HLOOKUP(F$2,EIOPA_Spot_Rates,EIOPA_RFR!$A18,FALSE)</f>
        <v>1.9499999999999999E-3</v>
      </c>
      <c r="G9" s="12">
        <f>HLOOKUP(G$2,EIOPA_Spot_Rates,EIOPA_RFR!$A18,FALSE)</f>
        <v>2.2200000000000001E-2</v>
      </c>
      <c r="H9" s="12">
        <f>HLOOKUP(H$2,EIOPA_Spot_Rates,EIOPA_RFR!$A18,FALSE)</f>
        <v>4.7800000000000002E-2</v>
      </c>
      <c r="I9" s="12">
        <f>HLOOKUP(I$2,EIOPA_Spot_Rates,EIOPA_RFR!$A18,FALSE)</f>
        <v>-3.2699999999999999E-3</v>
      </c>
      <c r="J9" s="12">
        <f>HLOOKUP(J$2,EIOPA_Spot_Rates,EIOPA_RFR!$A18,FALSE)</f>
        <v>1.515E-2</v>
      </c>
      <c r="K9" s="12">
        <f>HLOOKUP(K$2,EIOPA_Spot_Rates,EIOPA_RFR!$A18,FALSE)</f>
        <v>2.8979999999999999E-2</v>
      </c>
      <c r="L9" s="12">
        <f>HLOOKUP(L$2,EIOPA_Spot_Rates,EIOPA_RFR!$A18,FALSE)</f>
        <v>3.1260000000000003E-2</v>
      </c>
      <c r="M9" s="12">
        <f>HLOOKUP(M$2,EIOPA_Spot_Rates,EIOPA_RFR!$A18,FALSE)</f>
        <v>8.0019999999999994E-2</v>
      </c>
      <c r="N9" s="12">
        <f>HLOOKUP(N$2,EIOPA_Spot_Rates,EIOPA_RFR!$A18,FALSE)</f>
        <v>4.2700000000000004E-3</v>
      </c>
      <c r="O9" s="12">
        <f>HLOOKUP(O$2,EIOPA_Spot_Rates,EIOPA_RFR!$A18,FALSE)</f>
        <v>7.62E-3</v>
      </c>
      <c r="P9" s="12">
        <f>HLOOKUP(P$2,EIOPA_Spot_Rates,EIOPA_RFR!$A18,FALSE)</f>
        <v>2.486E-2</v>
      </c>
      <c r="Q9" s="12">
        <f>HLOOKUP(Q$2,EIOPA_Spot_Rates,EIOPA_RFR!$A18,FALSE)</f>
        <v>9.3350000000000002E-2</v>
      </c>
      <c r="R9" s="12">
        <f>HLOOKUP(R$2,EIOPA_Spot_Rates,EIOPA_RFR!$A18,FALSE)</f>
        <v>1.358E-2</v>
      </c>
      <c r="S9" s="12">
        <f>HLOOKUP(S$2,EIOPA_Spot_Rates,EIOPA_RFR!$A18,FALSE)</f>
        <v>3.5200000000000002E-2</v>
      </c>
      <c r="T9" s="12">
        <f>HLOOKUP(T$2,EIOPA_Spot_Rates,EIOPA_RFR!$A18,FALSE)</f>
        <v>3.7879999999999997E-2</v>
      </c>
      <c r="U9" s="12">
        <f>HLOOKUP(U$2,EIOPA_Spot_Rates,EIOPA_RFR!$A18,FALSE)</f>
        <v>5.8380000000000001E-2</v>
      </c>
      <c r="V9" s="12">
        <f>HLOOKUP(V$2,EIOPA_Spot_Rates,EIOPA_RFR!$A18,FALSE)</f>
        <v>1.9689999999999999E-2</v>
      </c>
      <c r="W9" s="12">
        <f>HLOOKUP(W$2,EIOPA_Spot_Rates,EIOPA_RFR!$A18,FALSE)</f>
        <v>6.4920000000000005E-2</v>
      </c>
      <c r="X9" s="12">
        <f>HLOOKUP(X$2,EIOPA_Spot_Rates,EIOPA_RFR!$A18,FALSE)</f>
        <v>3.3E-4</v>
      </c>
      <c r="Y9" s="12">
        <f>HLOOKUP(Y$2,EIOPA_Spot_Rates,EIOPA_RFR!$A18,FALSE)</f>
        <v>3.7589999999999998E-2</v>
      </c>
      <c r="Z9" s="12">
        <f>HLOOKUP(Z$2,EIOPA_Spot_Rates,EIOPA_RFR!$A18,FALSE)</f>
        <v>7.1529999999999996E-2</v>
      </c>
      <c r="AA9" s="12">
        <f>HLOOKUP(AA$2,EIOPA_Spot_Rates,EIOPA_RFR!$A18,FALSE)</f>
        <v>2.894E-2</v>
      </c>
      <c r="AB9" s="12">
        <f>HLOOKUP(AB$2,EIOPA_Spot_Rates,EIOPA_RFR!$A18,FALSE)</f>
        <v>2.0469999999999999E-2</v>
      </c>
      <c r="AC9" s="12">
        <f>HLOOKUP(AC$2,EIOPA_Spot_Rates,EIOPA_RFR!$A18,FALSE)</f>
        <v>7.732E-2</v>
      </c>
      <c r="AD9" s="12">
        <f>HLOOKUP(AD$2,EIOPA_Spot_Rates,EIOPA_RFR!$A18,FALSE)</f>
        <v>1.6490000000000001E-2</v>
      </c>
      <c r="AE9" s="12">
        <f>HLOOKUP(AE$2,EIOPA_Spot_Rates,EIOPA_RFR!$A18,FALSE)</f>
        <v>8.6499999999999997E-3</v>
      </c>
      <c r="AF9" s="12">
        <f>HLOOKUP(AF$2,EIOPA_Spot_Rates,EIOPA_RFR!$A18,FALSE)</f>
        <v>2.2179999999999998E-2</v>
      </c>
      <c r="AG9" s="12">
        <f>HLOOKUP(AG$2,EIOPA_Spot_Rates,EIOPA_RFR!$A18,FALSE)</f>
        <v>0.11298999999999999</v>
      </c>
      <c r="AH9" s="12">
        <f>HLOOKUP(AH$2,EIOPA_Spot_Rates,EIOPA_RFR!$A18,FALSE)</f>
        <v>2.0060000000000001E-2</v>
      </c>
      <c r="AI9" s="127">
        <f t="shared" si="0"/>
        <v>7.62E-3</v>
      </c>
      <c r="AJ9" s="16">
        <v>6</v>
      </c>
      <c r="AK9" s="12">
        <f>HLOOKUP(AK$2,Interest_Rate_Stresses_Setup!$C$6:$BC$47,Interest_Rate_Stresses_Setup!$A13,FALSE)</f>
        <v>1.205E-2</v>
      </c>
      <c r="AL9" s="12">
        <f>HLOOKUP(AL$2,Interest_Rate_Stresses_Setup!$C$6:$BC$47,Interest_Rate_Stresses_Setup!$A13,FALSE)</f>
        <v>1.155E-2</v>
      </c>
      <c r="AM9" s="12">
        <f>HLOOKUP(AM$2,Interest_Rate_Stresses_Setup!$C$6:$BC$47,Interest_Rate_Stresses_Setup!$A13,FALSE)</f>
        <v>3.5060000000000001E-2</v>
      </c>
      <c r="AN9" s="12">
        <f>HLOOKUP(AN$2,Interest_Rate_Stresses_Setup!$C$6:$BC$47,Interest_Rate_Stresses_Setup!$A13,FALSE)</f>
        <v>1.6799999999999999E-2</v>
      </c>
      <c r="AO9" s="12">
        <f>HLOOKUP(AO$2,Interest_Rate_Stresses_Setup!$C$6:$BC$47,Interest_Rate_Stresses_Setup!$A13,FALSE)</f>
        <v>1.1950000000000001E-2</v>
      </c>
      <c r="AP9" s="12">
        <f>HLOOKUP(AP$2,Interest_Rate_Stresses_Setup!$C$6:$BC$47,Interest_Rate_Stresses_Setup!$A13,FALSE)</f>
        <v>3.2199999999999999E-2</v>
      </c>
      <c r="AQ9" s="12">
        <f>HLOOKUP(AQ$2,Interest_Rate_Stresses_Setup!$C$6:$BC$47,Interest_Rate_Stresses_Setup!$A13,FALSE)</f>
        <v>5.7800000000000004E-2</v>
      </c>
      <c r="AR9" s="12">
        <f>HLOOKUP(AR$2,Interest_Rate_Stresses_Setup!$C$6:$BC$47,Interest_Rate_Stresses_Setup!$A13,FALSE)</f>
        <v>6.7299999999999999E-3</v>
      </c>
      <c r="AS9" s="12">
        <f>HLOOKUP(AS$2,Interest_Rate_Stresses_Setup!$C$6:$BC$47,Interest_Rate_Stresses_Setup!$A13,FALSE)</f>
        <v>2.5149999999999999E-2</v>
      </c>
      <c r="AT9" s="12">
        <f>HLOOKUP(AT$2,Interest_Rate_Stresses_Setup!$C$6:$BC$47,Interest_Rate_Stresses_Setup!$A13,FALSE)</f>
        <v>3.8980000000000001E-2</v>
      </c>
      <c r="AU9" s="12">
        <f>HLOOKUP(AU$2,Interest_Rate_Stresses_Setup!$C$6:$BC$47,Interest_Rate_Stresses_Setup!$A13,FALSE)</f>
        <v>4.1260000000000005E-2</v>
      </c>
      <c r="AV9" s="12">
        <f>HLOOKUP(AV$2,Interest_Rate_Stresses_Setup!$C$6:$BC$47,Interest_Rate_Stresses_Setup!$A13,FALSE)</f>
        <v>9.0019999999999989E-2</v>
      </c>
      <c r="AW9" s="12">
        <f>HLOOKUP(AW$2,Interest_Rate_Stresses_Setup!$C$6:$BC$47,Interest_Rate_Stresses_Setup!$A13,FALSE)</f>
        <v>1.4270000000000001E-2</v>
      </c>
      <c r="AX9" s="12">
        <f>HLOOKUP(AX$2,Interest_Rate_Stresses_Setup!$C$6:$BC$47,Interest_Rate_Stresses_Setup!$A13,FALSE)</f>
        <v>1.762E-2</v>
      </c>
      <c r="AY9" s="12">
        <f>HLOOKUP(AY$2,Interest_Rate_Stresses_Setup!$C$6:$BC$47,Interest_Rate_Stresses_Setup!$A13,FALSE)</f>
        <v>3.4860000000000002E-2</v>
      </c>
      <c r="AZ9" s="12">
        <f>HLOOKUP(AZ$2,Interest_Rate_Stresses_Setup!$C$6:$BC$47,Interest_Rate_Stresses_Setup!$A13,FALSE)</f>
        <v>0.10335</v>
      </c>
      <c r="BA9" s="12">
        <f>HLOOKUP(BA$2,Interest_Rate_Stresses_Setup!$C$6:$BC$47,Interest_Rate_Stresses_Setup!$A13,FALSE)</f>
        <v>2.358E-2</v>
      </c>
      <c r="BB9" s="12">
        <f>HLOOKUP(BB$2,Interest_Rate_Stresses_Setup!$C$6:$BC$47,Interest_Rate_Stresses_Setup!$A13,FALSE)</f>
        <v>4.5200000000000004E-2</v>
      </c>
      <c r="BC9" s="12">
        <f>HLOOKUP(BC$2,Interest_Rate_Stresses_Setup!$C$6:$BC$47,Interest_Rate_Stresses_Setup!$A13,FALSE)</f>
        <v>4.7879999999999999E-2</v>
      </c>
      <c r="BD9" s="12">
        <f>HLOOKUP(BD$2,Interest_Rate_Stresses_Setup!$C$6:$BC$47,Interest_Rate_Stresses_Setup!$A13,FALSE)</f>
        <v>6.8379999999999996E-2</v>
      </c>
      <c r="BE9" s="12">
        <f>HLOOKUP(BE$2,Interest_Rate_Stresses_Setup!$C$6:$BC$47,Interest_Rate_Stresses_Setup!$A13,FALSE)</f>
        <v>2.9690000000000001E-2</v>
      </c>
      <c r="BF9" s="12">
        <f>HLOOKUP(BF$2,Interest_Rate_Stresses_Setup!$C$6:$BC$47,Interest_Rate_Stresses_Setup!$A13,FALSE)</f>
        <v>7.492E-2</v>
      </c>
      <c r="BG9" s="12">
        <f>HLOOKUP(BG$2,Interest_Rate_Stresses_Setup!$C$6:$BC$47,Interest_Rate_Stresses_Setup!$A13,FALSE)</f>
        <v>1.0330000000000001E-2</v>
      </c>
      <c r="BH9" s="12">
        <f>HLOOKUP(BH$2,Interest_Rate_Stresses_Setup!$C$6:$BC$47,Interest_Rate_Stresses_Setup!$A13,FALSE)</f>
        <v>4.759E-2</v>
      </c>
      <c r="BI9" s="12">
        <f>HLOOKUP(BI$2,Interest_Rate_Stresses_Setup!$C$6:$BC$47,Interest_Rate_Stresses_Setup!$A13,FALSE)</f>
        <v>8.1529999999999991E-2</v>
      </c>
      <c r="BJ9" s="12">
        <f>HLOOKUP(BJ$2,Interest_Rate_Stresses_Setup!$C$6:$BC$47,Interest_Rate_Stresses_Setup!$A13,FALSE)</f>
        <v>3.8940000000000002E-2</v>
      </c>
      <c r="BK9" s="12">
        <f>HLOOKUP(BK$2,Interest_Rate_Stresses_Setup!$C$6:$BC$47,Interest_Rate_Stresses_Setup!$A13,FALSE)</f>
        <v>3.0469999999999997E-2</v>
      </c>
      <c r="BL9" s="12">
        <f>HLOOKUP(BL$2,Interest_Rate_Stresses_Setup!$C$6:$BC$47,Interest_Rate_Stresses_Setup!$A13,FALSE)</f>
        <v>8.7319999999999995E-2</v>
      </c>
      <c r="BM9" s="12">
        <f>HLOOKUP(BM$2,Interest_Rate_Stresses_Setup!$C$6:$BC$47,Interest_Rate_Stresses_Setup!$A13,FALSE)</f>
        <v>2.649E-2</v>
      </c>
      <c r="BN9" s="12">
        <f>HLOOKUP(BN$2,Interest_Rate_Stresses_Setup!$C$6:$BC$47,Interest_Rate_Stresses_Setup!$A13,FALSE)</f>
        <v>1.865E-2</v>
      </c>
      <c r="BO9" s="12">
        <f>HLOOKUP(BO$2,Interest_Rate_Stresses_Setup!$C$6:$BC$47,Interest_Rate_Stresses_Setup!$A13,FALSE)</f>
        <v>3.218E-2</v>
      </c>
      <c r="BP9" s="12">
        <f>HLOOKUP(BP$2,Interest_Rate_Stresses_Setup!$C$6:$BC$47,Interest_Rate_Stresses_Setup!$A13,FALSE)</f>
        <v>0.12298999999999999</v>
      </c>
      <c r="BQ9" s="12">
        <f>HLOOKUP(BQ$2,Interest_Rate_Stresses_Setup!$C$6:$BC$47,Interest_Rate_Stresses_Setup!$A13,FALSE)</f>
        <v>3.0060000000000003E-2</v>
      </c>
      <c r="BR9" s="127">
        <f t="shared" si="1"/>
        <v>1.762E-2</v>
      </c>
      <c r="BS9" s="16">
        <v>6</v>
      </c>
      <c r="BT9" s="12">
        <f>HLOOKUP(BT$2,Interest_Rate_Stresses_Setup!$C$50:$BC$91,Interest_Rate_Stresses_Setup!$A57,FALSE)</f>
        <v>1.1890000000000002E-3</v>
      </c>
      <c r="BU9" s="12">
        <f>HLOOKUP(BU$2,Interest_Rate_Stresses_Setup!$C$50:$BC$91,Interest_Rate_Stresses_Setup!$A57,FALSE)</f>
        <v>8.9900000000000006E-4</v>
      </c>
      <c r="BV9" s="12">
        <f>HLOOKUP(BV$2,Interest_Rate_Stresses_Setup!$C$50:$BC$91,Interest_Rate_Stresses_Setup!$A57,FALSE)</f>
        <v>1.45348E-2</v>
      </c>
      <c r="BW9" s="12">
        <f>HLOOKUP(BW$2,Interest_Rate_Stresses_Setup!$C$50:$BC$91,Interest_Rate_Stresses_Setup!$A57,FALSE)</f>
        <v>3.9440000000000005E-3</v>
      </c>
      <c r="BX9" s="12">
        <f>HLOOKUP(BX$2,Interest_Rate_Stresses_Setup!$C$50:$BC$91,Interest_Rate_Stresses_Setup!$A57,FALSE)</f>
        <v>1.1310000000000001E-3</v>
      </c>
      <c r="BY9" s="12">
        <f>HLOOKUP(BY$2,Interest_Rate_Stresses_Setup!$C$50:$BC$91,Interest_Rate_Stresses_Setup!$A57,FALSE)</f>
        <v>1.2876000000000002E-2</v>
      </c>
      <c r="BZ9" s="12">
        <f>HLOOKUP(BZ$2,Interest_Rate_Stresses_Setup!$C$50:$BC$91,Interest_Rate_Stresses_Setup!$A57,FALSE)</f>
        <v>2.7724000000000006E-2</v>
      </c>
      <c r="CA9" s="12">
        <f>HLOOKUP(CA$2,Interest_Rate_Stresses_Setup!$C$50:$BC$91,Interest_Rate_Stresses_Setup!$A57,FALSE)</f>
        <v>-3.2699999999999999E-3</v>
      </c>
      <c r="CB9" s="12">
        <f>HLOOKUP(CB$2,Interest_Rate_Stresses_Setup!$C$50:$BC$91,Interest_Rate_Stresses_Setup!$A57,FALSE)</f>
        <v>8.7870000000000014E-3</v>
      </c>
      <c r="CC9" s="12">
        <f>HLOOKUP(CC$2,Interest_Rate_Stresses_Setup!$C$50:$BC$91,Interest_Rate_Stresses_Setup!$A57,FALSE)</f>
        <v>1.6808400000000001E-2</v>
      </c>
      <c r="CD9" s="12">
        <f>HLOOKUP(CD$2,Interest_Rate_Stresses_Setup!$C$50:$BC$91,Interest_Rate_Stresses_Setup!$A57,FALSE)</f>
        <v>1.8130800000000002E-2</v>
      </c>
      <c r="CE9" s="12">
        <f>HLOOKUP(CE$2,Interest_Rate_Stresses_Setup!$C$50:$BC$91,Interest_Rate_Stresses_Setup!$A57,FALSE)</f>
        <v>4.6411600000000004E-2</v>
      </c>
      <c r="CF9" s="12">
        <f>HLOOKUP(CF$2,Interest_Rate_Stresses_Setup!$C$50:$BC$91,Interest_Rate_Stresses_Setup!$A57,FALSE)</f>
        <v>2.4766000000000007E-3</v>
      </c>
      <c r="CG9" s="12">
        <f>HLOOKUP(CG$2,Interest_Rate_Stresses_Setup!$C$50:$BC$91,Interest_Rate_Stresses_Setup!$A57,FALSE)</f>
        <v>4.419600000000001E-3</v>
      </c>
      <c r="CH9" s="12">
        <f>HLOOKUP(CH$2,Interest_Rate_Stresses_Setup!$C$50:$BC$91,Interest_Rate_Stresses_Setup!$A57,FALSE)</f>
        <v>1.4418800000000002E-2</v>
      </c>
      <c r="CI9" s="12">
        <f>HLOOKUP(CI$2,Interest_Rate_Stresses_Setup!$C$50:$BC$91,Interest_Rate_Stresses_Setup!$A57,FALSE)</f>
        <v>5.4143000000000011E-2</v>
      </c>
      <c r="CJ9" s="12">
        <f>HLOOKUP(CJ$2,Interest_Rate_Stresses_Setup!$C$50:$BC$91,Interest_Rate_Stresses_Setup!$A57,FALSE)</f>
        <v>7.8764000000000004E-3</v>
      </c>
      <c r="CK9" s="12">
        <f>HLOOKUP(CK$2,Interest_Rate_Stresses_Setup!$C$50:$BC$91,Interest_Rate_Stresses_Setup!$A57,FALSE)</f>
        <v>2.0416000000000004E-2</v>
      </c>
      <c r="CL9" s="12">
        <f>HLOOKUP(CL$2,Interest_Rate_Stresses_Setup!$C$50:$BC$91,Interest_Rate_Stresses_Setup!$A57,FALSE)</f>
        <v>2.1970400000000001E-2</v>
      </c>
      <c r="CM9" s="12">
        <f>HLOOKUP(CM$2,Interest_Rate_Stresses_Setup!$C$50:$BC$91,Interest_Rate_Stresses_Setup!$A57,FALSE)</f>
        <v>3.3860400000000006E-2</v>
      </c>
      <c r="CN9" s="12">
        <f>HLOOKUP(CN$2,Interest_Rate_Stresses_Setup!$C$50:$BC$91,Interest_Rate_Stresses_Setup!$A57,FALSE)</f>
        <v>1.14202E-2</v>
      </c>
      <c r="CO9" s="12">
        <f>HLOOKUP(CO$2,Interest_Rate_Stresses_Setup!$C$50:$BC$91,Interest_Rate_Stresses_Setup!$A57,FALSE)</f>
        <v>3.7653600000000009E-2</v>
      </c>
      <c r="CP9" s="12">
        <f>HLOOKUP(CP$2,Interest_Rate_Stresses_Setup!$C$50:$BC$91,Interest_Rate_Stresses_Setup!$A57,FALSE)</f>
        <v>1.9140000000000002E-4</v>
      </c>
      <c r="CQ9" s="12">
        <f>HLOOKUP(CQ$2,Interest_Rate_Stresses_Setup!$C$50:$BC$91,Interest_Rate_Stresses_Setup!$A57,FALSE)</f>
        <v>2.1802200000000001E-2</v>
      </c>
      <c r="CR9" s="12">
        <f>HLOOKUP(CR$2,Interest_Rate_Stresses_Setup!$C$50:$BC$91,Interest_Rate_Stresses_Setup!$A57,FALSE)</f>
        <v>4.1487400000000001E-2</v>
      </c>
      <c r="CS9" s="12">
        <f>HLOOKUP(CS$2,Interest_Rate_Stresses_Setup!$C$50:$BC$91,Interest_Rate_Stresses_Setup!$A57,FALSE)</f>
        <v>1.6785200000000004E-2</v>
      </c>
      <c r="CT9" s="12">
        <f>HLOOKUP(CT$2,Interest_Rate_Stresses_Setup!$C$50:$BC$91,Interest_Rate_Stresses_Setup!$A57,FALSE)</f>
        <v>1.1872600000000001E-2</v>
      </c>
      <c r="CU9" s="12">
        <f>HLOOKUP(CU$2,Interest_Rate_Stresses_Setup!$C$50:$BC$91,Interest_Rate_Stresses_Setup!$A57,FALSE)</f>
        <v>4.4845600000000006E-2</v>
      </c>
      <c r="CV9" s="12">
        <f>HLOOKUP(CV$2,Interest_Rate_Stresses_Setup!$C$50:$BC$91,Interest_Rate_Stresses_Setup!$A57,FALSE)</f>
        <v>9.5642000000000019E-3</v>
      </c>
      <c r="CW9" s="12">
        <f>HLOOKUP(CW$2,Interest_Rate_Stresses_Setup!$C$50:$BC$91,Interest_Rate_Stresses_Setup!$A57,FALSE)</f>
        <v>5.0170000000000006E-3</v>
      </c>
      <c r="CX9" s="12">
        <f>HLOOKUP(CX$2,Interest_Rate_Stresses_Setup!$C$50:$BC$91,Interest_Rate_Stresses_Setup!$A57,FALSE)</f>
        <v>1.28644E-2</v>
      </c>
      <c r="CY9" s="12">
        <f>HLOOKUP(CY$2,Interest_Rate_Stresses_Setup!$C$50:$BC$91,Interest_Rate_Stresses_Setup!$A57,FALSE)</f>
        <v>6.5534200000000001E-2</v>
      </c>
      <c r="CZ9" s="12">
        <f>HLOOKUP(CZ$2,Interest_Rate_Stresses_Setup!$C$50:$BC$91,Interest_Rate_Stresses_Setup!$A57,FALSE)</f>
        <v>1.1634800000000002E-2</v>
      </c>
      <c r="DA9" s="127">
        <f t="shared" si="2"/>
        <v>4.419600000000001E-3</v>
      </c>
    </row>
    <row r="10" spans="1:105" x14ac:dyDescent="0.25">
      <c r="A10" s="11">
        <v>7</v>
      </c>
      <c r="B10" s="12">
        <f>HLOOKUP(B$2,EIOPA_Spot_Rates,EIOPA_RFR!$A19,FALSE)</f>
        <v>3.2799999999999999E-3</v>
      </c>
      <c r="C10" s="12">
        <f>HLOOKUP(C$2,EIOPA_Spot_Rates,EIOPA_RFR!$A19,FALSE)</f>
        <v>2.7799999999999999E-3</v>
      </c>
      <c r="D10" s="12">
        <f>HLOOKUP(D$2,EIOPA_Spot_Rates,EIOPA_RFR!$A19,FALSE)</f>
        <v>2.631E-2</v>
      </c>
      <c r="E10" s="12">
        <f>HLOOKUP(E$2,EIOPA_Spot_Rates,EIOPA_RFR!$A19,FALSE)</f>
        <v>7.4900000000000001E-3</v>
      </c>
      <c r="F10" s="12">
        <f>HLOOKUP(F$2,EIOPA_Spot_Rates,EIOPA_RFR!$A19,FALSE)</f>
        <v>3.1800000000000001E-3</v>
      </c>
      <c r="G10" s="12">
        <f>HLOOKUP(G$2,EIOPA_Spot_Rates,EIOPA_RFR!$A19,FALSE)</f>
        <v>2.5610000000000001E-2</v>
      </c>
      <c r="H10" s="12">
        <f>HLOOKUP(H$2,EIOPA_Spot_Rates,EIOPA_RFR!$A19,FALSE)</f>
        <v>4.7739999999999998E-2</v>
      </c>
      <c r="I10" s="12">
        <f>HLOOKUP(I$2,EIOPA_Spot_Rates,EIOPA_RFR!$A19,FALSE)</f>
        <v>-2.1800000000000001E-3</v>
      </c>
      <c r="J10" s="12">
        <f>HLOOKUP(J$2,EIOPA_Spot_Rates,EIOPA_RFR!$A19,FALSE)</f>
        <v>1.619E-2</v>
      </c>
      <c r="K10" s="12">
        <f>HLOOKUP(K$2,EIOPA_Spot_Rates,EIOPA_RFR!$A19,FALSE)</f>
        <v>3.0130000000000001E-2</v>
      </c>
      <c r="L10" s="12">
        <f>HLOOKUP(L$2,EIOPA_Spot_Rates,EIOPA_RFR!$A19,FALSE)</f>
        <v>3.39E-2</v>
      </c>
      <c r="M10" s="12">
        <f>HLOOKUP(M$2,EIOPA_Spot_Rates,EIOPA_RFR!$A19,FALSE)</f>
        <v>7.9060000000000005E-2</v>
      </c>
      <c r="N10" s="12">
        <f>HLOOKUP(N$2,EIOPA_Spot_Rates,EIOPA_RFR!$A19,FALSE)</f>
        <v>6.1000000000000004E-3</v>
      </c>
      <c r="O10" s="12">
        <f>HLOOKUP(O$2,EIOPA_Spot_Rates,EIOPA_RFR!$A19,FALSE)</f>
        <v>8.3700000000000007E-3</v>
      </c>
      <c r="P10" s="12">
        <f>HLOOKUP(P$2,EIOPA_Spot_Rates,EIOPA_RFR!$A19,FALSE)</f>
        <v>2.5839999999999998E-2</v>
      </c>
      <c r="Q10" s="12">
        <f>HLOOKUP(Q$2,EIOPA_Spot_Rates,EIOPA_RFR!$A19,FALSE)</f>
        <v>9.3439999999999995E-2</v>
      </c>
      <c r="R10" s="12">
        <f>HLOOKUP(R$2,EIOPA_Spot_Rates,EIOPA_RFR!$A19,FALSE)</f>
        <v>1.453E-2</v>
      </c>
      <c r="S10" s="12">
        <f>HLOOKUP(S$2,EIOPA_Spot_Rates,EIOPA_RFR!$A19,FALSE)</f>
        <v>3.678E-2</v>
      </c>
      <c r="T10" s="12">
        <f>HLOOKUP(T$2,EIOPA_Spot_Rates,EIOPA_RFR!$A19,FALSE)</f>
        <v>3.9410000000000001E-2</v>
      </c>
      <c r="U10" s="12">
        <f>HLOOKUP(U$2,EIOPA_Spot_Rates,EIOPA_RFR!$A19,FALSE)</f>
        <v>5.9499999999999997E-2</v>
      </c>
      <c r="V10" s="12">
        <f>HLOOKUP(V$2,EIOPA_Spot_Rates,EIOPA_RFR!$A19,FALSE)</f>
        <v>2.0549999999999999E-2</v>
      </c>
      <c r="W10" s="12">
        <f>HLOOKUP(W$2,EIOPA_Spot_Rates,EIOPA_RFR!$A19,FALSE)</f>
        <v>6.565E-2</v>
      </c>
      <c r="X10" s="12">
        <f>HLOOKUP(X$2,EIOPA_Spot_Rates,EIOPA_RFR!$A19,FALSE)</f>
        <v>6.0999999999999997E-4</v>
      </c>
      <c r="Y10" s="12">
        <f>HLOOKUP(Y$2,EIOPA_Spot_Rates,EIOPA_RFR!$A19,FALSE)</f>
        <v>3.8059999999999997E-2</v>
      </c>
      <c r="Z10" s="12">
        <f>HLOOKUP(Z$2,EIOPA_Spot_Rates,EIOPA_RFR!$A19,FALSE)</f>
        <v>7.2239999999999999E-2</v>
      </c>
      <c r="AA10" s="12">
        <f>HLOOKUP(AA$2,EIOPA_Spot_Rates,EIOPA_RFR!$A19,FALSE)</f>
        <v>3.0269999999999998E-2</v>
      </c>
      <c r="AB10" s="12">
        <f>HLOOKUP(AB$2,EIOPA_Spot_Rates,EIOPA_RFR!$A19,FALSE)</f>
        <v>2.154E-2</v>
      </c>
      <c r="AC10" s="12">
        <f>HLOOKUP(AC$2,EIOPA_Spot_Rates,EIOPA_RFR!$A19,FALSE)</f>
        <v>7.8649999999999998E-2</v>
      </c>
      <c r="AD10" s="12">
        <f>HLOOKUP(AD$2,EIOPA_Spot_Rates,EIOPA_RFR!$A19,FALSE)</f>
        <v>1.687E-2</v>
      </c>
      <c r="AE10" s="12">
        <f>HLOOKUP(AE$2,EIOPA_Spot_Rates,EIOPA_RFR!$A19,FALSE)</f>
        <v>9.2099999999999994E-3</v>
      </c>
      <c r="AF10" s="12">
        <f>HLOOKUP(AF$2,EIOPA_Spot_Rates,EIOPA_RFR!$A19,FALSE)</f>
        <v>2.3230000000000001E-2</v>
      </c>
      <c r="AG10" s="12">
        <f>HLOOKUP(AG$2,EIOPA_Spot_Rates,EIOPA_RFR!$A19,FALSE)</f>
        <v>0.11078</v>
      </c>
      <c r="AH10" s="12">
        <f>HLOOKUP(AH$2,EIOPA_Spot_Rates,EIOPA_RFR!$A19,FALSE)</f>
        <v>2.085E-2</v>
      </c>
      <c r="AI10" s="127">
        <f t="shared" si="0"/>
        <v>8.3700000000000007E-3</v>
      </c>
      <c r="AJ10" s="16">
        <v>7</v>
      </c>
      <c r="AK10" s="12">
        <f>HLOOKUP(AK$2,Interest_Rate_Stresses_Setup!$C$6:$BC$47,Interest_Rate_Stresses_Setup!$A14,FALSE)</f>
        <v>1.328E-2</v>
      </c>
      <c r="AL10" s="12">
        <f>HLOOKUP(AL$2,Interest_Rate_Stresses_Setup!$C$6:$BC$47,Interest_Rate_Stresses_Setup!$A14,FALSE)</f>
        <v>1.278E-2</v>
      </c>
      <c r="AM10" s="12">
        <f>HLOOKUP(AM$2,Interest_Rate_Stresses_Setup!$C$6:$BC$47,Interest_Rate_Stresses_Setup!$A14,FALSE)</f>
        <v>3.6310000000000002E-2</v>
      </c>
      <c r="AN10" s="12">
        <f>HLOOKUP(AN$2,Interest_Rate_Stresses_Setup!$C$6:$BC$47,Interest_Rate_Stresses_Setup!$A14,FALSE)</f>
        <v>1.7489999999999999E-2</v>
      </c>
      <c r="AO10" s="12">
        <f>HLOOKUP(AO$2,Interest_Rate_Stresses_Setup!$C$6:$BC$47,Interest_Rate_Stresses_Setup!$A14,FALSE)</f>
        <v>1.3180000000000001E-2</v>
      </c>
      <c r="AP10" s="12">
        <f>HLOOKUP(AP$2,Interest_Rate_Stresses_Setup!$C$6:$BC$47,Interest_Rate_Stresses_Setup!$A14,FALSE)</f>
        <v>3.5610000000000003E-2</v>
      </c>
      <c r="AQ10" s="12">
        <f>HLOOKUP(AQ$2,Interest_Rate_Stresses_Setup!$C$6:$BC$47,Interest_Rate_Stresses_Setup!$A14,FALSE)</f>
        <v>5.774E-2</v>
      </c>
      <c r="AR10" s="12">
        <f>HLOOKUP(AR$2,Interest_Rate_Stresses_Setup!$C$6:$BC$47,Interest_Rate_Stresses_Setup!$A14,FALSE)</f>
        <v>7.8200000000000006E-3</v>
      </c>
      <c r="AS10" s="12">
        <f>HLOOKUP(AS$2,Interest_Rate_Stresses_Setup!$C$6:$BC$47,Interest_Rate_Stresses_Setup!$A14,FALSE)</f>
        <v>2.6189999999999998E-2</v>
      </c>
      <c r="AT10" s="12">
        <f>HLOOKUP(AT$2,Interest_Rate_Stresses_Setup!$C$6:$BC$47,Interest_Rate_Stresses_Setup!$A14,FALSE)</f>
        <v>4.0129999999999999E-2</v>
      </c>
      <c r="AU10" s="12">
        <f>HLOOKUP(AU$2,Interest_Rate_Stresses_Setup!$C$6:$BC$47,Interest_Rate_Stresses_Setup!$A14,FALSE)</f>
        <v>4.3900000000000002E-2</v>
      </c>
      <c r="AV10" s="12">
        <f>HLOOKUP(AV$2,Interest_Rate_Stresses_Setup!$C$6:$BC$47,Interest_Rate_Stresses_Setup!$A14,FALSE)</f>
        <v>8.906E-2</v>
      </c>
      <c r="AW10" s="12">
        <f>HLOOKUP(AW$2,Interest_Rate_Stresses_Setup!$C$6:$BC$47,Interest_Rate_Stresses_Setup!$A14,FALSE)</f>
        <v>1.61E-2</v>
      </c>
      <c r="AX10" s="12">
        <f>HLOOKUP(AX$2,Interest_Rate_Stresses_Setup!$C$6:$BC$47,Interest_Rate_Stresses_Setup!$A14,FALSE)</f>
        <v>1.8370000000000001E-2</v>
      </c>
      <c r="AY10" s="12">
        <f>HLOOKUP(AY$2,Interest_Rate_Stresses_Setup!$C$6:$BC$47,Interest_Rate_Stresses_Setup!$A14,FALSE)</f>
        <v>3.5839999999999997E-2</v>
      </c>
      <c r="AZ10" s="12">
        <f>HLOOKUP(AZ$2,Interest_Rate_Stresses_Setup!$C$6:$BC$47,Interest_Rate_Stresses_Setup!$A14,FALSE)</f>
        <v>0.10343999999999999</v>
      </c>
      <c r="BA10" s="12">
        <f>HLOOKUP(BA$2,Interest_Rate_Stresses_Setup!$C$6:$BC$47,Interest_Rate_Stresses_Setup!$A14,FALSE)</f>
        <v>2.453E-2</v>
      </c>
      <c r="BB10" s="12">
        <f>HLOOKUP(BB$2,Interest_Rate_Stresses_Setup!$C$6:$BC$47,Interest_Rate_Stresses_Setup!$A14,FALSE)</f>
        <v>4.6780000000000002E-2</v>
      </c>
      <c r="BC10" s="12">
        <f>HLOOKUP(BC$2,Interest_Rate_Stresses_Setup!$C$6:$BC$47,Interest_Rate_Stresses_Setup!$A14,FALSE)</f>
        <v>4.9410000000000003E-2</v>
      </c>
      <c r="BD10" s="12">
        <f>HLOOKUP(BD$2,Interest_Rate_Stresses_Setup!$C$6:$BC$47,Interest_Rate_Stresses_Setup!$A14,FALSE)</f>
        <v>6.9499999999999992E-2</v>
      </c>
      <c r="BE10" s="12">
        <f>HLOOKUP(BE$2,Interest_Rate_Stresses_Setup!$C$6:$BC$47,Interest_Rate_Stresses_Setup!$A14,FALSE)</f>
        <v>3.0550000000000001E-2</v>
      </c>
      <c r="BF10" s="12">
        <f>HLOOKUP(BF$2,Interest_Rate_Stresses_Setup!$C$6:$BC$47,Interest_Rate_Stresses_Setup!$A14,FALSE)</f>
        <v>7.5649999999999995E-2</v>
      </c>
      <c r="BG10" s="12">
        <f>HLOOKUP(BG$2,Interest_Rate_Stresses_Setup!$C$6:$BC$47,Interest_Rate_Stresses_Setup!$A14,FALSE)</f>
        <v>1.061E-2</v>
      </c>
      <c r="BH10" s="12">
        <f>HLOOKUP(BH$2,Interest_Rate_Stresses_Setup!$C$6:$BC$47,Interest_Rate_Stresses_Setup!$A14,FALSE)</f>
        <v>4.8059999999999999E-2</v>
      </c>
      <c r="BI10" s="12">
        <f>HLOOKUP(BI$2,Interest_Rate_Stresses_Setup!$C$6:$BC$47,Interest_Rate_Stresses_Setup!$A14,FALSE)</f>
        <v>8.2239999999999994E-2</v>
      </c>
      <c r="BJ10" s="12">
        <f>HLOOKUP(BJ$2,Interest_Rate_Stresses_Setup!$C$6:$BC$47,Interest_Rate_Stresses_Setup!$A14,FALSE)</f>
        <v>4.027E-2</v>
      </c>
      <c r="BK10" s="12">
        <f>HLOOKUP(BK$2,Interest_Rate_Stresses_Setup!$C$6:$BC$47,Interest_Rate_Stresses_Setup!$A14,FALSE)</f>
        <v>3.1539999999999999E-2</v>
      </c>
      <c r="BL10" s="12">
        <f>HLOOKUP(BL$2,Interest_Rate_Stresses_Setup!$C$6:$BC$47,Interest_Rate_Stresses_Setup!$A14,FALSE)</f>
        <v>8.8649999999999993E-2</v>
      </c>
      <c r="BM10" s="12">
        <f>HLOOKUP(BM$2,Interest_Rate_Stresses_Setup!$C$6:$BC$47,Interest_Rate_Stresses_Setup!$A14,FALSE)</f>
        <v>2.6869999999999998E-2</v>
      </c>
      <c r="BN10" s="12">
        <f>HLOOKUP(BN$2,Interest_Rate_Stresses_Setup!$C$6:$BC$47,Interest_Rate_Stresses_Setup!$A14,FALSE)</f>
        <v>1.9209999999999998E-2</v>
      </c>
      <c r="BO10" s="12">
        <f>HLOOKUP(BO$2,Interest_Rate_Stresses_Setup!$C$6:$BC$47,Interest_Rate_Stresses_Setup!$A14,FALSE)</f>
        <v>3.3230000000000003E-2</v>
      </c>
      <c r="BP10" s="12">
        <f>HLOOKUP(BP$2,Interest_Rate_Stresses_Setup!$C$6:$BC$47,Interest_Rate_Stresses_Setup!$A14,FALSE)</f>
        <v>0.12078</v>
      </c>
      <c r="BQ10" s="12">
        <f>HLOOKUP(BQ$2,Interest_Rate_Stresses_Setup!$C$6:$BC$47,Interest_Rate_Stresses_Setup!$A14,FALSE)</f>
        <v>3.0850000000000002E-2</v>
      </c>
      <c r="BR10" s="127">
        <f t="shared" si="1"/>
        <v>1.8370000000000001E-2</v>
      </c>
      <c r="BS10" s="16">
        <v>7</v>
      </c>
      <c r="BT10" s="12">
        <f>HLOOKUP(BT$2,Interest_Rate_Stresses_Setup!$C$50:$BC$91,Interest_Rate_Stresses_Setup!$A58,FALSE)</f>
        <v>2.0008000000000001E-3</v>
      </c>
      <c r="BU10" s="12">
        <f>HLOOKUP(BU$2,Interest_Rate_Stresses_Setup!$C$50:$BC$91,Interest_Rate_Stresses_Setup!$A58,FALSE)</f>
        <v>1.6957999999999999E-3</v>
      </c>
      <c r="BV10" s="12">
        <f>HLOOKUP(BV$2,Interest_Rate_Stresses_Setup!$C$50:$BC$91,Interest_Rate_Stresses_Setup!$A58,FALSE)</f>
        <v>1.60491E-2</v>
      </c>
      <c r="BW10" s="12">
        <f>HLOOKUP(BW$2,Interest_Rate_Stresses_Setup!$C$50:$BC$91,Interest_Rate_Stresses_Setup!$A58,FALSE)</f>
        <v>4.5688999999999999E-3</v>
      </c>
      <c r="BX10" s="12">
        <f>HLOOKUP(BX$2,Interest_Rate_Stresses_Setup!$C$50:$BC$91,Interest_Rate_Stresses_Setup!$A58,FALSE)</f>
        <v>1.9398E-3</v>
      </c>
      <c r="BY10" s="12">
        <f>HLOOKUP(BY$2,Interest_Rate_Stresses_Setup!$C$50:$BC$91,Interest_Rate_Stresses_Setup!$A58,FALSE)</f>
        <v>1.56221E-2</v>
      </c>
      <c r="BZ10" s="12">
        <f>HLOOKUP(BZ$2,Interest_Rate_Stresses_Setup!$C$50:$BC$91,Interest_Rate_Stresses_Setup!$A58,FALSE)</f>
        <v>2.9121399999999999E-2</v>
      </c>
      <c r="CA10" s="12">
        <f>HLOOKUP(CA$2,Interest_Rate_Stresses_Setup!$C$50:$BC$91,Interest_Rate_Stresses_Setup!$A58,FALSE)</f>
        <v>-2.1800000000000001E-3</v>
      </c>
      <c r="CB10" s="12">
        <f>HLOOKUP(CB$2,Interest_Rate_Stresses_Setup!$C$50:$BC$91,Interest_Rate_Stresses_Setup!$A58,FALSE)</f>
        <v>9.8759E-3</v>
      </c>
      <c r="CC10" s="12">
        <f>HLOOKUP(CC$2,Interest_Rate_Stresses_Setup!$C$50:$BC$91,Interest_Rate_Stresses_Setup!$A58,FALSE)</f>
        <v>1.8379300000000001E-2</v>
      </c>
      <c r="CD10" s="12">
        <f>HLOOKUP(CD$2,Interest_Rate_Stresses_Setup!$C$50:$BC$91,Interest_Rate_Stresses_Setup!$A58,FALSE)</f>
        <v>2.0678999999999999E-2</v>
      </c>
      <c r="CE10" s="12">
        <f>HLOOKUP(CE$2,Interest_Rate_Stresses_Setup!$C$50:$BC$91,Interest_Rate_Stresses_Setup!$A58,FALSE)</f>
        <v>4.8226600000000001E-2</v>
      </c>
      <c r="CF10" s="12">
        <f>HLOOKUP(CF$2,Interest_Rate_Stresses_Setup!$C$50:$BC$91,Interest_Rate_Stresses_Setup!$A58,FALSE)</f>
        <v>3.7210000000000003E-3</v>
      </c>
      <c r="CG10" s="12">
        <f>HLOOKUP(CG$2,Interest_Rate_Stresses_Setup!$C$50:$BC$91,Interest_Rate_Stresses_Setup!$A58,FALSE)</f>
        <v>5.1057000000000003E-3</v>
      </c>
      <c r="CH10" s="12">
        <f>HLOOKUP(CH$2,Interest_Rate_Stresses_Setup!$C$50:$BC$91,Interest_Rate_Stresses_Setup!$A58,FALSE)</f>
        <v>1.5762399999999999E-2</v>
      </c>
      <c r="CI10" s="12">
        <f>HLOOKUP(CI$2,Interest_Rate_Stresses_Setup!$C$50:$BC$91,Interest_Rate_Stresses_Setup!$A58,FALSE)</f>
        <v>5.6998399999999998E-2</v>
      </c>
      <c r="CJ10" s="12">
        <f>HLOOKUP(CJ$2,Interest_Rate_Stresses_Setup!$C$50:$BC$91,Interest_Rate_Stresses_Setup!$A58,FALSE)</f>
        <v>8.8632999999999993E-3</v>
      </c>
      <c r="CK10" s="12">
        <f>HLOOKUP(CK$2,Interest_Rate_Stresses_Setup!$C$50:$BC$91,Interest_Rate_Stresses_Setup!$A58,FALSE)</f>
        <v>2.2435799999999999E-2</v>
      </c>
      <c r="CL10" s="12">
        <f>HLOOKUP(CL$2,Interest_Rate_Stresses_Setup!$C$50:$BC$91,Interest_Rate_Stresses_Setup!$A58,FALSE)</f>
        <v>2.4040099999999998E-2</v>
      </c>
      <c r="CM10" s="12">
        <f>HLOOKUP(CM$2,Interest_Rate_Stresses_Setup!$C$50:$BC$91,Interest_Rate_Stresses_Setup!$A58,FALSE)</f>
        <v>3.6295000000000001E-2</v>
      </c>
      <c r="CN10" s="12">
        <f>HLOOKUP(CN$2,Interest_Rate_Stresses_Setup!$C$50:$BC$91,Interest_Rate_Stresses_Setup!$A58,FALSE)</f>
        <v>1.25355E-2</v>
      </c>
      <c r="CO10" s="12">
        <f>HLOOKUP(CO$2,Interest_Rate_Stresses_Setup!$C$50:$BC$91,Interest_Rate_Stresses_Setup!$A58,FALSE)</f>
        <v>4.0046499999999999E-2</v>
      </c>
      <c r="CP10" s="12">
        <f>HLOOKUP(CP$2,Interest_Rate_Stresses_Setup!$C$50:$BC$91,Interest_Rate_Stresses_Setup!$A58,FALSE)</f>
        <v>3.7209999999999999E-4</v>
      </c>
      <c r="CQ10" s="12">
        <f>HLOOKUP(CQ$2,Interest_Rate_Stresses_Setup!$C$50:$BC$91,Interest_Rate_Stresses_Setup!$A58,FALSE)</f>
        <v>2.3216599999999997E-2</v>
      </c>
      <c r="CR10" s="12">
        <f>HLOOKUP(CR$2,Interest_Rate_Stresses_Setup!$C$50:$BC$91,Interest_Rate_Stresses_Setup!$A58,FALSE)</f>
        <v>4.4066399999999999E-2</v>
      </c>
      <c r="CS10" s="12">
        <f>HLOOKUP(CS$2,Interest_Rate_Stresses_Setup!$C$50:$BC$91,Interest_Rate_Stresses_Setup!$A58,FALSE)</f>
        <v>1.8464699999999997E-2</v>
      </c>
      <c r="CT10" s="12">
        <f>HLOOKUP(CT$2,Interest_Rate_Stresses_Setup!$C$50:$BC$91,Interest_Rate_Stresses_Setup!$A58,FALSE)</f>
        <v>1.3139399999999999E-2</v>
      </c>
      <c r="CU10" s="12">
        <f>HLOOKUP(CU$2,Interest_Rate_Stresses_Setup!$C$50:$BC$91,Interest_Rate_Stresses_Setup!$A58,FALSE)</f>
        <v>4.7976499999999998E-2</v>
      </c>
      <c r="CV10" s="12">
        <f>HLOOKUP(CV$2,Interest_Rate_Stresses_Setup!$C$50:$BC$91,Interest_Rate_Stresses_Setup!$A58,FALSE)</f>
        <v>1.02907E-2</v>
      </c>
      <c r="CW10" s="12">
        <f>HLOOKUP(CW$2,Interest_Rate_Stresses_Setup!$C$50:$BC$91,Interest_Rate_Stresses_Setup!$A58,FALSE)</f>
        <v>5.6180999999999991E-3</v>
      </c>
      <c r="CX10" s="12">
        <f>HLOOKUP(CX$2,Interest_Rate_Stresses_Setup!$C$50:$BC$91,Interest_Rate_Stresses_Setup!$A58,FALSE)</f>
        <v>1.41703E-2</v>
      </c>
      <c r="CY10" s="12">
        <f>HLOOKUP(CY$2,Interest_Rate_Stresses_Setup!$C$50:$BC$91,Interest_Rate_Stresses_Setup!$A58,FALSE)</f>
        <v>6.7575800000000005E-2</v>
      </c>
      <c r="CZ10" s="12">
        <f>HLOOKUP(CZ$2,Interest_Rate_Stresses_Setup!$C$50:$BC$91,Interest_Rate_Stresses_Setup!$A58,FALSE)</f>
        <v>1.2718500000000001E-2</v>
      </c>
      <c r="DA10" s="127">
        <f t="shared" si="2"/>
        <v>5.1057000000000003E-3</v>
      </c>
    </row>
    <row r="11" spans="1:105" x14ac:dyDescent="0.25">
      <c r="A11" s="11">
        <v>8</v>
      </c>
      <c r="B11" s="12">
        <f>HLOOKUP(B$2,EIOPA_Spot_Rates,EIOPA_RFR!$A20,FALSE)</f>
        <v>4.5199999999999997E-3</v>
      </c>
      <c r="C11" s="12">
        <f>HLOOKUP(C$2,EIOPA_Spot_Rates,EIOPA_RFR!$A20,FALSE)</f>
        <v>4.0099999999999997E-3</v>
      </c>
      <c r="D11" s="12">
        <f>HLOOKUP(D$2,EIOPA_Spot_Rates,EIOPA_RFR!$A20,FALSE)</f>
        <v>2.733E-2</v>
      </c>
      <c r="E11" s="12">
        <f>HLOOKUP(E$2,EIOPA_Spot_Rates,EIOPA_RFR!$A20,FALSE)</f>
        <v>8.1899999999999994E-3</v>
      </c>
      <c r="F11" s="12">
        <f>HLOOKUP(F$2,EIOPA_Spot_Rates,EIOPA_RFR!$A20,FALSE)</f>
        <v>4.4200000000000003E-3</v>
      </c>
      <c r="G11" s="12">
        <f>HLOOKUP(G$2,EIOPA_Spot_Rates,EIOPA_RFR!$A20,FALSE)</f>
        <v>2.8139999999999998E-2</v>
      </c>
      <c r="H11" s="12">
        <f>HLOOKUP(H$2,EIOPA_Spot_Rates,EIOPA_RFR!$A20,FALSE)</f>
        <v>4.7699999999999999E-2</v>
      </c>
      <c r="I11" s="12">
        <f>HLOOKUP(I$2,EIOPA_Spot_Rates,EIOPA_RFR!$A20,FALSE)</f>
        <v>-1.2099999999999999E-3</v>
      </c>
      <c r="J11" s="12">
        <f>HLOOKUP(J$2,EIOPA_Spot_Rates,EIOPA_RFR!$A20,FALSE)</f>
        <v>1.7080000000000001E-2</v>
      </c>
      <c r="K11" s="12">
        <f>HLOOKUP(K$2,EIOPA_Spot_Rates,EIOPA_RFR!$A20,FALSE)</f>
        <v>3.1320000000000001E-2</v>
      </c>
      <c r="L11" s="12">
        <f>HLOOKUP(L$2,EIOPA_Spot_Rates,EIOPA_RFR!$A20,FALSE)</f>
        <v>3.5810000000000002E-2</v>
      </c>
      <c r="M11" s="12">
        <f>HLOOKUP(M$2,EIOPA_Spot_Rates,EIOPA_RFR!$A20,FALSE)</f>
        <v>7.8210000000000002E-2</v>
      </c>
      <c r="N11" s="12">
        <f>HLOOKUP(N$2,EIOPA_Spot_Rates,EIOPA_RFR!$A20,FALSE)</f>
        <v>7.7299999999999999E-3</v>
      </c>
      <c r="O11" s="12">
        <f>HLOOKUP(O$2,EIOPA_Spot_Rates,EIOPA_RFR!$A20,FALSE)</f>
        <v>9.0799999999999995E-3</v>
      </c>
      <c r="P11" s="12">
        <f>HLOOKUP(P$2,EIOPA_Spot_Rates,EIOPA_RFR!$A20,FALSE)</f>
        <v>2.6780000000000002E-2</v>
      </c>
      <c r="Q11" s="12">
        <f>HLOOKUP(Q$2,EIOPA_Spot_Rates,EIOPA_RFR!$A20,FALSE)</f>
        <v>9.3509999999999996E-2</v>
      </c>
      <c r="R11" s="12">
        <f>HLOOKUP(R$2,EIOPA_Spot_Rates,EIOPA_RFR!$A20,FALSE)</f>
        <v>1.5440000000000001E-2</v>
      </c>
      <c r="S11" s="12">
        <f>HLOOKUP(S$2,EIOPA_Spot_Rates,EIOPA_RFR!$A20,FALSE)</f>
        <v>3.798E-2</v>
      </c>
      <c r="T11" s="12">
        <f>HLOOKUP(T$2,EIOPA_Spot_Rates,EIOPA_RFR!$A20,FALSE)</f>
        <v>4.0620000000000003E-2</v>
      </c>
      <c r="U11" s="12">
        <f>HLOOKUP(U$2,EIOPA_Spot_Rates,EIOPA_RFR!$A20,FALSE)</f>
        <v>6.0720000000000003E-2</v>
      </c>
      <c r="V11" s="12">
        <f>HLOOKUP(V$2,EIOPA_Spot_Rates,EIOPA_RFR!$A20,FALSE)</f>
        <v>2.1270000000000001E-2</v>
      </c>
      <c r="W11" s="12">
        <f>HLOOKUP(W$2,EIOPA_Spot_Rates,EIOPA_RFR!$A20,FALSE)</f>
        <v>6.6460000000000005E-2</v>
      </c>
      <c r="X11" s="12">
        <f>HLOOKUP(X$2,EIOPA_Spot_Rates,EIOPA_RFR!$A20,FALSE)</f>
        <v>9.3999999999999997E-4</v>
      </c>
      <c r="Y11" s="12">
        <f>HLOOKUP(Y$2,EIOPA_Spot_Rates,EIOPA_RFR!$A20,FALSE)</f>
        <v>3.8580000000000003E-2</v>
      </c>
      <c r="Z11" s="12">
        <f>HLOOKUP(Z$2,EIOPA_Spot_Rates,EIOPA_RFR!$A20,FALSE)</f>
        <v>7.2770000000000001E-2</v>
      </c>
      <c r="AA11" s="12">
        <f>HLOOKUP(AA$2,EIOPA_Spot_Rates,EIOPA_RFR!$A20,FALSE)</f>
        <v>3.1390000000000001E-2</v>
      </c>
      <c r="AB11" s="12">
        <f>HLOOKUP(AB$2,EIOPA_Spot_Rates,EIOPA_RFR!$A20,FALSE)</f>
        <v>2.2499999999999999E-2</v>
      </c>
      <c r="AC11" s="12">
        <f>HLOOKUP(AC$2,EIOPA_Spot_Rates,EIOPA_RFR!$A20,FALSE)</f>
        <v>7.9850000000000004E-2</v>
      </c>
      <c r="AD11" s="12">
        <f>HLOOKUP(AD$2,EIOPA_Spot_Rates,EIOPA_RFR!$A20,FALSE)</f>
        <v>1.7270000000000001E-2</v>
      </c>
      <c r="AE11" s="12">
        <f>HLOOKUP(AE$2,EIOPA_Spot_Rates,EIOPA_RFR!$A20,FALSE)</f>
        <v>9.8200000000000006E-3</v>
      </c>
      <c r="AF11" s="12">
        <f>HLOOKUP(AF$2,EIOPA_Spot_Rates,EIOPA_RFR!$A20,FALSE)</f>
        <v>2.4140000000000002E-2</v>
      </c>
      <c r="AG11" s="12">
        <f>HLOOKUP(AG$2,EIOPA_Spot_Rates,EIOPA_RFR!$A20,FALSE)</f>
        <v>0.10888</v>
      </c>
      <c r="AH11" s="12">
        <f>HLOOKUP(AH$2,EIOPA_Spot_Rates,EIOPA_RFR!$A20,FALSE)</f>
        <v>2.1520000000000001E-2</v>
      </c>
      <c r="AI11" s="127">
        <f t="shared" si="0"/>
        <v>9.0799999999999995E-3</v>
      </c>
      <c r="AJ11" s="16">
        <v>8</v>
      </c>
      <c r="AK11" s="12">
        <f>HLOOKUP(AK$2,Interest_Rate_Stresses_Setup!$C$6:$BC$47,Interest_Rate_Stresses_Setup!$A15,FALSE)</f>
        <v>1.452E-2</v>
      </c>
      <c r="AL11" s="12">
        <f>HLOOKUP(AL$2,Interest_Rate_Stresses_Setup!$C$6:$BC$47,Interest_Rate_Stresses_Setup!$A15,FALSE)</f>
        <v>1.401E-2</v>
      </c>
      <c r="AM11" s="12">
        <f>HLOOKUP(AM$2,Interest_Rate_Stresses_Setup!$C$6:$BC$47,Interest_Rate_Stresses_Setup!$A15,FALSE)</f>
        <v>3.7330000000000002E-2</v>
      </c>
      <c r="AN11" s="12">
        <f>HLOOKUP(AN$2,Interest_Rate_Stresses_Setup!$C$6:$BC$47,Interest_Rate_Stresses_Setup!$A15,FALSE)</f>
        <v>1.8189999999999998E-2</v>
      </c>
      <c r="AO11" s="12">
        <f>HLOOKUP(AO$2,Interest_Rate_Stresses_Setup!$C$6:$BC$47,Interest_Rate_Stresses_Setup!$A15,FALSE)</f>
        <v>1.4420000000000001E-2</v>
      </c>
      <c r="AP11" s="12">
        <f>HLOOKUP(AP$2,Interest_Rate_Stresses_Setup!$C$6:$BC$47,Interest_Rate_Stresses_Setup!$A15,FALSE)</f>
        <v>3.814E-2</v>
      </c>
      <c r="AQ11" s="12">
        <f>HLOOKUP(AQ$2,Interest_Rate_Stresses_Setup!$C$6:$BC$47,Interest_Rate_Stresses_Setup!$A15,FALSE)</f>
        <v>5.7700000000000001E-2</v>
      </c>
      <c r="AR11" s="12">
        <f>HLOOKUP(AR$2,Interest_Rate_Stresses_Setup!$C$6:$BC$47,Interest_Rate_Stresses_Setup!$A15,FALSE)</f>
        <v>8.7900000000000009E-3</v>
      </c>
      <c r="AS11" s="12">
        <f>HLOOKUP(AS$2,Interest_Rate_Stresses_Setup!$C$6:$BC$47,Interest_Rate_Stresses_Setup!$A15,FALSE)</f>
        <v>2.708E-2</v>
      </c>
      <c r="AT11" s="12">
        <f>HLOOKUP(AT$2,Interest_Rate_Stresses_Setup!$C$6:$BC$47,Interest_Rate_Stresses_Setup!$A15,FALSE)</f>
        <v>4.1320000000000003E-2</v>
      </c>
      <c r="AU11" s="12">
        <f>HLOOKUP(AU$2,Interest_Rate_Stresses_Setup!$C$6:$BC$47,Interest_Rate_Stresses_Setup!$A15,FALSE)</f>
        <v>4.5810000000000003E-2</v>
      </c>
      <c r="AV11" s="12">
        <f>HLOOKUP(AV$2,Interest_Rate_Stresses_Setup!$C$6:$BC$47,Interest_Rate_Stresses_Setup!$A15,FALSE)</f>
        <v>8.8209999999999997E-2</v>
      </c>
      <c r="AW11" s="12">
        <f>HLOOKUP(AW$2,Interest_Rate_Stresses_Setup!$C$6:$BC$47,Interest_Rate_Stresses_Setup!$A15,FALSE)</f>
        <v>1.7729999999999999E-2</v>
      </c>
      <c r="AX11" s="12">
        <f>HLOOKUP(AX$2,Interest_Rate_Stresses_Setup!$C$6:$BC$47,Interest_Rate_Stresses_Setup!$A15,FALSE)</f>
        <v>1.908E-2</v>
      </c>
      <c r="AY11" s="12">
        <f>HLOOKUP(AY$2,Interest_Rate_Stresses_Setup!$C$6:$BC$47,Interest_Rate_Stresses_Setup!$A15,FALSE)</f>
        <v>3.678E-2</v>
      </c>
      <c r="AZ11" s="12">
        <f>HLOOKUP(AZ$2,Interest_Rate_Stresses_Setup!$C$6:$BC$47,Interest_Rate_Stresses_Setup!$A15,FALSE)</f>
        <v>0.10350999999999999</v>
      </c>
      <c r="BA11" s="12">
        <f>HLOOKUP(BA$2,Interest_Rate_Stresses_Setup!$C$6:$BC$47,Interest_Rate_Stresses_Setup!$A15,FALSE)</f>
        <v>2.5440000000000001E-2</v>
      </c>
      <c r="BB11" s="12">
        <f>HLOOKUP(BB$2,Interest_Rate_Stresses_Setup!$C$6:$BC$47,Interest_Rate_Stresses_Setup!$A15,FALSE)</f>
        <v>4.7980000000000002E-2</v>
      </c>
      <c r="BC11" s="12">
        <f>HLOOKUP(BC$2,Interest_Rate_Stresses_Setup!$C$6:$BC$47,Interest_Rate_Stresses_Setup!$A15,FALSE)</f>
        <v>5.0620000000000005E-2</v>
      </c>
      <c r="BD11" s="12">
        <f>HLOOKUP(BD$2,Interest_Rate_Stresses_Setup!$C$6:$BC$47,Interest_Rate_Stresses_Setup!$A15,FALSE)</f>
        <v>7.0720000000000005E-2</v>
      </c>
      <c r="BE11" s="12">
        <f>HLOOKUP(BE$2,Interest_Rate_Stresses_Setup!$C$6:$BC$47,Interest_Rate_Stresses_Setup!$A15,FALSE)</f>
        <v>3.1269999999999999E-2</v>
      </c>
      <c r="BF11" s="12">
        <f>HLOOKUP(BF$2,Interest_Rate_Stresses_Setup!$C$6:$BC$47,Interest_Rate_Stresses_Setup!$A15,FALSE)</f>
        <v>7.646E-2</v>
      </c>
      <c r="BG11" s="12">
        <f>HLOOKUP(BG$2,Interest_Rate_Stresses_Setup!$C$6:$BC$47,Interest_Rate_Stresses_Setup!$A15,FALSE)</f>
        <v>1.094E-2</v>
      </c>
      <c r="BH11" s="12">
        <f>HLOOKUP(BH$2,Interest_Rate_Stresses_Setup!$C$6:$BC$47,Interest_Rate_Stresses_Setup!$A15,FALSE)</f>
        <v>4.8580000000000005E-2</v>
      </c>
      <c r="BI11" s="12">
        <f>HLOOKUP(BI$2,Interest_Rate_Stresses_Setup!$C$6:$BC$47,Interest_Rate_Stresses_Setup!$A15,FALSE)</f>
        <v>8.2769999999999996E-2</v>
      </c>
      <c r="BJ11" s="12">
        <f>HLOOKUP(BJ$2,Interest_Rate_Stresses_Setup!$C$6:$BC$47,Interest_Rate_Stresses_Setup!$A15,FALSE)</f>
        <v>4.1390000000000003E-2</v>
      </c>
      <c r="BK11" s="12">
        <f>HLOOKUP(BK$2,Interest_Rate_Stresses_Setup!$C$6:$BC$47,Interest_Rate_Stresses_Setup!$A15,FALSE)</f>
        <v>3.2500000000000001E-2</v>
      </c>
      <c r="BL11" s="12">
        <f>HLOOKUP(BL$2,Interest_Rate_Stresses_Setup!$C$6:$BC$47,Interest_Rate_Stresses_Setup!$A15,FALSE)</f>
        <v>8.9849999999999999E-2</v>
      </c>
      <c r="BM11" s="12">
        <f>HLOOKUP(BM$2,Interest_Rate_Stresses_Setup!$C$6:$BC$47,Interest_Rate_Stresses_Setup!$A15,FALSE)</f>
        <v>2.7270000000000003E-2</v>
      </c>
      <c r="BN11" s="12">
        <f>HLOOKUP(BN$2,Interest_Rate_Stresses_Setup!$C$6:$BC$47,Interest_Rate_Stresses_Setup!$A15,FALSE)</f>
        <v>1.9820000000000001E-2</v>
      </c>
      <c r="BO11" s="12">
        <f>HLOOKUP(BO$2,Interest_Rate_Stresses_Setup!$C$6:$BC$47,Interest_Rate_Stresses_Setup!$A15,FALSE)</f>
        <v>3.4140000000000004E-2</v>
      </c>
      <c r="BP11" s="12">
        <f>HLOOKUP(BP$2,Interest_Rate_Stresses_Setup!$C$6:$BC$47,Interest_Rate_Stresses_Setup!$A15,FALSE)</f>
        <v>0.11888</v>
      </c>
      <c r="BQ11" s="12">
        <f>HLOOKUP(BQ$2,Interest_Rate_Stresses_Setup!$C$6:$BC$47,Interest_Rate_Stresses_Setup!$A15,FALSE)</f>
        <v>3.1519999999999999E-2</v>
      </c>
      <c r="BR11" s="127">
        <f t="shared" si="1"/>
        <v>1.908E-2</v>
      </c>
      <c r="BS11" s="16">
        <v>8</v>
      </c>
      <c r="BT11" s="12">
        <f>HLOOKUP(BT$2,Interest_Rate_Stresses_Setup!$C$50:$BC$91,Interest_Rate_Stresses_Setup!$A59,FALSE)</f>
        <v>2.8928000000000001E-3</v>
      </c>
      <c r="BU11" s="12">
        <f>HLOOKUP(BU$2,Interest_Rate_Stresses_Setup!$C$50:$BC$91,Interest_Rate_Stresses_Setup!$A59,FALSE)</f>
        <v>2.5663999999999999E-3</v>
      </c>
      <c r="BV11" s="12">
        <f>HLOOKUP(BV$2,Interest_Rate_Stresses_Setup!$C$50:$BC$91,Interest_Rate_Stresses_Setup!$A59,FALSE)</f>
        <v>1.7491200000000002E-2</v>
      </c>
      <c r="BW11" s="12">
        <f>HLOOKUP(BW$2,Interest_Rate_Stresses_Setup!$C$50:$BC$91,Interest_Rate_Stresses_Setup!$A59,FALSE)</f>
        <v>5.2415999999999999E-3</v>
      </c>
      <c r="BX11" s="12">
        <f>HLOOKUP(BX$2,Interest_Rate_Stresses_Setup!$C$50:$BC$91,Interest_Rate_Stresses_Setup!$A59,FALSE)</f>
        <v>2.8288000000000002E-3</v>
      </c>
      <c r="BY11" s="12">
        <f>HLOOKUP(BY$2,Interest_Rate_Stresses_Setup!$C$50:$BC$91,Interest_Rate_Stresses_Setup!$A59,FALSE)</f>
        <v>1.8009600000000001E-2</v>
      </c>
      <c r="BZ11" s="12">
        <f>HLOOKUP(BZ$2,Interest_Rate_Stresses_Setup!$C$50:$BC$91,Interest_Rate_Stresses_Setup!$A59,FALSE)</f>
        <v>3.0528E-2</v>
      </c>
      <c r="CA11" s="12">
        <f>HLOOKUP(CA$2,Interest_Rate_Stresses_Setup!$C$50:$BC$91,Interest_Rate_Stresses_Setup!$A59,FALSE)</f>
        <v>-1.2099999999999999E-3</v>
      </c>
      <c r="CB11" s="12">
        <f>HLOOKUP(CB$2,Interest_Rate_Stresses_Setup!$C$50:$BC$91,Interest_Rate_Stresses_Setup!$A59,FALSE)</f>
        <v>1.09312E-2</v>
      </c>
      <c r="CC11" s="12">
        <f>HLOOKUP(CC$2,Interest_Rate_Stresses_Setup!$C$50:$BC$91,Interest_Rate_Stresses_Setup!$A59,FALSE)</f>
        <v>2.0044800000000002E-2</v>
      </c>
      <c r="CD11" s="12">
        <f>HLOOKUP(CD$2,Interest_Rate_Stresses_Setup!$C$50:$BC$91,Interest_Rate_Stresses_Setup!$A59,FALSE)</f>
        <v>2.2918400000000002E-2</v>
      </c>
      <c r="CE11" s="12">
        <f>HLOOKUP(CE$2,Interest_Rate_Stresses_Setup!$C$50:$BC$91,Interest_Rate_Stresses_Setup!$A59,FALSE)</f>
        <v>5.0054399999999999E-2</v>
      </c>
      <c r="CF11" s="12">
        <f>HLOOKUP(CF$2,Interest_Rate_Stresses_Setup!$C$50:$BC$91,Interest_Rate_Stresses_Setup!$A59,FALSE)</f>
        <v>4.9471999999999997E-3</v>
      </c>
      <c r="CG11" s="12">
        <f>HLOOKUP(CG$2,Interest_Rate_Stresses_Setup!$C$50:$BC$91,Interest_Rate_Stresses_Setup!$A59,FALSE)</f>
        <v>5.8111999999999999E-3</v>
      </c>
      <c r="CH11" s="12">
        <f>HLOOKUP(CH$2,Interest_Rate_Stresses_Setup!$C$50:$BC$91,Interest_Rate_Stresses_Setup!$A59,FALSE)</f>
        <v>1.71392E-2</v>
      </c>
      <c r="CI11" s="12">
        <f>HLOOKUP(CI$2,Interest_Rate_Stresses_Setup!$C$50:$BC$91,Interest_Rate_Stresses_Setup!$A59,FALSE)</f>
        <v>5.9846400000000001E-2</v>
      </c>
      <c r="CJ11" s="12">
        <f>HLOOKUP(CJ$2,Interest_Rate_Stresses_Setup!$C$50:$BC$91,Interest_Rate_Stresses_Setup!$A59,FALSE)</f>
        <v>9.8816000000000008E-3</v>
      </c>
      <c r="CK11" s="12">
        <f>HLOOKUP(CK$2,Interest_Rate_Stresses_Setup!$C$50:$BC$91,Interest_Rate_Stresses_Setup!$A59,FALSE)</f>
        <v>2.4307200000000001E-2</v>
      </c>
      <c r="CL11" s="12">
        <f>HLOOKUP(CL$2,Interest_Rate_Stresses_Setup!$C$50:$BC$91,Interest_Rate_Stresses_Setup!$A59,FALSE)</f>
        <v>2.5996800000000004E-2</v>
      </c>
      <c r="CM11" s="12">
        <f>HLOOKUP(CM$2,Interest_Rate_Stresses_Setup!$C$50:$BC$91,Interest_Rate_Stresses_Setup!$A59,FALSE)</f>
        <v>3.8860800000000001E-2</v>
      </c>
      <c r="CN11" s="12">
        <f>HLOOKUP(CN$2,Interest_Rate_Stresses_Setup!$C$50:$BC$91,Interest_Rate_Stresses_Setup!$A59,FALSE)</f>
        <v>1.3612800000000001E-2</v>
      </c>
      <c r="CO11" s="12">
        <f>HLOOKUP(CO$2,Interest_Rate_Stresses_Setup!$C$50:$BC$91,Interest_Rate_Stresses_Setup!$A59,FALSE)</f>
        <v>4.2534400000000007E-2</v>
      </c>
      <c r="CP11" s="12">
        <f>HLOOKUP(CP$2,Interest_Rate_Stresses_Setup!$C$50:$BC$91,Interest_Rate_Stresses_Setup!$A59,FALSE)</f>
        <v>6.0159999999999999E-4</v>
      </c>
      <c r="CQ11" s="12">
        <f>HLOOKUP(CQ$2,Interest_Rate_Stresses_Setup!$C$50:$BC$91,Interest_Rate_Stresses_Setup!$A59,FALSE)</f>
        <v>2.4691200000000003E-2</v>
      </c>
      <c r="CR11" s="12">
        <f>HLOOKUP(CR$2,Interest_Rate_Stresses_Setup!$C$50:$BC$91,Interest_Rate_Stresses_Setup!$A59,FALSE)</f>
        <v>4.6572800000000004E-2</v>
      </c>
      <c r="CS11" s="12">
        <f>HLOOKUP(CS$2,Interest_Rate_Stresses_Setup!$C$50:$BC$91,Interest_Rate_Stresses_Setup!$A59,FALSE)</f>
        <v>2.0089600000000003E-2</v>
      </c>
      <c r="CT11" s="12">
        <f>HLOOKUP(CT$2,Interest_Rate_Stresses_Setup!$C$50:$BC$91,Interest_Rate_Stresses_Setup!$A59,FALSE)</f>
        <v>1.44E-2</v>
      </c>
      <c r="CU11" s="12">
        <f>HLOOKUP(CU$2,Interest_Rate_Stresses_Setup!$C$50:$BC$91,Interest_Rate_Stresses_Setup!$A59,FALSE)</f>
        <v>5.1104000000000004E-2</v>
      </c>
      <c r="CV11" s="12">
        <f>HLOOKUP(CV$2,Interest_Rate_Stresses_Setup!$C$50:$BC$91,Interest_Rate_Stresses_Setup!$A59,FALSE)</f>
        <v>1.10528E-2</v>
      </c>
      <c r="CW11" s="12">
        <f>HLOOKUP(CW$2,Interest_Rate_Stresses_Setup!$C$50:$BC$91,Interest_Rate_Stresses_Setup!$A59,FALSE)</f>
        <v>6.2848000000000001E-3</v>
      </c>
      <c r="CX11" s="12">
        <f>HLOOKUP(CX$2,Interest_Rate_Stresses_Setup!$C$50:$BC$91,Interest_Rate_Stresses_Setup!$A59,FALSE)</f>
        <v>1.5449600000000001E-2</v>
      </c>
      <c r="CY11" s="12">
        <f>HLOOKUP(CY$2,Interest_Rate_Stresses_Setup!$C$50:$BC$91,Interest_Rate_Stresses_Setup!$A59,FALSE)</f>
        <v>6.9683200000000001E-2</v>
      </c>
      <c r="CZ11" s="12">
        <f>HLOOKUP(CZ$2,Interest_Rate_Stresses_Setup!$C$50:$BC$91,Interest_Rate_Stresses_Setup!$A59,FALSE)</f>
        <v>1.3772800000000002E-2</v>
      </c>
      <c r="DA11" s="127">
        <f t="shared" si="2"/>
        <v>5.8111999999999999E-3</v>
      </c>
    </row>
    <row r="12" spans="1:105" x14ac:dyDescent="0.25">
      <c r="A12" s="11">
        <v>9</v>
      </c>
      <c r="B12" s="12">
        <f>HLOOKUP(B$2,EIOPA_Spot_Rates,EIOPA_RFR!$A21,FALSE)</f>
        <v>5.7099999999999998E-3</v>
      </c>
      <c r="C12" s="12">
        <f>HLOOKUP(C$2,EIOPA_Spot_Rates,EIOPA_RFR!$A21,FALSE)</f>
        <v>5.1999999999999998E-3</v>
      </c>
      <c r="D12" s="12">
        <f>HLOOKUP(D$2,EIOPA_Spot_Rates,EIOPA_RFR!$A21,FALSE)</f>
        <v>2.8250000000000001E-2</v>
      </c>
      <c r="E12" s="12">
        <f>HLOOKUP(E$2,EIOPA_Spot_Rates,EIOPA_RFR!$A21,FALSE)</f>
        <v>8.9200000000000008E-3</v>
      </c>
      <c r="F12" s="12">
        <f>HLOOKUP(F$2,EIOPA_Spot_Rates,EIOPA_RFR!$A21,FALSE)</f>
        <v>5.6100000000000004E-3</v>
      </c>
      <c r="G12" s="12">
        <f>HLOOKUP(G$2,EIOPA_Spot_Rates,EIOPA_RFR!$A21,FALSE)</f>
        <v>3.0120000000000001E-2</v>
      </c>
      <c r="H12" s="12">
        <f>HLOOKUP(H$2,EIOPA_Spot_Rates,EIOPA_RFR!$A21,FALSE)</f>
        <v>4.7640000000000002E-2</v>
      </c>
      <c r="I12" s="12">
        <f>HLOOKUP(I$2,EIOPA_Spot_Rates,EIOPA_RFR!$A21,FALSE)</f>
        <v>-3.3E-4</v>
      </c>
      <c r="J12" s="12">
        <f>HLOOKUP(J$2,EIOPA_Spot_Rates,EIOPA_RFR!$A21,FALSE)</f>
        <v>1.7770000000000001E-2</v>
      </c>
      <c r="K12" s="12">
        <f>HLOOKUP(K$2,EIOPA_Spot_Rates,EIOPA_RFR!$A21,FALSE)</f>
        <v>3.2280000000000003E-2</v>
      </c>
      <c r="L12" s="12">
        <f>HLOOKUP(L$2,EIOPA_Spot_Rates,EIOPA_RFR!$A21,FALSE)</f>
        <v>3.7379999999999997E-2</v>
      </c>
      <c r="M12" s="12">
        <f>HLOOKUP(M$2,EIOPA_Spot_Rates,EIOPA_RFR!$A21,FALSE)</f>
        <v>7.739E-2</v>
      </c>
      <c r="N12" s="12">
        <f>HLOOKUP(N$2,EIOPA_Spot_Rates,EIOPA_RFR!$A21,FALSE)</f>
        <v>9.1400000000000006E-3</v>
      </c>
      <c r="O12" s="12">
        <f>HLOOKUP(O$2,EIOPA_Spot_Rates,EIOPA_RFR!$A21,FALSE)</f>
        <v>9.75E-3</v>
      </c>
      <c r="P12" s="12">
        <f>HLOOKUP(P$2,EIOPA_Spot_Rates,EIOPA_RFR!$A21,FALSE)</f>
        <v>2.758E-2</v>
      </c>
      <c r="Q12" s="12">
        <f>HLOOKUP(Q$2,EIOPA_Spot_Rates,EIOPA_RFR!$A21,FALSE)</f>
        <v>9.3630000000000005E-2</v>
      </c>
      <c r="R12" s="12">
        <f>HLOOKUP(R$2,EIOPA_Spot_Rates,EIOPA_RFR!$A21,FALSE)</f>
        <v>1.6310000000000002E-2</v>
      </c>
      <c r="S12" s="12">
        <f>HLOOKUP(S$2,EIOPA_Spot_Rates,EIOPA_RFR!$A21,FALSE)</f>
        <v>3.8879999999999998E-2</v>
      </c>
      <c r="T12" s="12">
        <f>HLOOKUP(T$2,EIOPA_Spot_Rates,EIOPA_RFR!$A21,FALSE)</f>
        <v>4.1529999999999997E-2</v>
      </c>
      <c r="U12" s="12">
        <f>HLOOKUP(U$2,EIOPA_Spot_Rates,EIOPA_RFR!$A21,FALSE)</f>
        <v>6.1830000000000003E-2</v>
      </c>
      <c r="V12" s="12">
        <f>HLOOKUP(V$2,EIOPA_Spot_Rates,EIOPA_RFR!$A21,FALSE)</f>
        <v>2.188E-2</v>
      </c>
      <c r="W12" s="12">
        <f>HLOOKUP(W$2,EIOPA_Spot_Rates,EIOPA_RFR!$A21,FALSE)</f>
        <v>6.7239999999999994E-2</v>
      </c>
      <c r="X12" s="12">
        <f>HLOOKUP(X$2,EIOPA_Spot_Rates,EIOPA_RFR!$A21,FALSE)</f>
        <v>1.2899999999999999E-3</v>
      </c>
      <c r="Y12" s="12">
        <f>HLOOKUP(Y$2,EIOPA_Spot_Rates,EIOPA_RFR!$A21,FALSE)</f>
        <v>3.9140000000000001E-2</v>
      </c>
      <c r="Z12" s="12">
        <f>HLOOKUP(Z$2,EIOPA_Spot_Rates,EIOPA_RFR!$A21,FALSE)</f>
        <v>7.324E-2</v>
      </c>
      <c r="AA12" s="12">
        <f>HLOOKUP(AA$2,EIOPA_Spot_Rates,EIOPA_RFR!$A21,FALSE)</f>
        <v>3.2340000000000001E-2</v>
      </c>
      <c r="AB12" s="12">
        <f>HLOOKUP(AB$2,EIOPA_Spot_Rates,EIOPA_RFR!$A21,FALSE)</f>
        <v>2.333E-2</v>
      </c>
      <c r="AC12" s="12">
        <f>HLOOKUP(AC$2,EIOPA_Spot_Rates,EIOPA_RFR!$A21,FALSE)</f>
        <v>8.0930000000000002E-2</v>
      </c>
      <c r="AD12" s="12">
        <f>HLOOKUP(AD$2,EIOPA_Spot_Rates,EIOPA_RFR!$A21,FALSE)</f>
        <v>1.7649999999999999E-2</v>
      </c>
      <c r="AE12" s="12">
        <f>HLOOKUP(AE$2,EIOPA_Spot_Rates,EIOPA_RFR!$A21,FALSE)</f>
        <v>1.0410000000000001E-2</v>
      </c>
      <c r="AF12" s="12">
        <f>HLOOKUP(AF$2,EIOPA_Spot_Rates,EIOPA_RFR!$A21,FALSE)</f>
        <v>2.4920000000000001E-2</v>
      </c>
      <c r="AG12" s="12">
        <f>HLOOKUP(AG$2,EIOPA_Spot_Rates,EIOPA_RFR!$A21,FALSE)</f>
        <v>0.10722</v>
      </c>
      <c r="AH12" s="12">
        <f>HLOOKUP(AH$2,EIOPA_Spot_Rates,EIOPA_RFR!$A21,FALSE)</f>
        <v>2.2110000000000001E-2</v>
      </c>
      <c r="AI12" s="127">
        <f t="shared" si="0"/>
        <v>9.75E-3</v>
      </c>
      <c r="AJ12" s="16">
        <v>9</v>
      </c>
      <c r="AK12" s="12">
        <f>HLOOKUP(AK$2,Interest_Rate_Stresses_Setup!$C$6:$BC$47,Interest_Rate_Stresses_Setup!$A16,FALSE)</f>
        <v>1.5710000000000002E-2</v>
      </c>
      <c r="AL12" s="12">
        <f>HLOOKUP(AL$2,Interest_Rate_Stresses_Setup!$C$6:$BC$47,Interest_Rate_Stresses_Setup!$A16,FALSE)</f>
        <v>1.52E-2</v>
      </c>
      <c r="AM12" s="12">
        <f>HLOOKUP(AM$2,Interest_Rate_Stresses_Setup!$C$6:$BC$47,Interest_Rate_Stresses_Setup!$A16,FALSE)</f>
        <v>3.8249999999999999E-2</v>
      </c>
      <c r="AN12" s="12">
        <f>HLOOKUP(AN$2,Interest_Rate_Stresses_Setup!$C$6:$BC$47,Interest_Rate_Stresses_Setup!$A16,FALSE)</f>
        <v>1.8919999999999999E-2</v>
      </c>
      <c r="AO12" s="12">
        <f>HLOOKUP(AO$2,Interest_Rate_Stresses_Setup!$C$6:$BC$47,Interest_Rate_Stresses_Setup!$A16,FALSE)</f>
        <v>1.5610000000000001E-2</v>
      </c>
      <c r="AP12" s="12">
        <f>HLOOKUP(AP$2,Interest_Rate_Stresses_Setup!$C$6:$BC$47,Interest_Rate_Stresses_Setup!$A16,FALSE)</f>
        <v>4.0120000000000003E-2</v>
      </c>
      <c r="AQ12" s="12">
        <f>HLOOKUP(AQ$2,Interest_Rate_Stresses_Setup!$C$6:$BC$47,Interest_Rate_Stresses_Setup!$A16,FALSE)</f>
        <v>5.7640000000000004E-2</v>
      </c>
      <c r="AR12" s="12">
        <f>HLOOKUP(AR$2,Interest_Rate_Stresses_Setup!$C$6:$BC$47,Interest_Rate_Stresses_Setup!$A16,FALSE)</f>
        <v>9.6699999999999998E-3</v>
      </c>
      <c r="AS12" s="12">
        <f>HLOOKUP(AS$2,Interest_Rate_Stresses_Setup!$C$6:$BC$47,Interest_Rate_Stresses_Setup!$A16,FALSE)</f>
        <v>2.7770000000000003E-2</v>
      </c>
      <c r="AT12" s="12">
        <f>HLOOKUP(AT$2,Interest_Rate_Stresses_Setup!$C$6:$BC$47,Interest_Rate_Stresses_Setup!$A16,FALSE)</f>
        <v>4.2280000000000005E-2</v>
      </c>
      <c r="AU12" s="12">
        <f>HLOOKUP(AU$2,Interest_Rate_Stresses_Setup!$C$6:$BC$47,Interest_Rate_Stresses_Setup!$A16,FALSE)</f>
        <v>4.7379999999999999E-2</v>
      </c>
      <c r="AV12" s="12">
        <f>HLOOKUP(AV$2,Interest_Rate_Stresses_Setup!$C$6:$BC$47,Interest_Rate_Stresses_Setup!$A16,FALSE)</f>
        <v>8.7389999999999995E-2</v>
      </c>
      <c r="AW12" s="12">
        <f>HLOOKUP(AW$2,Interest_Rate_Stresses_Setup!$C$6:$BC$47,Interest_Rate_Stresses_Setup!$A16,FALSE)</f>
        <v>1.9140000000000001E-2</v>
      </c>
      <c r="AX12" s="12">
        <f>HLOOKUP(AX$2,Interest_Rate_Stresses_Setup!$C$6:$BC$47,Interest_Rate_Stresses_Setup!$A16,FALSE)</f>
        <v>1.975E-2</v>
      </c>
      <c r="AY12" s="12">
        <f>HLOOKUP(AY$2,Interest_Rate_Stresses_Setup!$C$6:$BC$47,Interest_Rate_Stresses_Setup!$A16,FALSE)</f>
        <v>3.7580000000000002E-2</v>
      </c>
      <c r="AZ12" s="12">
        <f>HLOOKUP(AZ$2,Interest_Rate_Stresses_Setup!$C$6:$BC$47,Interest_Rate_Stresses_Setup!$A16,FALSE)</f>
        <v>0.10363</v>
      </c>
      <c r="BA12" s="12">
        <f>HLOOKUP(BA$2,Interest_Rate_Stresses_Setup!$C$6:$BC$47,Interest_Rate_Stresses_Setup!$A16,FALSE)</f>
        <v>2.631E-2</v>
      </c>
      <c r="BB12" s="12">
        <f>HLOOKUP(BB$2,Interest_Rate_Stresses_Setup!$C$6:$BC$47,Interest_Rate_Stresses_Setup!$A16,FALSE)</f>
        <v>4.888E-2</v>
      </c>
      <c r="BC12" s="12">
        <f>HLOOKUP(BC$2,Interest_Rate_Stresses_Setup!$C$6:$BC$47,Interest_Rate_Stresses_Setup!$A16,FALSE)</f>
        <v>5.1529999999999999E-2</v>
      </c>
      <c r="BD12" s="12">
        <f>HLOOKUP(BD$2,Interest_Rate_Stresses_Setup!$C$6:$BC$47,Interest_Rate_Stresses_Setup!$A16,FALSE)</f>
        <v>7.1830000000000005E-2</v>
      </c>
      <c r="BE12" s="12">
        <f>HLOOKUP(BE$2,Interest_Rate_Stresses_Setup!$C$6:$BC$47,Interest_Rate_Stresses_Setup!$A16,FALSE)</f>
        <v>3.1879999999999999E-2</v>
      </c>
      <c r="BF12" s="12">
        <f>HLOOKUP(BF$2,Interest_Rate_Stresses_Setup!$C$6:$BC$47,Interest_Rate_Stresses_Setup!$A16,FALSE)</f>
        <v>7.7239999999999989E-2</v>
      </c>
      <c r="BG12" s="12">
        <f>HLOOKUP(BG$2,Interest_Rate_Stresses_Setup!$C$6:$BC$47,Interest_Rate_Stresses_Setup!$A16,FALSE)</f>
        <v>1.129E-2</v>
      </c>
      <c r="BH12" s="12">
        <f>HLOOKUP(BH$2,Interest_Rate_Stresses_Setup!$C$6:$BC$47,Interest_Rate_Stresses_Setup!$A16,FALSE)</f>
        <v>4.9140000000000003E-2</v>
      </c>
      <c r="BI12" s="12">
        <f>HLOOKUP(BI$2,Interest_Rate_Stresses_Setup!$C$6:$BC$47,Interest_Rate_Stresses_Setup!$A16,FALSE)</f>
        <v>8.3239999999999995E-2</v>
      </c>
      <c r="BJ12" s="12">
        <f>HLOOKUP(BJ$2,Interest_Rate_Stresses_Setup!$C$6:$BC$47,Interest_Rate_Stresses_Setup!$A16,FALSE)</f>
        <v>4.2340000000000003E-2</v>
      </c>
      <c r="BK12" s="12">
        <f>HLOOKUP(BK$2,Interest_Rate_Stresses_Setup!$C$6:$BC$47,Interest_Rate_Stresses_Setup!$A16,FALSE)</f>
        <v>3.3329999999999999E-2</v>
      </c>
      <c r="BL12" s="12">
        <f>HLOOKUP(BL$2,Interest_Rate_Stresses_Setup!$C$6:$BC$47,Interest_Rate_Stresses_Setup!$A16,FALSE)</f>
        <v>9.0929999999999997E-2</v>
      </c>
      <c r="BM12" s="12">
        <f>HLOOKUP(BM$2,Interest_Rate_Stresses_Setup!$C$6:$BC$47,Interest_Rate_Stresses_Setup!$A16,FALSE)</f>
        <v>2.7650000000000001E-2</v>
      </c>
      <c r="BN12" s="12">
        <f>HLOOKUP(BN$2,Interest_Rate_Stresses_Setup!$C$6:$BC$47,Interest_Rate_Stresses_Setup!$A16,FALSE)</f>
        <v>2.0410000000000001E-2</v>
      </c>
      <c r="BO12" s="12">
        <f>HLOOKUP(BO$2,Interest_Rate_Stresses_Setup!$C$6:$BC$47,Interest_Rate_Stresses_Setup!$A16,FALSE)</f>
        <v>3.492E-2</v>
      </c>
      <c r="BP12" s="12">
        <f>HLOOKUP(BP$2,Interest_Rate_Stresses_Setup!$C$6:$BC$47,Interest_Rate_Stresses_Setup!$A16,FALSE)</f>
        <v>0.11721999999999999</v>
      </c>
      <c r="BQ12" s="12">
        <f>HLOOKUP(BQ$2,Interest_Rate_Stresses_Setup!$C$6:$BC$47,Interest_Rate_Stresses_Setup!$A16,FALSE)</f>
        <v>3.211E-2</v>
      </c>
      <c r="BR12" s="127">
        <f t="shared" si="1"/>
        <v>1.975E-2</v>
      </c>
      <c r="BS12" s="16">
        <v>9</v>
      </c>
      <c r="BT12" s="12">
        <f>HLOOKUP(BT$2,Interest_Rate_Stresses_Setup!$C$50:$BC$91,Interest_Rate_Stresses_Setup!$A60,FALSE)</f>
        <v>3.8256999999999996E-3</v>
      </c>
      <c r="BU12" s="12">
        <f>HLOOKUP(BU$2,Interest_Rate_Stresses_Setup!$C$50:$BC$91,Interest_Rate_Stresses_Setup!$A60,FALSE)</f>
        <v>3.4839999999999997E-3</v>
      </c>
      <c r="BV12" s="12">
        <f>HLOOKUP(BV$2,Interest_Rate_Stresses_Setup!$C$50:$BC$91,Interest_Rate_Stresses_Setup!$A60,FALSE)</f>
        <v>1.89275E-2</v>
      </c>
      <c r="BW12" s="12">
        <f>HLOOKUP(BW$2,Interest_Rate_Stresses_Setup!$C$50:$BC$91,Interest_Rate_Stresses_Setup!$A60,FALSE)</f>
        <v>5.9763999999999998E-3</v>
      </c>
      <c r="BX12" s="12">
        <f>HLOOKUP(BX$2,Interest_Rate_Stresses_Setup!$C$50:$BC$91,Interest_Rate_Stresses_Setup!$A60,FALSE)</f>
        <v>3.7586999999999998E-3</v>
      </c>
      <c r="BY12" s="12">
        <f>HLOOKUP(BY$2,Interest_Rate_Stresses_Setup!$C$50:$BC$91,Interest_Rate_Stresses_Setup!$A60,FALSE)</f>
        <v>2.0180399999999998E-2</v>
      </c>
      <c r="BZ12" s="12">
        <f>HLOOKUP(BZ$2,Interest_Rate_Stresses_Setup!$C$50:$BC$91,Interest_Rate_Stresses_Setup!$A60,FALSE)</f>
        <v>3.1918799999999997E-2</v>
      </c>
      <c r="CA12" s="12">
        <f>HLOOKUP(CA$2,Interest_Rate_Stresses_Setup!$C$50:$BC$91,Interest_Rate_Stresses_Setup!$A60,FALSE)</f>
        <v>-3.3E-4</v>
      </c>
      <c r="CB12" s="12">
        <f>HLOOKUP(CB$2,Interest_Rate_Stresses_Setup!$C$50:$BC$91,Interest_Rate_Stresses_Setup!$A60,FALSE)</f>
        <v>1.1905899999999999E-2</v>
      </c>
      <c r="CC12" s="12">
        <f>HLOOKUP(CC$2,Interest_Rate_Stresses_Setup!$C$50:$BC$91,Interest_Rate_Stresses_Setup!$A60,FALSE)</f>
        <v>2.16276E-2</v>
      </c>
      <c r="CD12" s="12">
        <f>HLOOKUP(CD$2,Interest_Rate_Stresses_Setup!$C$50:$BC$91,Interest_Rate_Stresses_Setup!$A60,FALSE)</f>
        <v>2.5044599999999997E-2</v>
      </c>
      <c r="CE12" s="12">
        <f>HLOOKUP(CE$2,Interest_Rate_Stresses_Setup!$C$50:$BC$91,Interest_Rate_Stresses_Setup!$A60,FALSE)</f>
        <v>5.1851299999999996E-2</v>
      </c>
      <c r="CF12" s="12">
        <f>HLOOKUP(CF$2,Interest_Rate_Stresses_Setup!$C$50:$BC$91,Interest_Rate_Stresses_Setup!$A60,FALSE)</f>
        <v>6.1237999999999996E-3</v>
      </c>
      <c r="CG12" s="12">
        <f>HLOOKUP(CG$2,Interest_Rate_Stresses_Setup!$C$50:$BC$91,Interest_Rate_Stresses_Setup!$A60,FALSE)</f>
        <v>6.5324999999999992E-3</v>
      </c>
      <c r="CH12" s="12">
        <f>HLOOKUP(CH$2,Interest_Rate_Stresses_Setup!$C$50:$BC$91,Interest_Rate_Stresses_Setup!$A60,FALSE)</f>
        <v>1.8478599999999998E-2</v>
      </c>
      <c r="CI12" s="12">
        <f>HLOOKUP(CI$2,Interest_Rate_Stresses_Setup!$C$50:$BC$91,Interest_Rate_Stresses_Setup!$A60,FALSE)</f>
        <v>6.2732099999999999E-2</v>
      </c>
      <c r="CJ12" s="12">
        <f>HLOOKUP(CJ$2,Interest_Rate_Stresses_Setup!$C$50:$BC$91,Interest_Rate_Stresses_Setup!$A60,FALSE)</f>
        <v>1.09277E-2</v>
      </c>
      <c r="CK12" s="12">
        <f>HLOOKUP(CK$2,Interest_Rate_Stresses_Setup!$C$50:$BC$91,Interest_Rate_Stresses_Setup!$A60,FALSE)</f>
        <v>2.6049599999999996E-2</v>
      </c>
      <c r="CL12" s="12">
        <f>HLOOKUP(CL$2,Interest_Rate_Stresses_Setup!$C$50:$BC$91,Interest_Rate_Stresses_Setup!$A60,FALSE)</f>
        <v>2.7825099999999995E-2</v>
      </c>
      <c r="CM12" s="12">
        <f>HLOOKUP(CM$2,Interest_Rate_Stresses_Setup!$C$50:$BC$91,Interest_Rate_Stresses_Setup!$A60,FALSE)</f>
        <v>4.14261E-2</v>
      </c>
      <c r="CN12" s="12">
        <f>HLOOKUP(CN$2,Interest_Rate_Stresses_Setup!$C$50:$BC$91,Interest_Rate_Stresses_Setup!$A60,FALSE)</f>
        <v>1.4659599999999998E-2</v>
      </c>
      <c r="CO12" s="12">
        <f>HLOOKUP(CO$2,Interest_Rate_Stresses_Setup!$C$50:$BC$91,Interest_Rate_Stresses_Setup!$A60,FALSE)</f>
        <v>4.5050799999999988E-2</v>
      </c>
      <c r="CP12" s="12">
        <f>HLOOKUP(CP$2,Interest_Rate_Stresses_Setup!$C$50:$BC$91,Interest_Rate_Stresses_Setup!$A60,FALSE)</f>
        <v>8.6429999999999981E-4</v>
      </c>
      <c r="CQ12" s="12">
        <f>HLOOKUP(CQ$2,Interest_Rate_Stresses_Setup!$C$50:$BC$91,Interest_Rate_Stresses_Setup!$A60,FALSE)</f>
        <v>2.6223799999999999E-2</v>
      </c>
      <c r="CR12" s="12">
        <f>HLOOKUP(CR$2,Interest_Rate_Stresses_Setup!$C$50:$BC$91,Interest_Rate_Stresses_Setup!$A60,FALSE)</f>
        <v>4.9070799999999998E-2</v>
      </c>
      <c r="CS12" s="12">
        <f>HLOOKUP(CS$2,Interest_Rate_Stresses_Setup!$C$50:$BC$91,Interest_Rate_Stresses_Setup!$A60,FALSE)</f>
        <v>2.1667799999999997E-2</v>
      </c>
      <c r="CT12" s="12">
        <f>HLOOKUP(CT$2,Interest_Rate_Stresses_Setup!$C$50:$BC$91,Interest_Rate_Stresses_Setup!$A60,FALSE)</f>
        <v>1.5631099999999998E-2</v>
      </c>
      <c r="CU12" s="12">
        <f>HLOOKUP(CU$2,Interest_Rate_Stresses_Setup!$C$50:$BC$91,Interest_Rate_Stresses_Setup!$A60,FALSE)</f>
        <v>5.4223099999999996E-2</v>
      </c>
      <c r="CV12" s="12">
        <f>HLOOKUP(CV$2,Interest_Rate_Stresses_Setup!$C$50:$BC$91,Interest_Rate_Stresses_Setup!$A60,FALSE)</f>
        <v>1.1825499999999997E-2</v>
      </c>
      <c r="CW12" s="12">
        <f>HLOOKUP(CW$2,Interest_Rate_Stresses_Setup!$C$50:$BC$91,Interest_Rate_Stresses_Setup!$A60,FALSE)</f>
        <v>6.9746999999999995E-3</v>
      </c>
      <c r="CX12" s="12">
        <f>HLOOKUP(CX$2,Interest_Rate_Stresses_Setup!$C$50:$BC$91,Interest_Rate_Stresses_Setup!$A60,FALSE)</f>
        <v>1.66964E-2</v>
      </c>
      <c r="CY12" s="12">
        <f>HLOOKUP(CY$2,Interest_Rate_Stresses_Setup!$C$50:$BC$91,Interest_Rate_Stresses_Setup!$A60,FALSE)</f>
        <v>7.1837399999999996E-2</v>
      </c>
      <c r="CZ12" s="12">
        <f>HLOOKUP(CZ$2,Interest_Rate_Stresses_Setup!$C$50:$BC$91,Interest_Rate_Stresses_Setup!$A60,FALSE)</f>
        <v>1.4813699999999999E-2</v>
      </c>
      <c r="DA12" s="127">
        <f t="shared" si="2"/>
        <v>6.5324999999999992E-3</v>
      </c>
    </row>
    <row r="13" spans="1:105" x14ac:dyDescent="0.25">
      <c r="A13" s="11">
        <v>10</v>
      </c>
      <c r="B13" s="12">
        <f>HLOOKUP(B$2,EIOPA_Spot_Rates,EIOPA_RFR!$A22,FALSE)</f>
        <v>6.77E-3</v>
      </c>
      <c r="C13" s="12">
        <f>HLOOKUP(C$2,EIOPA_Spot_Rates,EIOPA_RFR!$A22,FALSE)</f>
        <v>6.2599999999999999E-3</v>
      </c>
      <c r="D13" s="12">
        <f>HLOOKUP(D$2,EIOPA_Spot_Rates,EIOPA_RFR!$A22,FALSE)</f>
        <v>2.904E-2</v>
      </c>
      <c r="E13" s="12">
        <f>HLOOKUP(E$2,EIOPA_Spot_Rates,EIOPA_RFR!$A22,FALSE)</f>
        <v>9.7199999999999995E-3</v>
      </c>
      <c r="F13" s="12">
        <f>HLOOKUP(F$2,EIOPA_Spot_Rates,EIOPA_RFR!$A22,FALSE)</f>
        <v>6.6699999999999997E-3</v>
      </c>
      <c r="G13" s="12">
        <f>HLOOKUP(G$2,EIOPA_Spot_Rates,EIOPA_RFR!$A22,FALSE)</f>
        <v>3.1699999999999999E-2</v>
      </c>
      <c r="H13" s="12">
        <f>HLOOKUP(H$2,EIOPA_Spot_Rates,EIOPA_RFR!$A22,FALSE)</f>
        <v>4.7550000000000002E-2</v>
      </c>
      <c r="I13" s="12">
        <f>HLOOKUP(I$2,EIOPA_Spot_Rates,EIOPA_RFR!$A22,FALSE)</f>
        <v>3.1E-4</v>
      </c>
      <c r="J13" s="12">
        <f>HLOOKUP(J$2,EIOPA_Spot_Rates,EIOPA_RFR!$A22,FALSE)</f>
        <v>1.8409999999999999E-2</v>
      </c>
      <c r="K13" s="12">
        <f>HLOOKUP(K$2,EIOPA_Spot_Rates,EIOPA_RFR!$A22,FALSE)</f>
        <v>3.3430000000000001E-2</v>
      </c>
      <c r="L13" s="12">
        <f>HLOOKUP(L$2,EIOPA_Spot_Rates,EIOPA_RFR!$A22,FALSE)</f>
        <v>3.8769999999999999E-2</v>
      </c>
      <c r="M13" s="12">
        <f>HLOOKUP(M$2,EIOPA_Spot_Rates,EIOPA_RFR!$A22,FALSE)</f>
        <v>7.6539999999999997E-2</v>
      </c>
      <c r="N13" s="12">
        <f>HLOOKUP(N$2,EIOPA_Spot_Rates,EIOPA_RFR!$A22,FALSE)</f>
        <v>1.0319999999999999E-2</v>
      </c>
      <c r="O13" s="12">
        <f>HLOOKUP(O$2,EIOPA_Spot_Rates,EIOPA_RFR!$A22,FALSE)</f>
        <v>1.038E-2</v>
      </c>
      <c r="P13" s="12">
        <f>HLOOKUP(P$2,EIOPA_Spot_Rates,EIOPA_RFR!$A22,FALSE)</f>
        <v>2.8330000000000001E-2</v>
      </c>
      <c r="Q13" s="12">
        <f>HLOOKUP(Q$2,EIOPA_Spot_Rates,EIOPA_RFR!$A22,FALSE)</f>
        <v>9.3719999999999998E-2</v>
      </c>
      <c r="R13" s="12">
        <f>HLOOKUP(R$2,EIOPA_Spot_Rates,EIOPA_RFR!$A22,FALSE)</f>
        <v>1.729E-2</v>
      </c>
      <c r="S13" s="12">
        <f>HLOOKUP(S$2,EIOPA_Spot_Rates,EIOPA_RFR!$A22,FALSE)</f>
        <v>3.9579999999999997E-2</v>
      </c>
      <c r="T13" s="12">
        <f>HLOOKUP(T$2,EIOPA_Spot_Rates,EIOPA_RFR!$A22,FALSE)</f>
        <v>4.2220000000000001E-2</v>
      </c>
      <c r="U13" s="12">
        <f>HLOOKUP(U$2,EIOPA_Spot_Rates,EIOPA_RFR!$A22,FALSE)</f>
        <v>6.2570000000000001E-2</v>
      </c>
      <c r="V13" s="12">
        <f>HLOOKUP(V$2,EIOPA_Spot_Rates,EIOPA_RFR!$A22,FALSE)</f>
        <v>2.2370000000000001E-2</v>
      </c>
      <c r="W13" s="12">
        <f>HLOOKUP(W$2,EIOPA_Spot_Rates,EIOPA_RFR!$A22,FALSE)</f>
        <v>6.7970000000000003E-2</v>
      </c>
      <c r="X13" s="12">
        <f>HLOOKUP(X$2,EIOPA_Spot_Rates,EIOPA_RFR!$A22,FALSE)</f>
        <v>1.66E-3</v>
      </c>
      <c r="Y13" s="12">
        <f>HLOOKUP(Y$2,EIOPA_Spot_Rates,EIOPA_RFR!$A22,FALSE)</f>
        <v>3.968E-2</v>
      </c>
      <c r="Z13" s="12">
        <f>HLOOKUP(Z$2,EIOPA_Spot_Rates,EIOPA_RFR!$A22,FALSE)</f>
        <v>7.3770000000000002E-2</v>
      </c>
      <c r="AA13" s="12">
        <f>HLOOKUP(AA$2,EIOPA_Spot_Rates,EIOPA_RFR!$A22,FALSE)</f>
        <v>3.3090000000000001E-2</v>
      </c>
      <c r="AB13" s="12">
        <f>HLOOKUP(AB$2,EIOPA_Spot_Rates,EIOPA_RFR!$A22,FALSE)</f>
        <v>2.4E-2</v>
      </c>
      <c r="AC13" s="12">
        <f>HLOOKUP(AC$2,EIOPA_Spot_Rates,EIOPA_RFR!$A22,FALSE)</f>
        <v>8.1939999999999999E-2</v>
      </c>
      <c r="AD13" s="12">
        <f>HLOOKUP(AD$2,EIOPA_Spot_Rates,EIOPA_RFR!$A22,FALSE)</f>
        <v>1.796E-2</v>
      </c>
      <c r="AE13" s="12">
        <f>HLOOKUP(AE$2,EIOPA_Spot_Rates,EIOPA_RFR!$A22,FALSE)</f>
        <v>1.099E-2</v>
      </c>
      <c r="AF13" s="12">
        <f>HLOOKUP(AF$2,EIOPA_Spot_Rates,EIOPA_RFR!$A22,FALSE)</f>
        <v>2.5559999999999999E-2</v>
      </c>
      <c r="AG13" s="12">
        <f>HLOOKUP(AG$2,EIOPA_Spot_Rates,EIOPA_RFR!$A22,FALSE)</f>
        <v>0.10564</v>
      </c>
      <c r="AH13" s="12">
        <f>HLOOKUP(AH$2,EIOPA_Spot_Rates,EIOPA_RFR!$A22,FALSE)</f>
        <v>2.264E-2</v>
      </c>
      <c r="AI13" s="127">
        <f t="shared" si="0"/>
        <v>1.038E-2</v>
      </c>
      <c r="AJ13" s="16">
        <v>10</v>
      </c>
      <c r="AK13" s="12">
        <f>HLOOKUP(AK$2,Interest_Rate_Stresses_Setup!$C$6:$BC$47,Interest_Rate_Stresses_Setup!$A17,FALSE)</f>
        <v>1.677E-2</v>
      </c>
      <c r="AL13" s="12">
        <f>HLOOKUP(AL$2,Interest_Rate_Stresses_Setup!$C$6:$BC$47,Interest_Rate_Stresses_Setup!$A17,FALSE)</f>
        <v>1.626E-2</v>
      </c>
      <c r="AM13" s="12">
        <f>HLOOKUP(AM$2,Interest_Rate_Stresses_Setup!$C$6:$BC$47,Interest_Rate_Stresses_Setup!$A17,FALSE)</f>
        <v>3.9039999999999998E-2</v>
      </c>
      <c r="AN13" s="12">
        <f>HLOOKUP(AN$2,Interest_Rate_Stresses_Setup!$C$6:$BC$47,Interest_Rate_Stresses_Setup!$A17,FALSE)</f>
        <v>1.9720000000000001E-2</v>
      </c>
      <c r="AO13" s="12">
        <f>HLOOKUP(AO$2,Interest_Rate_Stresses_Setup!$C$6:$BC$47,Interest_Rate_Stresses_Setup!$A17,FALSE)</f>
        <v>1.6670000000000001E-2</v>
      </c>
      <c r="AP13" s="12">
        <f>HLOOKUP(AP$2,Interest_Rate_Stresses_Setup!$C$6:$BC$47,Interest_Rate_Stresses_Setup!$A17,FALSE)</f>
        <v>4.1700000000000001E-2</v>
      </c>
      <c r="AQ13" s="12">
        <f>HLOOKUP(AQ$2,Interest_Rate_Stresses_Setup!$C$6:$BC$47,Interest_Rate_Stresses_Setup!$A17,FALSE)</f>
        <v>5.7550000000000004E-2</v>
      </c>
      <c r="AR13" s="12">
        <f>HLOOKUP(AR$2,Interest_Rate_Stresses_Setup!$C$6:$BC$47,Interest_Rate_Stresses_Setup!$A17,FALSE)</f>
        <v>1.031E-2</v>
      </c>
      <c r="AS13" s="12">
        <f>HLOOKUP(AS$2,Interest_Rate_Stresses_Setup!$C$6:$BC$47,Interest_Rate_Stresses_Setup!$A17,FALSE)</f>
        <v>2.8409999999999998E-2</v>
      </c>
      <c r="AT13" s="12">
        <f>HLOOKUP(AT$2,Interest_Rate_Stresses_Setup!$C$6:$BC$47,Interest_Rate_Stresses_Setup!$A17,FALSE)</f>
        <v>4.3430000000000003E-2</v>
      </c>
      <c r="AU13" s="12">
        <f>HLOOKUP(AU$2,Interest_Rate_Stresses_Setup!$C$6:$BC$47,Interest_Rate_Stresses_Setup!$A17,FALSE)</f>
        <v>4.8770000000000001E-2</v>
      </c>
      <c r="AV13" s="12">
        <f>HLOOKUP(AV$2,Interest_Rate_Stresses_Setup!$C$6:$BC$47,Interest_Rate_Stresses_Setup!$A17,FALSE)</f>
        <v>8.6539999999999992E-2</v>
      </c>
      <c r="AW13" s="12">
        <f>HLOOKUP(AW$2,Interest_Rate_Stresses_Setup!$C$6:$BC$47,Interest_Rate_Stresses_Setup!$A17,FALSE)</f>
        <v>2.0319999999999998E-2</v>
      </c>
      <c r="AX13" s="12">
        <f>HLOOKUP(AX$2,Interest_Rate_Stresses_Setup!$C$6:$BC$47,Interest_Rate_Stresses_Setup!$A17,FALSE)</f>
        <v>2.0380000000000002E-2</v>
      </c>
      <c r="AY13" s="12">
        <f>HLOOKUP(AY$2,Interest_Rate_Stresses_Setup!$C$6:$BC$47,Interest_Rate_Stresses_Setup!$A17,FALSE)</f>
        <v>3.8330000000000003E-2</v>
      </c>
      <c r="AZ13" s="12">
        <f>HLOOKUP(AZ$2,Interest_Rate_Stresses_Setup!$C$6:$BC$47,Interest_Rate_Stresses_Setup!$A17,FALSE)</f>
        <v>0.10371999999999999</v>
      </c>
      <c r="BA13" s="12">
        <f>HLOOKUP(BA$2,Interest_Rate_Stresses_Setup!$C$6:$BC$47,Interest_Rate_Stresses_Setup!$A17,FALSE)</f>
        <v>2.7290000000000002E-2</v>
      </c>
      <c r="BB13" s="12">
        <f>HLOOKUP(BB$2,Interest_Rate_Stresses_Setup!$C$6:$BC$47,Interest_Rate_Stresses_Setup!$A17,FALSE)</f>
        <v>4.9579999999999999E-2</v>
      </c>
      <c r="BC13" s="12">
        <f>HLOOKUP(BC$2,Interest_Rate_Stresses_Setup!$C$6:$BC$47,Interest_Rate_Stresses_Setup!$A17,FALSE)</f>
        <v>5.2220000000000003E-2</v>
      </c>
      <c r="BD13" s="12">
        <f>HLOOKUP(BD$2,Interest_Rate_Stresses_Setup!$C$6:$BC$47,Interest_Rate_Stresses_Setup!$A17,FALSE)</f>
        <v>7.2569999999999996E-2</v>
      </c>
      <c r="BE13" s="12">
        <f>HLOOKUP(BE$2,Interest_Rate_Stresses_Setup!$C$6:$BC$47,Interest_Rate_Stresses_Setup!$A17,FALSE)</f>
        <v>3.2370000000000003E-2</v>
      </c>
      <c r="BF13" s="12">
        <f>HLOOKUP(BF$2,Interest_Rate_Stresses_Setup!$C$6:$BC$47,Interest_Rate_Stresses_Setup!$A17,FALSE)</f>
        <v>7.7969999999999998E-2</v>
      </c>
      <c r="BG13" s="12">
        <f>HLOOKUP(BG$2,Interest_Rate_Stresses_Setup!$C$6:$BC$47,Interest_Rate_Stresses_Setup!$A17,FALSE)</f>
        <v>1.166E-2</v>
      </c>
      <c r="BH13" s="12">
        <f>HLOOKUP(BH$2,Interest_Rate_Stresses_Setup!$C$6:$BC$47,Interest_Rate_Stresses_Setup!$A17,FALSE)</f>
        <v>4.9680000000000002E-2</v>
      </c>
      <c r="BI13" s="12">
        <f>HLOOKUP(BI$2,Interest_Rate_Stresses_Setup!$C$6:$BC$47,Interest_Rate_Stresses_Setup!$A17,FALSE)</f>
        <v>8.3769999999999997E-2</v>
      </c>
      <c r="BJ13" s="12">
        <f>HLOOKUP(BJ$2,Interest_Rate_Stresses_Setup!$C$6:$BC$47,Interest_Rate_Stresses_Setup!$A17,FALSE)</f>
        <v>4.3090000000000003E-2</v>
      </c>
      <c r="BK13" s="12">
        <f>HLOOKUP(BK$2,Interest_Rate_Stresses_Setup!$C$6:$BC$47,Interest_Rate_Stresses_Setup!$A17,FALSE)</f>
        <v>3.4000000000000002E-2</v>
      </c>
      <c r="BL13" s="12">
        <f>HLOOKUP(BL$2,Interest_Rate_Stresses_Setup!$C$6:$BC$47,Interest_Rate_Stresses_Setup!$A17,FALSE)</f>
        <v>9.1939999999999994E-2</v>
      </c>
      <c r="BM13" s="12">
        <f>HLOOKUP(BM$2,Interest_Rate_Stresses_Setup!$C$6:$BC$47,Interest_Rate_Stresses_Setup!$A17,FALSE)</f>
        <v>2.7959999999999999E-2</v>
      </c>
      <c r="BN13" s="12">
        <f>HLOOKUP(BN$2,Interest_Rate_Stresses_Setup!$C$6:$BC$47,Interest_Rate_Stresses_Setup!$A17,FALSE)</f>
        <v>2.0990000000000002E-2</v>
      </c>
      <c r="BO13" s="12">
        <f>HLOOKUP(BO$2,Interest_Rate_Stresses_Setup!$C$6:$BC$47,Interest_Rate_Stresses_Setup!$A17,FALSE)</f>
        <v>3.5560000000000001E-2</v>
      </c>
      <c r="BP13" s="12">
        <f>HLOOKUP(BP$2,Interest_Rate_Stresses_Setup!$C$6:$BC$47,Interest_Rate_Stresses_Setup!$A17,FALSE)</f>
        <v>0.11563999999999999</v>
      </c>
      <c r="BQ13" s="12">
        <f>HLOOKUP(BQ$2,Interest_Rate_Stresses_Setup!$C$6:$BC$47,Interest_Rate_Stresses_Setup!$A17,FALSE)</f>
        <v>3.2640000000000002E-2</v>
      </c>
      <c r="BR13" s="127">
        <f t="shared" si="1"/>
        <v>2.0380000000000002E-2</v>
      </c>
      <c r="BS13" s="16">
        <v>10</v>
      </c>
      <c r="BT13" s="12">
        <f>HLOOKUP(BT$2,Interest_Rate_Stresses_Setup!$C$50:$BC$91,Interest_Rate_Stresses_Setup!$A61,FALSE)</f>
        <v>4.6712999999999998E-3</v>
      </c>
      <c r="BU13" s="12">
        <f>HLOOKUP(BU$2,Interest_Rate_Stresses_Setup!$C$50:$BC$91,Interest_Rate_Stresses_Setup!$A61,FALSE)</f>
        <v>4.3193999999999993E-3</v>
      </c>
      <c r="BV13" s="12">
        <f>HLOOKUP(BV$2,Interest_Rate_Stresses_Setup!$C$50:$BC$91,Interest_Rate_Stresses_Setup!$A61,FALSE)</f>
        <v>2.0037599999999999E-2</v>
      </c>
      <c r="BW13" s="12">
        <f>HLOOKUP(BW$2,Interest_Rate_Stresses_Setup!$C$50:$BC$91,Interest_Rate_Stresses_Setup!$A61,FALSE)</f>
        <v>6.7067999999999989E-3</v>
      </c>
      <c r="BX13" s="12">
        <f>HLOOKUP(BX$2,Interest_Rate_Stresses_Setup!$C$50:$BC$91,Interest_Rate_Stresses_Setup!$A61,FALSE)</f>
        <v>4.6022999999999993E-3</v>
      </c>
      <c r="BY13" s="12">
        <f>HLOOKUP(BY$2,Interest_Rate_Stresses_Setup!$C$50:$BC$91,Interest_Rate_Stresses_Setup!$A61,FALSE)</f>
        <v>2.1872999999999997E-2</v>
      </c>
      <c r="BZ13" s="12">
        <f>HLOOKUP(BZ$2,Interest_Rate_Stresses_Setup!$C$50:$BC$91,Interest_Rate_Stresses_Setup!$A61,FALSE)</f>
        <v>3.2809499999999998E-2</v>
      </c>
      <c r="CA13" s="12">
        <f>HLOOKUP(CA$2,Interest_Rate_Stresses_Setup!$C$50:$BC$91,Interest_Rate_Stresses_Setup!$A61,FALSE)</f>
        <v>2.139E-4</v>
      </c>
      <c r="CB13" s="12">
        <f>HLOOKUP(CB$2,Interest_Rate_Stresses_Setup!$C$50:$BC$91,Interest_Rate_Stresses_Setup!$A61,FALSE)</f>
        <v>1.2702899999999998E-2</v>
      </c>
      <c r="CC13" s="12">
        <f>HLOOKUP(CC$2,Interest_Rate_Stresses_Setup!$C$50:$BC$91,Interest_Rate_Stresses_Setup!$A61,FALSE)</f>
        <v>2.3066699999999999E-2</v>
      </c>
      <c r="CD13" s="12">
        <f>HLOOKUP(CD$2,Interest_Rate_Stresses_Setup!$C$50:$BC$91,Interest_Rate_Stresses_Setup!$A61,FALSE)</f>
        <v>2.6751299999999999E-2</v>
      </c>
      <c r="CE13" s="12">
        <f>HLOOKUP(CE$2,Interest_Rate_Stresses_Setup!$C$50:$BC$91,Interest_Rate_Stresses_Setup!$A61,FALSE)</f>
        <v>5.2812599999999994E-2</v>
      </c>
      <c r="CF13" s="12">
        <f>HLOOKUP(CF$2,Interest_Rate_Stresses_Setup!$C$50:$BC$91,Interest_Rate_Stresses_Setup!$A61,FALSE)</f>
        <v>7.1207999999999992E-3</v>
      </c>
      <c r="CG13" s="12">
        <f>HLOOKUP(CG$2,Interest_Rate_Stresses_Setup!$C$50:$BC$91,Interest_Rate_Stresses_Setup!$A61,FALSE)</f>
        <v>7.1621999999999996E-3</v>
      </c>
      <c r="CH13" s="12">
        <f>HLOOKUP(CH$2,Interest_Rate_Stresses_Setup!$C$50:$BC$91,Interest_Rate_Stresses_Setup!$A61,FALSE)</f>
        <v>1.9547699999999998E-2</v>
      </c>
      <c r="CI13" s="12">
        <f>HLOOKUP(CI$2,Interest_Rate_Stresses_Setup!$C$50:$BC$91,Interest_Rate_Stresses_Setup!$A61,FALSE)</f>
        <v>6.4666799999999997E-2</v>
      </c>
      <c r="CJ13" s="12">
        <f>HLOOKUP(CJ$2,Interest_Rate_Stresses_Setup!$C$50:$BC$91,Interest_Rate_Stresses_Setup!$A61,FALSE)</f>
        <v>1.1930099999999999E-2</v>
      </c>
      <c r="CK13" s="12">
        <f>HLOOKUP(CK$2,Interest_Rate_Stresses_Setup!$C$50:$BC$91,Interest_Rate_Stresses_Setup!$A61,FALSE)</f>
        <v>2.7310199999999996E-2</v>
      </c>
      <c r="CL13" s="12">
        <f>HLOOKUP(CL$2,Interest_Rate_Stresses_Setup!$C$50:$BC$91,Interest_Rate_Stresses_Setup!$A61,FALSE)</f>
        <v>2.9131799999999999E-2</v>
      </c>
      <c r="CM13" s="12">
        <f>HLOOKUP(CM$2,Interest_Rate_Stresses_Setup!$C$50:$BC$91,Interest_Rate_Stresses_Setup!$A61,FALSE)</f>
        <v>4.3173299999999998E-2</v>
      </c>
      <c r="CN13" s="12">
        <f>HLOOKUP(CN$2,Interest_Rate_Stresses_Setup!$C$50:$BC$91,Interest_Rate_Stresses_Setup!$A61,FALSE)</f>
        <v>1.5435299999999999E-2</v>
      </c>
      <c r="CO13" s="12">
        <f>HLOOKUP(CO$2,Interest_Rate_Stresses_Setup!$C$50:$BC$91,Interest_Rate_Stresses_Setup!$A61,FALSE)</f>
        <v>4.6899299999999998E-2</v>
      </c>
      <c r="CP13" s="12">
        <f>HLOOKUP(CP$2,Interest_Rate_Stresses_Setup!$C$50:$BC$91,Interest_Rate_Stresses_Setup!$A61,FALSE)</f>
        <v>1.1454E-3</v>
      </c>
      <c r="CQ13" s="12">
        <f>HLOOKUP(CQ$2,Interest_Rate_Stresses_Setup!$C$50:$BC$91,Interest_Rate_Stresses_Setup!$A61,FALSE)</f>
        <v>2.7379199999999999E-2</v>
      </c>
      <c r="CR13" s="12">
        <f>HLOOKUP(CR$2,Interest_Rate_Stresses_Setup!$C$50:$BC$91,Interest_Rate_Stresses_Setup!$A61,FALSE)</f>
        <v>5.0901299999999997E-2</v>
      </c>
      <c r="CS13" s="12">
        <f>HLOOKUP(CS$2,Interest_Rate_Stresses_Setup!$C$50:$BC$91,Interest_Rate_Stresses_Setup!$A61,FALSE)</f>
        <v>2.2832099999999998E-2</v>
      </c>
      <c r="CT13" s="12">
        <f>HLOOKUP(CT$2,Interest_Rate_Stresses_Setup!$C$50:$BC$91,Interest_Rate_Stresses_Setup!$A61,FALSE)</f>
        <v>1.6559999999999998E-2</v>
      </c>
      <c r="CU13" s="12">
        <f>HLOOKUP(CU$2,Interest_Rate_Stresses_Setup!$C$50:$BC$91,Interest_Rate_Stresses_Setup!$A61,FALSE)</f>
        <v>5.6538599999999994E-2</v>
      </c>
      <c r="CV13" s="12">
        <f>HLOOKUP(CV$2,Interest_Rate_Stresses_Setup!$C$50:$BC$91,Interest_Rate_Stresses_Setup!$A61,FALSE)</f>
        <v>1.23924E-2</v>
      </c>
      <c r="CW13" s="12">
        <f>HLOOKUP(CW$2,Interest_Rate_Stresses_Setup!$C$50:$BC$91,Interest_Rate_Stresses_Setup!$A61,FALSE)</f>
        <v>7.5830999999999989E-3</v>
      </c>
      <c r="CX13" s="12">
        <f>HLOOKUP(CX$2,Interest_Rate_Stresses_Setup!$C$50:$BC$91,Interest_Rate_Stresses_Setup!$A61,FALSE)</f>
        <v>1.7636399999999997E-2</v>
      </c>
      <c r="CY13" s="12">
        <f>HLOOKUP(CY$2,Interest_Rate_Stresses_Setup!$C$50:$BC$91,Interest_Rate_Stresses_Setup!$A61,FALSE)</f>
        <v>7.2891599999999987E-2</v>
      </c>
      <c r="CZ13" s="12">
        <f>HLOOKUP(CZ$2,Interest_Rate_Stresses_Setup!$C$50:$BC$91,Interest_Rate_Stresses_Setup!$A61,FALSE)</f>
        <v>1.5621599999999999E-2</v>
      </c>
      <c r="DA13" s="127">
        <f t="shared" si="2"/>
        <v>7.1621999999999996E-3</v>
      </c>
    </row>
    <row r="14" spans="1:105" x14ac:dyDescent="0.25">
      <c r="A14" s="11">
        <v>11</v>
      </c>
      <c r="B14" s="12">
        <f>HLOOKUP(B$2,EIOPA_Spot_Rates,EIOPA_RFR!$A23,FALSE)</f>
        <v>7.77E-3</v>
      </c>
      <c r="C14" s="12">
        <f>HLOOKUP(C$2,EIOPA_Spot_Rates,EIOPA_RFR!$A23,FALSE)</f>
        <v>7.26E-3</v>
      </c>
      <c r="D14" s="12">
        <f>HLOOKUP(D$2,EIOPA_Spot_Rates,EIOPA_RFR!$A23,FALSE)</f>
        <v>2.9729999999999999E-2</v>
      </c>
      <c r="E14" s="12">
        <f>HLOOKUP(E$2,EIOPA_Spot_Rates,EIOPA_RFR!$A23,FALSE)</f>
        <v>1.0580000000000001E-2</v>
      </c>
      <c r="F14" s="12">
        <f>HLOOKUP(F$2,EIOPA_Spot_Rates,EIOPA_RFR!$A23,FALSE)</f>
        <v>7.6699999999999997E-3</v>
      </c>
      <c r="G14" s="12">
        <f>HLOOKUP(G$2,EIOPA_Spot_Rates,EIOPA_RFR!$A23,FALSE)</f>
        <v>3.3239999999999999E-2</v>
      </c>
      <c r="H14" s="12">
        <f>HLOOKUP(H$2,EIOPA_Spot_Rates,EIOPA_RFR!$A23,FALSE)</f>
        <v>4.7449999999999999E-2</v>
      </c>
      <c r="I14" s="12">
        <f>HLOOKUP(I$2,EIOPA_Spot_Rates,EIOPA_RFR!$A23,FALSE)</f>
        <v>1.0200000000000001E-3</v>
      </c>
      <c r="J14" s="12">
        <f>HLOOKUP(J$2,EIOPA_Spot_Rates,EIOPA_RFR!$A23,FALSE)</f>
        <v>1.9089999999999999E-2</v>
      </c>
      <c r="K14" s="12">
        <f>HLOOKUP(K$2,EIOPA_Spot_Rates,EIOPA_RFR!$A23,FALSE)</f>
        <v>3.4450000000000001E-2</v>
      </c>
      <c r="L14" s="12">
        <f>HLOOKUP(L$2,EIOPA_Spot_Rates,EIOPA_RFR!$A23,FALSE)</f>
        <v>3.9890000000000002E-2</v>
      </c>
      <c r="M14" s="12">
        <f>HLOOKUP(M$2,EIOPA_Spot_Rates,EIOPA_RFR!$A23,FALSE)</f>
        <v>7.5649999999999995E-2</v>
      </c>
      <c r="N14" s="12">
        <f>HLOOKUP(N$2,EIOPA_Spot_Rates,EIOPA_RFR!$A23,FALSE)</f>
        <v>1.191E-2</v>
      </c>
      <c r="O14" s="12">
        <f>HLOOKUP(O$2,EIOPA_Spot_Rates,EIOPA_RFR!$A23,FALSE)</f>
        <v>1.093E-2</v>
      </c>
      <c r="P14" s="12">
        <f>HLOOKUP(P$2,EIOPA_Spot_Rates,EIOPA_RFR!$A23,FALSE)</f>
        <v>2.9010000000000001E-2</v>
      </c>
      <c r="Q14" s="12">
        <f>HLOOKUP(Q$2,EIOPA_Spot_Rates,EIOPA_RFR!$A23,FALSE)</f>
        <v>9.3530000000000002E-2</v>
      </c>
      <c r="R14" s="12">
        <f>HLOOKUP(R$2,EIOPA_Spot_Rates,EIOPA_RFR!$A23,FALSE)</f>
        <v>1.8200000000000001E-2</v>
      </c>
      <c r="S14" s="12">
        <f>HLOOKUP(S$2,EIOPA_Spot_Rates,EIOPA_RFR!$A23,FALSE)</f>
        <v>4.0129999999999999E-2</v>
      </c>
      <c r="T14" s="12">
        <f>HLOOKUP(T$2,EIOPA_Spot_Rates,EIOPA_RFR!$A23,FALSE)</f>
        <v>4.274E-2</v>
      </c>
      <c r="U14" s="12">
        <f>HLOOKUP(U$2,EIOPA_Spot_Rates,EIOPA_RFR!$A23,FALSE)</f>
        <v>6.2969999999999998E-2</v>
      </c>
      <c r="V14" s="12">
        <f>HLOOKUP(V$2,EIOPA_Spot_Rates,EIOPA_RFR!$A23,FALSE)</f>
        <v>2.2780000000000002E-2</v>
      </c>
      <c r="W14" s="12">
        <f>HLOOKUP(W$2,EIOPA_Spot_Rates,EIOPA_RFR!$A23,FALSE)</f>
        <v>6.8440000000000001E-2</v>
      </c>
      <c r="X14" s="12">
        <f>HLOOKUP(X$2,EIOPA_Spot_Rates,EIOPA_RFR!$A23,FALSE)</f>
        <v>2.0699999999999998E-3</v>
      </c>
      <c r="Y14" s="12">
        <f>HLOOKUP(Y$2,EIOPA_Spot_Rates,EIOPA_RFR!$A23,FALSE)</f>
        <v>4.0210000000000003E-2</v>
      </c>
      <c r="Z14" s="12">
        <f>HLOOKUP(Z$2,EIOPA_Spot_Rates,EIOPA_RFR!$A23,FALSE)</f>
        <v>7.4410000000000004E-2</v>
      </c>
      <c r="AA14" s="12">
        <f>HLOOKUP(AA$2,EIOPA_Spot_Rates,EIOPA_RFR!$A23,FALSE)</f>
        <v>3.3840000000000002E-2</v>
      </c>
      <c r="AB14" s="12">
        <f>HLOOKUP(AB$2,EIOPA_Spot_Rates,EIOPA_RFR!$A23,FALSE)</f>
        <v>2.453E-2</v>
      </c>
      <c r="AC14" s="12">
        <f>HLOOKUP(AC$2,EIOPA_Spot_Rates,EIOPA_RFR!$A23,FALSE)</f>
        <v>8.2860000000000003E-2</v>
      </c>
      <c r="AD14" s="12">
        <f>HLOOKUP(AD$2,EIOPA_Spot_Rates,EIOPA_RFR!$A23,FALSE)</f>
        <v>1.8190000000000001E-2</v>
      </c>
      <c r="AE14" s="12">
        <f>HLOOKUP(AE$2,EIOPA_Spot_Rates,EIOPA_RFR!$A23,FALSE)</f>
        <v>1.171E-2</v>
      </c>
      <c r="AF14" s="12">
        <f>HLOOKUP(AF$2,EIOPA_Spot_Rates,EIOPA_RFR!$A23,FALSE)</f>
        <v>2.6079999999999999E-2</v>
      </c>
      <c r="AG14" s="12">
        <f>HLOOKUP(AG$2,EIOPA_Spot_Rates,EIOPA_RFR!$A23,FALSE)</f>
        <v>0.10403999999999999</v>
      </c>
      <c r="AH14" s="12">
        <f>HLOOKUP(AH$2,EIOPA_Spot_Rates,EIOPA_RFR!$A23,FALSE)</f>
        <v>2.3109999999999999E-2</v>
      </c>
      <c r="AI14" s="127">
        <f t="shared" si="0"/>
        <v>1.093E-2</v>
      </c>
      <c r="AJ14" s="16">
        <v>11</v>
      </c>
      <c r="AK14" s="12">
        <f>HLOOKUP(AK$2,Interest_Rate_Stresses_Setup!$C$6:$BC$47,Interest_Rate_Stresses_Setup!$A18,FALSE)</f>
        <v>1.7770000000000001E-2</v>
      </c>
      <c r="AL14" s="12">
        <f>HLOOKUP(AL$2,Interest_Rate_Stresses_Setup!$C$6:$BC$47,Interest_Rate_Stresses_Setup!$A18,FALSE)</f>
        <v>1.7260000000000001E-2</v>
      </c>
      <c r="AM14" s="12">
        <f>HLOOKUP(AM$2,Interest_Rate_Stresses_Setup!$C$6:$BC$47,Interest_Rate_Stresses_Setup!$A18,FALSE)</f>
        <v>3.9730000000000001E-2</v>
      </c>
      <c r="AN14" s="12">
        <f>HLOOKUP(AN$2,Interest_Rate_Stresses_Setup!$C$6:$BC$47,Interest_Rate_Stresses_Setup!$A18,FALSE)</f>
        <v>2.0580000000000001E-2</v>
      </c>
      <c r="AO14" s="12">
        <f>HLOOKUP(AO$2,Interest_Rate_Stresses_Setup!$C$6:$BC$47,Interest_Rate_Stresses_Setup!$A18,FALSE)</f>
        <v>1.7669999999999998E-2</v>
      </c>
      <c r="AP14" s="12">
        <f>HLOOKUP(AP$2,Interest_Rate_Stresses_Setup!$C$6:$BC$47,Interest_Rate_Stresses_Setup!$A18,FALSE)</f>
        <v>4.3240000000000001E-2</v>
      </c>
      <c r="AQ14" s="12">
        <f>HLOOKUP(AQ$2,Interest_Rate_Stresses_Setup!$C$6:$BC$47,Interest_Rate_Stresses_Setup!$A18,FALSE)</f>
        <v>5.7450000000000001E-2</v>
      </c>
      <c r="AR14" s="12">
        <f>HLOOKUP(AR$2,Interest_Rate_Stresses_Setup!$C$6:$BC$47,Interest_Rate_Stresses_Setup!$A18,FALSE)</f>
        <v>1.102E-2</v>
      </c>
      <c r="AS14" s="12">
        <f>HLOOKUP(AS$2,Interest_Rate_Stresses_Setup!$C$6:$BC$47,Interest_Rate_Stresses_Setup!$A18,FALSE)</f>
        <v>2.9089999999999998E-2</v>
      </c>
      <c r="AT14" s="12">
        <f>HLOOKUP(AT$2,Interest_Rate_Stresses_Setup!$C$6:$BC$47,Interest_Rate_Stresses_Setup!$A18,FALSE)</f>
        <v>4.4450000000000003E-2</v>
      </c>
      <c r="AU14" s="12">
        <f>HLOOKUP(AU$2,Interest_Rate_Stresses_Setup!$C$6:$BC$47,Interest_Rate_Stresses_Setup!$A18,FALSE)</f>
        <v>4.9890000000000004E-2</v>
      </c>
      <c r="AV14" s="12">
        <f>HLOOKUP(AV$2,Interest_Rate_Stresses_Setup!$C$6:$BC$47,Interest_Rate_Stresses_Setup!$A18,FALSE)</f>
        <v>8.564999999999999E-2</v>
      </c>
      <c r="AW14" s="12">
        <f>HLOOKUP(AW$2,Interest_Rate_Stresses_Setup!$C$6:$BC$47,Interest_Rate_Stresses_Setup!$A18,FALSE)</f>
        <v>2.1909999999999999E-2</v>
      </c>
      <c r="AX14" s="12">
        <f>HLOOKUP(AX$2,Interest_Rate_Stresses_Setup!$C$6:$BC$47,Interest_Rate_Stresses_Setup!$A18,FALSE)</f>
        <v>2.0930000000000001E-2</v>
      </c>
      <c r="AY14" s="12">
        <f>HLOOKUP(AY$2,Interest_Rate_Stresses_Setup!$C$6:$BC$47,Interest_Rate_Stresses_Setup!$A18,FALSE)</f>
        <v>3.9010000000000003E-2</v>
      </c>
      <c r="AZ14" s="12">
        <f>HLOOKUP(AZ$2,Interest_Rate_Stresses_Setup!$C$6:$BC$47,Interest_Rate_Stresses_Setup!$A18,FALSE)</f>
        <v>0.10353</v>
      </c>
      <c r="BA14" s="12">
        <f>HLOOKUP(BA$2,Interest_Rate_Stresses_Setup!$C$6:$BC$47,Interest_Rate_Stresses_Setup!$A18,FALSE)</f>
        <v>2.8200000000000003E-2</v>
      </c>
      <c r="BB14" s="12">
        <f>HLOOKUP(BB$2,Interest_Rate_Stresses_Setup!$C$6:$BC$47,Interest_Rate_Stresses_Setup!$A18,FALSE)</f>
        <v>5.0130000000000001E-2</v>
      </c>
      <c r="BC14" s="12">
        <f>HLOOKUP(BC$2,Interest_Rate_Stresses_Setup!$C$6:$BC$47,Interest_Rate_Stresses_Setup!$A18,FALSE)</f>
        <v>5.2740000000000002E-2</v>
      </c>
      <c r="BD14" s="12">
        <f>HLOOKUP(BD$2,Interest_Rate_Stresses_Setup!$C$6:$BC$47,Interest_Rate_Stresses_Setup!$A18,FALSE)</f>
        <v>7.2969999999999993E-2</v>
      </c>
      <c r="BE14" s="12">
        <f>HLOOKUP(BE$2,Interest_Rate_Stresses_Setup!$C$6:$BC$47,Interest_Rate_Stresses_Setup!$A18,FALSE)</f>
        <v>3.2780000000000004E-2</v>
      </c>
      <c r="BF14" s="12">
        <f>HLOOKUP(BF$2,Interest_Rate_Stresses_Setup!$C$6:$BC$47,Interest_Rate_Stresses_Setup!$A18,FALSE)</f>
        <v>7.8439999999999996E-2</v>
      </c>
      <c r="BG14" s="12">
        <f>HLOOKUP(BG$2,Interest_Rate_Stresses_Setup!$C$6:$BC$47,Interest_Rate_Stresses_Setup!$A18,FALSE)</f>
        <v>1.2070000000000001E-2</v>
      </c>
      <c r="BH14" s="12">
        <f>HLOOKUP(BH$2,Interest_Rate_Stresses_Setup!$C$6:$BC$47,Interest_Rate_Stresses_Setup!$A18,FALSE)</f>
        <v>5.0210000000000005E-2</v>
      </c>
      <c r="BI14" s="12">
        <f>HLOOKUP(BI$2,Interest_Rate_Stresses_Setup!$C$6:$BC$47,Interest_Rate_Stresses_Setup!$A18,FALSE)</f>
        <v>8.4409999999999999E-2</v>
      </c>
      <c r="BJ14" s="12">
        <f>HLOOKUP(BJ$2,Interest_Rate_Stresses_Setup!$C$6:$BC$47,Interest_Rate_Stresses_Setup!$A18,FALSE)</f>
        <v>4.3840000000000004E-2</v>
      </c>
      <c r="BK14" s="12">
        <f>HLOOKUP(BK$2,Interest_Rate_Stresses_Setup!$C$6:$BC$47,Interest_Rate_Stresses_Setup!$A18,FALSE)</f>
        <v>3.4529999999999998E-2</v>
      </c>
      <c r="BL14" s="12">
        <f>HLOOKUP(BL$2,Interest_Rate_Stresses_Setup!$C$6:$BC$47,Interest_Rate_Stresses_Setup!$A18,FALSE)</f>
        <v>9.2859999999999998E-2</v>
      </c>
      <c r="BM14" s="12">
        <f>HLOOKUP(BM$2,Interest_Rate_Stresses_Setup!$C$6:$BC$47,Interest_Rate_Stresses_Setup!$A18,FALSE)</f>
        <v>2.819E-2</v>
      </c>
      <c r="BN14" s="12">
        <f>HLOOKUP(BN$2,Interest_Rate_Stresses_Setup!$C$6:$BC$47,Interest_Rate_Stresses_Setup!$A18,FALSE)</f>
        <v>2.171E-2</v>
      </c>
      <c r="BO14" s="12">
        <f>HLOOKUP(BO$2,Interest_Rate_Stresses_Setup!$C$6:$BC$47,Interest_Rate_Stresses_Setup!$A18,FALSE)</f>
        <v>3.6080000000000001E-2</v>
      </c>
      <c r="BP14" s="12">
        <f>HLOOKUP(BP$2,Interest_Rate_Stresses_Setup!$C$6:$BC$47,Interest_Rate_Stresses_Setup!$A18,FALSE)</f>
        <v>0.11403999999999999</v>
      </c>
      <c r="BQ14" s="12">
        <f>HLOOKUP(BQ$2,Interest_Rate_Stresses_Setup!$C$6:$BC$47,Interest_Rate_Stresses_Setup!$A18,FALSE)</f>
        <v>3.3110000000000001E-2</v>
      </c>
      <c r="BR14" s="127">
        <f t="shared" si="1"/>
        <v>2.0930000000000001E-2</v>
      </c>
      <c r="BS14" s="16">
        <v>11</v>
      </c>
      <c r="BT14" s="12">
        <f>HLOOKUP(BT$2,Interest_Rate_Stresses_Setup!$C$50:$BC$91,Interest_Rate_Stresses_Setup!$A62,FALSE)</f>
        <v>5.4389999999999994E-3</v>
      </c>
      <c r="BU14" s="12">
        <f>HLOOKUP(BU$2,Interest_Rate_Stresses_Setup!$C$50:$BC$91,Interest_Rate_Stresses_Setup!$A62,FALSE)</f>
        <v>5.0819999999999997E-3</v>
      </c>
      <c r="BV14" s="12">
        <f>HLOOKUP(BV$2,Interest_Rate_Stresses_Setup!$C$50:$BC$91,Interest_Rate_Stresses_Setup!$A62,FALSE)</f>
        <v>2.0811E-2</v>
      </c>
      <c r="BW14" s="12">
        <f>HLOOKUP(BW$2,Interest_Rate_Stresses_Setup!$C$50:$BC$91,Interest_Rate_Stresses_Setup!$A62,FALSE)</f>
        <v>7.4060000000000003E-3</v>
      </c>
      <c r="BX14" s="12">
        <f>HLOOKUP(BX$2,Interest_Rate_Stresses_Setup!$C$50:$BC$91,Interest_Rate_Stresses_Setup!$A62,FALSE)</f>
        <v>5.3689999999999996E-3</v>
      </c>
      <c r="BY14" s="12">
        <f>HLOOKUP(BY$2,Interest_Rate_Stresses_Setup!$C$50:$BC$91,Interest_Rate_Stresses_Setup!$A62,FALSE)</f>
        <v>2.3267999999999997E-2</v>
      </c>
      <c r="BZ14" s="12">
        <f>HLOOKUP(BZ$2,Interest_Rate_Stresses_Setup!$C$50:$BC$91,Interest_Rate_Stresses_Setup!$A62,FALSE)</f>
        <v>3.3214999999999995E-2</v>
      </c>
      <c r="CA14" s="12">
        <f>HLOOKUP(CA$2,Interest_Rate_Stresses_Setup!$C$50:$BC$91,Interest_Rate_Stresses_Setup!$A62,FALSE)</f>
        <v>7.1400000000000001E-4</v>
      </c>
      <c r="CB14" s="12">
        <f>HLOOKUP(CB$2,Interest_Rate_Stresses_Setup!$C$50:$BC$91,Interest_Rate_Stresses_Setup!$A62,FALSE)</f>
        <v>1.3362999999999998E-2</v>
      </c>
      <c r="CC14" s="12">
        <f>HLOOKUP(CC$2,Interest_Rate_Stresses_Setup!$C$50:$BC$91,Interest_Rate_Stresses_Setup!$A62,FALSE)</f>
        <v>2.4115000000000001E-2</v>
      </c>
      <c r="CD14" s="12">
        <f>HLOOKUP(CD$2,Interest_Rate_Stresses_Setup!$C$50:$BC$91,Interest_Rate_Stresses_Setup!$A62,FALSE)</f>
        <v>2.7923E-2</v>
      </c>
      <c r="CE14" s="12">
        <f>HLOOKUP(CE$2,Interest_Rate_Stresses_Setup!$C$50:$BC$91,Interest_Rate_Stresses_Setup!$A62,FALSE)</f>
        <v>5.2954999999999995E-2</v>
      </c>
      <c r="CF14" s="12">
        <f>HLOOKUP(CF$2,Interest_Rate_Stresses_Setup!$C$50:$BC$91,Interest_Rate_Stresses_Setup!$A62,FALSE)</f>
        <v>8.3369999999999989E-3</v>
      </c>
      <c r="CG14" s="12">
        <f>HLOOKUP(CG$2,Interest_Rate_Stresses_Setup!$C$50:$BC$91,Interest_Rate_Stresses_Setup!$A62,FALSE)</f>
        <v>7.6509999999999998E-3</v>
      </c>
      <c r="CH14" s="12">
        <f>HLOOKUP(CH$2,Interest_Rate_Stresses_Setup!$C$50:$BC$91,Interest_Rate_Stresses_Setup!$A62,FALSE)</f>
        <v>2.0306999999999999E-2</v>
      </c>
      <c r="CI14" s="12">
        <f>HLOOKUP(CI$2,Interest_Rate_Stresses_Setup!$C$50:$BC$91,Interest_Rate_Stresses_Setup!$A62,FALSE)</f>
        <v>6.5471000000000001E-2</v>
      </c>
      <c r="CJ14" s="12">
        <f>HLOOKUP(CJ$2,Interest_Rate_Stresses_Setup!$C$50:$BC$91,Interest_Rate_Stresses_Setup!$A62,FALSE)</f>
        <v>1.274E-2</v>
      </c>
      <c r="CK14" s="12">
        <f>HLOOKUP(CK$2,Interest_Rate_Stresses_Setup!$C$50:$BC$91,Interest_Rate_Stresses_Setup!$A62,FALSE)</f>
        <v>2.8090999999999998E-2</v>
      </c>
      <c r="CL14" s="12">
        <f>HLOOKUP(CL$2,Interest_Rate_Stresses_Setup!$C$50:$BC$91,Interest_Rate_Stresses_Setup!$A62,FALSE)</f>
        <v>2.9917999999999997E-2</v>
      </c>
      <c r="CM14" s="12">
        <f>HLOOKUP(CM$2,Interest_Rate_Stresses_Setup!$C$50:$BC$91,Interest_Rate_Stresses_Setup!$A62,FALSE)</f>
        <v>4.4078999999999993E-2</v>
      </c>
      <c r="CN14" s="12">
        <f>HLOOKUP(CN$2,Interest_Rate_Stresses_Setup!$C$50:$BC$91,Interest_Rate_Stresses_Setup!$A62,FALSE)</f>
        <v>1.5946000000000002E-2</v>
      </c>
      <c r="CO14" s="12">
        <f>HLOOKUP(CO$2,Interest_Rate_Stresses_Setup!$C$50:$BC$91,Interest_Rate_Stresses_Setup!$A62,FALSE)</f>
        <v>4.7907999999999999E-2</v>
      </c>
      <c r="CP14" s="12">
        <f>HLOOKUP(CP$2,Interest_Rate_Stresses_Setup!$C$50:$BC$91,Interest_Rate_Stresses_Setup!$A62,FALSE)</f>
        <v>1.4489999999999998E-3</v>
      </c>
      <c r="CQ14" s="12">
        <f>HLOOKUP(CQ$2,Interest_Rate_Stresses_Setup!$C$50:$BC$91,Interest_Rate_Stresses_Setup!$A62,FALSE)</f>
        <v>2.8146999999999998E-2</v>
      </c>
      <c r="CR14" s="12">
        <f>HLOOKUP(CR$2,Interest_Rate_Stresses_Setup!$C$50:$BC$91,Interest_Rate_Stresses_Setup!$A62,FALSE)</f>
        <v>5.2087000000000001E-2</v>
      </c>
      <c r="CS14" s="12">
        <f>HLOOKUP(CS$2,Interest_Rate_Stresses_Setup!$C$50:$BC$91,Interest_Rate_Stresses_Setup!$A62,FALSE)</f>
        <v>2.3688000000000001E-2</v>
      </c>
      <c r="CT14" s="12">
        <f>HLOOKUP(CT$2,Interest_Rate_Stresses_Setup!$C$50:$BC$91,Interest_Rate_Stresses_Setup!$A62,FALSE)</f>
        <v>1.7170999999999999E-2</v>
      </c>
      <c r="CU14" s="12">
        <f>HLOOKUP(CU$2,Interest_Rate_Stresses_Setup!$C$50:$BC$91,Interest_Rate_Stresses_Setup!$A62,FALSE)</f>
        <v>5.8001999999999998E-2</v>
      </c>
      <c r="CV14" s="12">
        <f>HLOOKUP(CV$2,Interest_Rate_Stresses_Setup!$C$50:$BC$91,Interest_Rate_Stresses_Setup!$A62,FALSE)</f>
        <v>1.2733E-2</v>
      </c>
      <c r="CW14" s="12">
        <f>HLOOKUP(CW$2,Interest_Rate_Stresses_Setup!$C$50:$BC$91,Interest_Rate_Stresses_Setup!$A62,FALSE)</f>
        <v>8.1969999999999994E-3</v>
      </c>
      <c r="CX14" s="12">
        <f>HLOOKUP(CX$2,Interest_Rate_Stresses_Setup!$C$50:$BC$91,Interest_Rate_Stresses_Setup!$A62,FALSE)</f>
        <v>1.8255999999999998E-2</v>
      </c>
      <c r="CY14" s="12">
        <f>HLOOKUP(CY$2,Interest_Rate_Stresses_Setup!$C$50:$BC$91,Interest_Rate_Stresses_Setup!$A62,FALSE)</f>
        <v>7.282799999999999E-2</v>
      </c>
      <c r="CZ14" s="12">
        <f>HLOOKUP(CZ$2,Interest_Rate_Stresses_Setup!$C$50:$BC$91,Interest_Rate_Stresses_Setup!$A62,FALSE)</f>
        <v>1.6176999999999997E-2</v>
      </c>
      <c r="DA14" s="127">
        <f t="shared" si="2"/>
        <v>7.6509999999999998E-3</v>
      </c>
    </row>
    <row r="15" spans="1:105" x14ac:dyDescent="0.25">
      <c r="A15" s="11">
        <v>12</v>
      </c>
      <c r="B15" s="12">
        <f>HLOOKUP(B$2,EIOPA_Spot_Rates,EIOPA_RFR!$A24,FALSE)</f>
        <v>8.7100000000000007E-3</v>
      </c>
      <c r="C15" s="12">
        <f>HLOOKUP(C$2,EIOPA_Spot_Rates,EIOPA_RFR!$A24,FALSE)</f>
        <v>8.1899999999999994E-3</v>
      </c>
      <c r="D15" s="12">
        <f>HLOOKUP(D$2,EIOPA_Spot_Rates,EIOPA_RFR!$A24,FALSE)</f>
        <v>3.0339999999999999E-2</v>
      </c>
      <c r="E15" s="12">
        <f>HLOOKUP(E$2,EIOPA_Spot_Rates,EIOPA_RFR!$A24,FALSE)</f>
        <v>1.1350000000000001E-2</v>
      </c>
      <c r="F15" s="12">
        <f>HLOOKUP(F$2,EIOPA_Spot_Rates,EIOPA_RFR!$A24,FALSE)</f>
        <v>8.6E-3</v>
      </c>
      <c r="G15" s="12">
        <f>HLOOKUP(G$2,EIOPA_Spot_Rates,EIOPA_RFR!$A24,FALSE)</f>
        <v>3.4759999999999999E-2</v>
      </c>
      <c r="H15" s="12">
        <f>HLOOKUP(H$2,EIOPA_Spot_Rates,EIOPA_RFR!$A24,FALSE)</f>
        <v>4.734E-2</v>
      </c>
      <c r="I15" s="12">
        <f>HLOOKUP(I$2,EIOPA_Spot_Rates,EIOPA_RFR!$A24,FALSE)</f>
        <v>1.58E-3</v>
      </c>
      <c r="J15" s="12">
        <f>HLOOKUP(J$2,EIOPA_Spot_Rates,EIOPA_RFR!$A24,FALSE)</f>
        <v>1.9800000000000002E-2</v>
      </c>
      <c r="K15" s="12">
        <f>HLOOKUP(K$2,EIOPA_Spot_Rates,EIOPA_RFR!$A24,FALSE)</f>
        <v>3.5290000000000002E-2</v>
      </c>
      <c r="L15" s="12">
        <f>HLOOKUP(L$2,EIOPA_Spot_Rates,EIOPA_RFR!$A24,FALSE)</f>
        <v>4.0770000000000001E-2</v>
      </c>
      <c r="M15" s="12">
        <f>HLOOKUP(M$2,EIOPA_Spot_Rates,EIOPA_RFR!$A24,FALSE)</f>
        <v>7.4719999999999995E-2</v>
      </c>
      <c r="N15" s="12">
        <f>HLOOKUP(N$2,EIOPA_Spot_Rates,EIOPA_RFR!$A24,FALSE)</f>
        <v>1.37E-2</v>
      </c>
      <c r="O15" s="12">
        <f>HLOOKUP(O$2,EIOPA_Spot_Rates,EIOPA_RFR!$A24,FALSE)</f>
        <v>1.141E-2</v>
      </c>
      <c r="P15" s="12">
        <f>HLOOKUP(P$2,EIOPA_Spot_Rates,EIOPA_RFR!$A24,FALSE)</f>
        <v>2.963E-2</v>
      </c>
      <c r="Q15" s="12">
        <f>HLOOKUP(Q$2,EIOPA_Spot_Rates,EIOPA_RFR!$A24,FALSE)</f>
        <v>9.3079999999999996E-2</v>
      </c>
      <c r="R15" s="12">
        <f>HLOOKUP(R$2,EIOPA_Spot_Rates,EIOPA_RFR!$A24,FALSE)</f>
        <v>1.9019999999999999E-2</v>
      </c>
      <c r="S15" s="12">
        <f>HLOOKUP(S$2,EIOPA_Spot_Rates,EIOPA_RFR!$A24,FALSE)</f>
        <v>4.0559999999999999E-2</v>
      </c>
      <c r="T15" s="12">
        <f>HLOOKUP(T$2,EIOPA_Spot_Rates,EIOPA_RFR!$A24,FALSE)</f>
        <v>4.3139999999999998E-2</v>
      </c>
      <c r="U15" s="12">
        <f>HLOOKUP(U$2,EIOPA_Spot_Rates,EIOPA_RFR!$A24,FALSE)</f>
        <v>6.3119999999999996E-2</v>
      </c>
      <c r="V15" s="12">
        <f>HLOOKUP(V$2,EIOPA_Spot_Rates,EIOPA_RFR!$A24,FALSE)</f>
        <v>2.3130000000000001E-2</v>
      </c>
      <c r="W15" s="12">
        <f>HLOOKUP(W$2,EIOPA_Spot_Rates,EIOPA_RFR!$A24,FALSE)</f>
        <v>6.8680000000000005E-2</v>
      </c>
      <c r="X15" s="12">
        <f>HLOOKUP(X$2,EIOPA_Spot_Rates,EIOPA_RFR!$A24,FALSE)</f>
        <v>2.5100000000000001E-3</v>
      </c>
      <c r="Y15" s="12">
        <f>HLOOKUP(Y$2,EIOPA_Spot_Rates,EIOPA_RFR!$A24,FALSE)</f>
        <v>4.0770000000000001E-2</v>
      </c>
      <c r="Z15" s="12">
        <f>HLOOKUP(Z$2,EIOPA_Spot_Rates,EIOPA_RFR!$A24,FALSE)</f>
        <v>7.5130000000000002E-2</v>
      </c>
      <c r="AA15" s="12">
        <f>HLOOKUP(AA$2,EIOPA_Spot_Rates,EIOPA_RFR!$A24,FALSE)</f>
        <v>3.4619999999999998E-2</v>
      </c>
      <c r="AB15" s="12">
        <f>HLOOKUP(AB$2,EIOPA_Spot_Rates,EIOPA_RFR!$A24,FALSE)</f>
        <v>2.496E-2</v>
      </c>
      <c r="AC15" s="12">
        <f>HLOOKUP(AC$2,EIOPA_Spot_Rates,EIOPA_RFR!$A24,FALSE)</f>
        <v>8.3599999999999994E-2</v>
      </c>
      <c r="AD15" s="12">
        <f>HLOOKUP(AD$2,EIOPA_Spot_Rates,EIOPA_RFR!$A24,FALSE)</f>
        <v>1.8329999999999999E-2</v>
      </c>
      <c r="AE15" s="12">
        <f>HLOOKUP(AE$2,EIOPA_Spot_Rates,EIOPA_RFR!$A24,FALSE)</f>
        <v>1.2529999999999999E-2</v>
      </c>
      <c r="AF15" s="12">
        <f>HLOOKUP(AF$2,EIOPA_Spot_Rates,EIOPA_RFR!$A24,FALSE)</f>
        <v>2.6550000000000001E-2</v>
      </c>
      <c r="AG15" s="12">
        <f>HLOOKUP(AG$2,EIOPA_Spot_Rates,EIOPA_RFR!$A24,FALSE)</f>
        <v>0.10244</v>
      </c>
      <c r="AH15" s="12">
        <f>HLOOKUP(AH$2,EIOPA_Spot_Rates,EIOPA_RFR!$A24,FALSE)</f>
        <v>2.3529999999999999E-2</v>
      </c>
      <c r="AI15" s="127">
        <f t="shared" si="0"/>
        <v>1.141E-2</v>
      </c>
      <c r="AJ15" s="16">
        <v>12</v>
      </c>
      <c r="AK15" s="12">
        <f>HLOOKUP(AK$2,Interest_Rate_Stresses_Setup!$C$6:$BC$47,Interest_Rate_Stresses_Setup!$A19,FALSE)</f>
        <v>1.8710000000000001E-2</v>
      </c>
      <c r="AL15" s="12">
        <f>HLOOKUP(AL$2,Interest_Rate_Stresses_Setup!$C$6:$BC$47,Interest_Rate_Stresses_Setup!$A19,FALSE)</f>
        <v>1.8189999999999998E-2</v>
      </c>
      <c r="AM15" s="12">
        <f>HLOOKUP(AM$2,Interest_Rate_Stresses_Setup!$C$6:$BC$47,Interest_Rate_Stresses_Setup!$A19,FALSE)</f>
        <v>4.0340000000000001E-2</v>
      </c>
      <c r="AN15" s="12">
        <f>HLOOKUP(AN$2,Interest_Rate_Stresses_Setup!$C$6:$BC$47,Interest_Rate_Stresses_Setup!$A19,FALSE)</f>
        <v>2.1350000000000001E-2</v>
      </c>
      <c r="AO15" s="12">
        <f>HLOOKUP(AO$2,Interest_Rate_Stresses_Setup!$C$6:$BC$47,Interest_Rate_Stresses_Setup!$A19,FALSE)</f>
        <v>1.8599999999999998E-2</v>
      </c>
      <c r="AP15" s="12">
        <f>HLOOKUP(AP$2,Interest_Rate_Stresses_Setup!$C$6:$BC$47,Interest_Rate_Stresses_Setup!$A19,FALSE)</f>
        <v>4.4760000000000001E-2</v>
      </c>
      <c r="AQ15" s="12">
        <f>HLOOKUP(AQ$2,Interest_Rate_Stresses_Setup!$C$6:$BC$47,Interest_Rate_Stresses_Setup!$A19,FALSE)</f>
        <v>5.7340000000000002E-2</v>
      </c>
      <c r="AR15" s="12">
        <f>HLOOKUP(AR$2,Interest_Rate_Stresses_Setup!$C$6:$BC$47,Interest_Rate_Stresses_Setup!$A19,FALSE)</f>
        <v>1.158E-2</v>
      </c>
      <c r="AS15" s="12">
        <f>HLOOKUP(AS$2,Interest_Rate_Stresses_Setup!$C$6:$BC$47,Interest_Rate_Stresses_Setup!$A19,FALSE)</f>
        <v>2.98E-2</v>
      </c>
      <c r="AT15" s="12">
        <f>HLOOKUP(AT$2,Interest_Rate_Stresses_Setup!$C$6:$BC$47,Interest_Rate_Stresses_Setup!$A19,FALSE)</f>
        <v>4.5290000000000004E-2</v>
      </c>
      <c r="AU15" s="12">
        <f>HLOOKUP(AU$2,Interest_Rate_Stresses_Setup!$C$6:$BC$47,Interest_Rate_Stresses_Setup!$A19,FALSE)</f>
        <v>5.0770000000000003E-2</v>
      </c>
      <c r="AV15" s="12">
        <f>HLOOKUP(AV$2,Interest_Rate_Stresses_Setup!$C$6:$BC$47,Interest_Rate_Stresses_Setup!$A19,FALSE)</f>
        <v>8.471999999999999E-2</v>
      </c>
      <c r="AW15" s="12">
        <f>HLOOKUP(AW$2,Interest_Rate_Stresses_Setup!$C$6:$BC$47,Interest_Rate_Stresses_Setup!$A19,FALSE)</f>
        <v>2.3699999999999999E-2</v>
      </c>
      <c r="AX15" s="12">
        <f>HLOOKUP(AX$2,Interest_Rate_Stresses_Setup!$C$6:$BC$47,Interest_Rate_Stresses_Setup!$A19,FALSE)</f>
        <v>2.1409999999999998E-2</v>
      </c>
      <c r="AY15" s="12">
        <f>HLOOKUP(AY$2,Interest_Rate_Stresses_Setup!$C$6:$BC$47,Interest_Rate_Stresses_Setup!$A19,FALSE)</f>
        <v>3.9629999999999999E-2</v>
      </c>
      <c r="AZ15" s="12">
        <f>HLOOKUP(AZ$2,Interest_Rate_Stresses_Setup!$C$6:$BC$47,Interest_Rate_Stresses_Setup!$A19,FALSE)</f>
        <v>0.10307999999999999</v>
      </c>
      <c r="BA15" s="12">
        <f>HLOOKUP(BA$2,Interest_Rate_Stresses_Setup!$C$6:$BC$47,Interest_Rate_Stresses_Setup!$A19,FALSE)</f>
        <v>2.9019999999999997E-2</v>
      </c>
      <c r="BB15" s="12">
        <f>HLOOKUP(BB$2,Interest_Rate_Stresses_Setup!$C$6:$BC$47,Interest_Rate_Stresses_Setup!$A19,FALSE)</f>
        <v>5.0560000000000001E-2</v>
      </c>
      <c r="BC15" s="12">
        <f>HLOOKUP(BC$2,Interest_Rate_Stresses_Setup!$C$6:$BC$47,Interest_Rate_Stresses_Setup!$A19,FALSE)</f>
        <v>5.314E-2</v>
      </c>
      <c r="BD15" s="12">
        <f>HLOOKUP(BD$2,Interest_Rate_Stresses_Setup!$C$6:$BC$47,Interest_Rate_Stresses_Setup!$A19,FALSE)</f>
        <v>7.3119999999999991E-2</v>
      </c>
      <c r="BE15" s="12">
        <f>HLOOKUP(BE$2,Interest_Rate_Stresses_Setup!$C$6:$BC$47,Interest_Rate_Stresses_Setup!$A19,FALSE)</f>
        <v>3.313E-2</v>
      </c>
      <c r="BF15" s="12">
        <f>HLOOKUP(BF$2,Interest_Rate_Stresses_Setup!$C$6:$BC$47,Interest_Rate_Stresses_Setup!$A19,FALSE)</f>
        <v>7.868E-2</v>
      </c>
      <c r="BG15" s="12">
        <f>HLOOKUP(BG$2,Interest_Rate_Stresses_Setup!$C$6:$BC$47,Interest_Rate_Stresses_Setup!$A19,FALSE)</f>
        <v>1.251E-2</v>
      </c>
      <c r="BH15" s="12">
        <f>HLOOKUP(BH$2,Interest_Rate_Stresses_Setup!$C$6:$BC$47,Interest_Rate_Stresses_Setup!$A19,FALSE)</f>
        <v>5.0770000000000003E-2</v>
      </c>
      <c r="BI15" s="12">
        <f>HLOOKUP(BI$2,Interest_Rate_Stresses_Setup!$C$6:$BC$47,Interest_Rate_Stresses_Setup!$A19,FALSE)</f>
        <v>8.5129999999999997E-2</v>
      </c>
      <c r="BJ15" s="12">
        <f>HLOOKUP(BJ$2,Interest_Rate_Stresses_Setup!$C$6:$BC$47,Interest_Rate_Stresses_Setup!$A19,FALSE)</f>
        <v>4.462E-2</v>
      </c>
      <c r="BK15" s="12">
        <f>HLOOKUP(BK$2,Interest_Rate_Stresses_Setup!$C$6:$BC$47,Interest_Rate_Stresses_Setup!$A19,FALSE)</f>
        <v>3.4959999999999998E-2</v>
      </c>
      <c r="BL15" s="12">
        <f>HLOOKUP(BL$2,Interest_Rate_Stresses_Setup!$C$6:$BC$47,Interest_Rate_Stresses_Setup!$A19,FALSE)</f>
        <v>9.3599999999999989E-2</v>
      </c>
      <c r="BM15" s="12">
        <f>HLOOKUP(BM$2,Interest_Rate_Stresses_Setup!$C$6:$BC$47,Interest_Rate_Stresses_Setup!$A19,FALSE)</f>
        <v>2.8330000000000001E-2</v>
      </c>
      <c r="BN15" s="12">
        <f>HLOOKUP(BN$2,Interest_Rate_Stresses_Setup!$C$6:$BC$47,Interest_Rate_Stresses_Setup!$A19,FALSE)</f>
        <v>2.2530000000000001E-2</v>
      </c>
      <c r="BO15" s="12">
        <f>HLOOKUP(BO$2,Interest_Rate_Stresses_Setup!$C$6:$BC$47,Interest_Rate_Stresses_Setup!$A19,FALSE)</f>
        <v>3.6549999999999999E-2</v>
      </c>
      <c r="BP15" s="12">
        <f>HLOOKUP(BP$2,Interest_Rate_Stresses_Setup!$C$6:$BC$47,Interest_Rate_Stresses_Setup!$A19,FALSE)</f>
        <v>0.11244</v>
      </c>
      <c r="BQ15" s="12">
        <f>HLOOKUP(BQ$2,Interest_Rate_Stresses_Setup!$C$6:$BC$47,Interest_Rate_Stresses_Setup!$A19,FALSE)</f>
        <v>3.3529999999999997E-2</v>
      </c>
      <c r="BR15" s="127">
        <f t="shared" si="1"/>
        <v>2.1409999999999998E-2</v>
      </c>
      <c r="BS15" s="16">
        <v>12</v>
      </c>
      <c r="BT15" s="12">
        <f>HLOOKUP(BT$2,Interest_Rate_Stresses_Setup!$C$50:$BC$91,Interest_Rate_Stresses_Setup!$A63,FALSE)</f>
        <v>6.1841000000000005E-3</v>
      </c>
      <c r="BU15" s="12">
        <f>HLOOKUP(BU$2,Interest_Rate_Stresses_Setup!$C$50:$BC$91,Interest_Rate_Stresses_Setup!$A63,FALSE)</f>
        <v>5.8148999999999996E-3</v>
      </c>
      <c r="BV15" s="12">
        <f>HLOOKUP(BV$2,Interest_Rate_Stresses_Setup!$C$50:$BC$91,Interest_Rate_Stresses_Setup!$A63,FALSE)</f>
        <v>2.1541399999999999E-2</v>
      </c>
      <c r="BW15" s="12">
        <f>HLOOKUP(BW$2,Interest_Rate_Stresses_Setup!$C$50:$BC$91,Interest_Rate_Stresses_Setup!$A63,FALSE)</f>
        <v>8.0584999999999997E-3</v>
      </c>
      <c r="BX15" s="12">
        <f>HLOOKUP(BX$2,Interest_Rate_Stresses_Setup!$C$50:$BC$91,Interest_Rate_Stresses_Setup!$A63,FALSE)</f>
        <v>6.1059999999999994E-3</v>
      </c>
      <c r="BY15" s="12">
        <f>HLOOKUP(BY$2,Interest_Rate_Stresses_Setup!$C$50:$BC$91,Interest_Rate_Stresses_Setup!$A63,FALSE)</f>
        <v>2.4679599999999999E-2</v>
      </c>
      <c r="BZ15" s="12">
        <f>HLOOKUP(BZ$2,Interest_Rate_Stresses_Setup!$C$50:$BC$91,Interest_Rate_Stresses_Setup!$A63,FALSE)</f>
        <v>3.36114E-2</v>
      </c>
      <c r="CA15" s="12">
        <f>HLOOKUP(CA$2,Interest_Rate_Stresses_Setup!$C$50:$BC$91,Interest_Rate_Stresses_Setup!$A63,FALSE)</f>
        <v>1.1218000000000001E-3</v>
      </c>
      <c r="CB15" s="12">
        <f>HLOOKUP(CB$2,Interest_Rate_Stresses_Setup!$C$50:$BC$91,Interest_Rate_Stresses_Setup!$A63,FALSE)</f>
        <v>1.4058000000000001E-2</v>
      </c>
      <c r="CC15" s="12">
        <f>HLOOKUP(CC$2,Interest_Rate_Stresses_Setup!$C$50:$BC$91,Interest_Rate_Stresses_Setup!$A63,FALSE)</f>
        <v>2.5055899999999999E-2</v>
      </c>
      <c r="CD15" s="12">
        <f>HLOOKUP(CD$2,Interest_Rate_Stresses_Setup!$C$50:$BC$91,Interest_Rate_Stresses_Setup!$A63,FALSE)</f>
        <v>2.8946699999999999E-2</v>
      </c>
      <c r="CE15" s="12">
        <f>HLOOKUP(CE$2,Interest_Rate_Stresses_Setup!$C$50:$BC$91,Interest_Rate_Stresses_Setup!$A63,FALSE)</f>
        <v>5.3051199999999993E-2</v>
      </c>
      <c r="CF15" s="12">
        <f>HLOOKUP(CF$2,Interest_Rate_Stresses_Setup!$C$50:$BC$91,Interest_Rate_Stresses_Setup!$A63,FALSE)</f>
        <v>9.7269999999999995E-3</v>
      </c>
      <c r="CG15" s="12">
        <f>HLOOKUP(CG$2,Interest_Rate_Stresses_Setup!$C$50:$BC$91,Interest_Rate_Stresses_Setup!$A63,FALSE)</f>
        <v>8.1011E-3</v>
      </c>
      <c r="CH15" s="12">
        <f>HLOOKUP(CH$2,Interest_Rate_Stresses_Setup!$C$50:$BC$91,Interest_Rate_Stresses_Setup!$A63,FALSE)</f>
        <v>2.1037299999999998E-2</v>
      </c>
      <c r="CI15" s="12">
        <f>HLOOKUP(CI$2,Interest_Rate_Stresses_Setup!$C$50:$BC$91,Interest_Rate_Stresses_Setup!$A63,FALSE)</f>
        <v>6.6086799999999987E-2</v>
      </c>
      <c r="CJ15" s="12">
        <f>HLOOKUP(CJ$2,Interest_Rate_Stresses_Setup!$C$50:$BC$91,Interest_Rate_Stresses_Setup!$A63,FALSE)</f>
        <v>1.3504199999999999E-2</v>
      </c>
      <c r="CK15" s="12">
        <f>HLOOKUP(CK$2,Interest_Rate_Stresses_Setup!$C$50:$BC$91,Interest_Rate_Stresses_Setup!$A63,FALSE)</f>
        <v>2.8797599999999996E-2</v>
      </c>
      <c r="CL15" s="12">
        <f>HLOOKUP(CL$2,Interest_Rate_Stresses_Setup!$C$50:$BC$91,Interest_Rate_Stresses_Setup!$A63,FALSE)</f>
        <v>3.0629399999999998E-2</v>
      </c>
      <c r="CM15" s="12">
        <f>HLOOKUP(CM$2,Interest_Rate_Stresses_Setup!$C$50:$BC$91,Interest_Rate_Stresses_Setup!$A63,FALSE)</f>
        <v>4.4815199999999993E-2</v>
      </c>
      <c r="CN15" s="12">
        <f>HLOOKUP(CN$2,Interest_Rate_Stresses_Setup!$C$50:$BC$91,Interest_Rate_Stresses_Setup!$A63,FALSE)</f>
        <v>1.6422300000000001E-2</v>
      </c>
      <c r="CO15" s="12">
        <f>HLOOKUP(CO$2,Interest_Rate_Stresses_Setup!$C$50:$BC$91,Interest_Rate_Stresses_Setup!$A63,FALSE)</f>
        <v>4.8762800000000002E-2</v>
      </c>
      <c r="CP15" s="12">
        <f>HLOOKUP(CP$2,Interest_Rate_Stresses_Setup!$C$50:$BC$91,Interest_Rate_Stresses_Setup!$A63,FALSE)</f>
        <v>1.7821E-3</v>
      </c>
      <c r="CQ15" s="12">
        <f>HLOOKUP(CQ$2,Interest_Rate_Stresses_Setup!$C$50:$BC$91,Interest_Rate_Stresses_Setup!$A63,FALSE)</f>
        <v>2.8946699999999999E-2</v>
      </c>
      <c r="CR15" s="12">
        <f>HLOOKUP(CR$2,Interest_Rate_Stresses_Setup!$C$50:$BC$91,Interest_Rate_Stresses_Setup!$A63,FALSE)</f>
        <v>5.3342300000000002E-2</v>
      </c>
      <c r="CS15" s="12">
        <f>HLOOKUP(CS$2,Interest_Rate_Stresses_Setup!$C$50:$BC$91,Interest_Rate_Stresses_Setup!$A63,FALSE)</f>
        <v>2.4580199999999996E-2</v>
      </c>
      <c r="CT15" s="12">
        <f>HLOOKUP(CT$2,Interest_Rate_Stresses_Setup!$C$50:$BC$91,Interest_Rate_Stresses_Setup!$A63,FALSE)</f>
        <v>1.7721599999999997E-2</v>
      </c>
      <c r="CU15" s="12">
        <f>HLOOKUP(CU$2,Interest_Rate_Stresses_Setup!$C$50:$BC$91,Interest_Rate_Stresses_Setup!$A63,FALSE)</f>
        <v>5.9355999999999992E-2</v>
      </c>
      <c r="CV15" s="12">
        <f>HLOOKUP(CV$2,Interest_Rate_Stresses_Setup!$C$50:$BC$91,Interest_Rate_Stresses_Setup!$A63,FALSE)</f>
        <v>1.3014299999999999E-2</v>
      </c>
      <c r="CW15" s="12">
        <f>HLOOKUP(CW$2,Interest_Rate_Stresses_Setup!$C$50:$BC$91,Interest_Rate_Stresses_Setup!$A63,FALSE)</f>
        <v>8.8962999999999993E-3</v>
      </c>
      <c r="CX15" s="12">
        <f>HLOOKUP(CX$2,Interest_Rate_Stresses_Setup!$C$50:$BC$91,Interest_Rate_Stresses_Setup!$A63,FALSE)</f>
        <v>1.8850499999999999E-2</v>
      </c>
      <c r="CY15" s="12">
        <f>HLOOKUP(CY$2,Interest_Rate_Stresses_Setup!$C$50:$BC$91,Interest_Rate_Stresses_Setup!$A63,FALSE)</f>
        <v>7.2732400000000003E-2</v>
      </c>
      <c r="CZ15" s="12">
        <f>HLOOKUP(CZ$2,Interest_Rate_Stresses_Setup!$C$50:$BC$91,Interest_Rate_Stresses_Setup!$A63,FALSE)</f>
        <v>1.6706299999999997E-2</v>
      </c>
      <c r="DA15" s="127">
        <f t="shared" si="2"/>
        <v>8.1011E-3</v>
      </c>
    </row>
    <row r="16" spans="1:105" x14ac:dyDescent="0.25">
      <c r="A16" s="11">
        <v>13</v>
      </c>
      <c r="B16" s="12">
        <f>HLOOKUP(B$2,EIOPA_Spot_Rates,EIOPA_RFR!$A25,FALSE)</f>
        <v>9.5399999999999999E-3</v>
      </c>
      <c r="C16" s="12">
        <f>HLOOKUP(C$2,EIOPA_Spot_Rates,EIOPA_RFR!$A25,FALSE)</f>
        <v>9.0200000000000002E-3</v>
      </c>
      <c r="D16" s="12">
        <f>HLOOKUP(D$2,EIOPA_Spot_Rates,EIOPA_RFR!$A25,FALSE)</f>
        <v>3.0890000000000001E-2</v>
      </c>
      <c r="E16" s="12">
        <f>HLOOKUP(E$2,EIOPA_Spot_Rates,EIOPA_RFR!$A25,FALSE)</f>
        <v>1.196E-2</v>
      </c>
      <c r="F16" s="12">
        <f>HLOOKUP(F$2,EIOPA_Spot_Rates,EIOPA_RFR!$A25,FALSE)</f>
        <v>9.4400000000000005E-3</v>
      </c>
      <c r="G16" s="12">
        <f>HLOOKUP(G$2,EIOPA_Spot_Rates,EIOPA_RFR!$A25,FALSE)</f>
        <v>3.619E-2</v>
      </c>
      <c r="H16" s="12">
        <f>HLOOKUP(H$2,EIOPA_Spot_Rates,EIOPA_RFR!$A25,FALSE)</f>
        <v>4.7230000000000001E-2</v>
      </c>
      <c r="I16" s="12">
        <f>HLOOKUP(I$2,EIOPA_Spot_Rates,EIOPA_RFR!$A25,FALSE)</f>
        <v>1.9599999999999999E-3</v>
      </c>
      <c r="J16" s="12">
        <f>HLOOKUP(J$2,EIOPA_Spot_Rates,EIOPA_RFR!$A25,FALSE)</f>
        <v>2.051E-2</v>
      </c>
      <c r="K16" s="12">
        <f>HLOOKUP(K$2,EIOPA_Spot_Rates,EIOPA_RFR!$A25,FALSE)</f>
        <v>3.5990000000000001E-2</v>
      </c>
      <c r="L16" s="12">
        <f>HLOOKUP(L$2,EIOPA_Spot_Rates,EIOPA_RFR!$A25,FALSE)</f>
        <v>4.1450000000000001E-2</v>
      </c>
      <c r="M16" s="12">
        <f>HLOOKUP(M$2,EIOPA_Spot_Rates,EIOPA_RFR!$A25,FALSE)</f>
        <v>7.3770000000000002E-2</v>
      </c>
      <c r="N16" s="12">
        <f>HLOOKUP(N$2,EIOPA_Spot_Rates,EIOPA_RFR!$A25,FALSE)</f>
        <v>1.5469999999999999E-2</v>
      </c>
      <c r="O16" s="12">
        <f>HLOOKUP(O$2,EIOPA_Spot_Rates,EIOPA_RFR!$A25,FALSE)</f>
        <v>1.187E-2</v>
      </c>
      <c r="P16" s="12">
        <f>HLOOKUP(P$2,EIOPA_Spot_Rates,EIOPA_RFR!$A25,FALSE)</f>
        <v>3.0190000000000002E-2</v>
      </c>
      <c r="Q16" s="12">
        <f>HLOOKUP(Q$2,EIOPA_Spot_Rates,EIOPA_RFR!$A25,FALSE)</f>
        <v>9.2439999999999994E-2</v>
      </c>
      <c r="R16" s="12">
        <f>HLOOKUP(R$2,EIOPA_Spot_Rates,EIOPA_RFR!$A25,FALSE)</f>
        <v>1.976E-2</v>
      </c>
      <c r="S16" s="12">
        <f>HLOOKUP(S$2,EIOPA_Spot_Rates,EIOPA_RFR!$A25,FALSE)</f>
        <v>4.0919999999999998E-2</v>
      </c>
      <c r="T16" s="12">
        <f>HLOOKUP(T$2,EIOPA_Spot_Rates,EIOPA_RFR!$A25,FALSE)</f>
        <v>4.3450000000000003E-2</v>
      </c>
      <c r="U16" s="12">
        <f>HLOOKUP(U$2,EIOPA_Spot_Rates,EIOPA_RFR!$A25,FALSE)</f>
        <v>6.3089999999999993E-2</v>
      </c>
      <c r="V16" s="12">
        <f>HLOOKUP(V$2,EIOPA_Spot_Rates,EIOPA_RFR!$A25,FALSE)</f>
        <v>2.3460000000000002E-2</v>
      </c>
      <c r="W16" s="12">
        <f>HLOOKUP(W$2,EIOPA_Spot_Rates,EIOPA_RFR!$A25,FALSE)</f>
        <v>6.8750000000000006E-2</v>
      </c>
      <c r="X16" s="12">
        <f>HLOOKUP(X$2,EIOPA_Spot_Rates,EIOPA_RFR!$A25,FALSE)</f>
        <v>2.99E-3</v>
      </c>
      <c r="Y16" s="12">
        <f>HLOOKUP(Y$2,EIOPA_Spot_Rates,EIOPA_RFR!$A25,FALSE)</f>
        <v>4.1399999999999999E-2</v>
      </c>
      <c r="Z16" s="12">
        <f>HLOOKUP(Z$2,EIOPA_Spot_Rates,EIOPA_RFR!$A25,FALSE)</f>
        <v>7.5859999999999997E-2</v>
      </c>
      <c r="AA16" s="12">
        <f>HLOOKUP(AA$2,EIOPA_Spot_Rates,EIOPA_RFR!$A25,FALSE)</f>
        <v>3.542E-2</v>
      </c>
      <c r="AB16" s="12">
        <f>HLOOKUP(AB$2,EIOPA_Spot_Rates,EIOPA_RFR!$A25,FALSE)</f>
        <v>2.5319999999999999E-2</v>
      </c>
      <c r="AC16" s="12">
        <f>HLOOKUP(AC$2,EIOPA_Spot_Rates,EIOPA_RFR!$A25,FALSE)</f>
        <v>8.4080000000000002E-2</v>
      </c>
      <c r="AD16" s="12">
        <f>HLOOKUP(AD$2,EIOPA_Spot_Rates,EIOPA_RFR!$A25,FALSE)</f>
        <v>1.839E-2</v>
      </c>
      <c r="AE16" s="12">
        <f>HLOOKUP(AE$2,EIOPA_Spot_Rates,EIOPA_RFR!$A25,FALSE)</f>
        <v>1.34E-2</v>
      </c>
      <c r="AF16" s="12">
        <f>HLOOKUP(AF$2,EIOPA_Spot_Rates,EIOPA_RFR!$A25,FALSE)</f>
        <v>2.7009999999999999E-2</v>
      </c>
      <c r="AG16" s="12">
        <f>HLOOKUP(AG$2,EIOPA_Spot_Rates,EIOPA_RFR!$A25,FALSE)</f>
        <v>0.10086000000000001</v>
      </c>
      <c r="AH16" s="12">
        <f>HLOOKUP(AH$2,EIOPA_Spot_Rates,EIOPA_RFR!$A25,FALSE)</f>
        <v>2.3879999999999998E-2</v>
      </c>
      <c r="AI16" s="127">
        <f t="shared" si="0"/>
        <v>1.187E-2</v>
      </c>
      <c r="AJ16" s="16">
        <v>13</v>
      </c>
      <c r="AK16" s="12">
        <f>HLOOKUP(AK$2,Interest_Rate_Stresses_Setup!$C$6:$BC$47,Interest_Rate_Stresses_Setup!$A20,FALSE)</f>
        <v>1.9540000000000002E-2</v>
      </c>
      <c r="AL16" s="12">
        <f>HLOOKUP(AL$2,Interest_Rate_Stresses_Setup!$C$6:$BC$47,Interest_Rate_Stresses_Setup!$A20,FALSE)</f>
        <v>1.9020000000000002E-2</v>
      </c>
      <c r="AM16" s="12">
        <f>HLOOKUP(AM$2,Interest_Rate_Stresses_Setup!$C$6:$BC$47,Interest_Rate_Stresses_Setup!$A20,FALSE)</f>
        <v>4.0890000000000003E-2</v>
      </c>
      <c r="AN16" s="12">
        <f>HLOOKUP(AN$2,Interest_Rate_Stresses_Setup!$C$6:$BC$47,Interest_Rate_Stresses_Setup!$A20,FALSE)</f>
        <v>2.196E-2</v>
      </c>
      <c r="AO16" s="12">
        <f>HLOOKUP(AO$2,Interest_Rate_Stresses_Setup!$C$6:$BC$47,Interest_Rate_Stresses_Setup!$A20,FALSE)</f>
        <v>1.9439999999999999E-2</v>
      </c>
      <c r="AP16" s="12">
        <f>HLOOKUP(AP$2,Interest_Rate_Stresses_Setup!$C$6:$BC$47,Interest_Rate_Stresses_Setup!$A20,FALSE)</f>
        <v>4.6190000000000002E-2</v>
      </c>
      <c r="AQ16" s="12">
        <f>HLOOKUP(AQ$2,Interest_Rate_Stresses_Setup!$C$6:$BC$47,Interest_Rate_Stresses_Setup!$A20,FALSE)</f>
        <v>5.7230000000000003E-2</v>
      </c>
      <c r="AR16" s="12">
        <f>HLOOKUP(AR$2,Interest_Rate_Stresses_Setup!$C$6:$BC$47,Interest_Rate_Stresses_Setup!$A20,FALSE)</f>
        <v>1.196E-2</v>
      </c>
      <c r="AS16" s="12">
        <f>HLOOKUP(AS$2,Interest_Rate_Stresses_Setup!$C$6:$BC$47,Interest_Rate_Stresses_Setup!$A20,FALSE)</f>
        <v>3.0510000000000002E-2</v>
      </c>
      <c r="AT16" s="12">
        <f>HLOOKUP(AT$2,Interest_Rate_Stresses_Setup!$C$6:$BC$47,Interest_Rate_Stresses_Setup!$A20,FALSE)</f>
        <v>4.5990000000000003E-2</v>
      </c>
      <c r="AU16" s="12">
        <f>HLOOKUP(AU$2,Interest_Rate_Stresses_Setup!$C$6:$BC$47,Interest_Rate_Stresses_Setup!$A20,FALSE)</f>
        <v>5.1450000000000003E-2</v>
      </c>
      <c r="AV16" s="12">
        <f>HLOOKUP(AV$2,Interest_Rate_Stresses_Setup!$C$6:$BC$47,Interest_Rate_Stresses_Setup!$A20,FALSE)</f>
        <v>8.3769999999999997E-2</v>
      </c>
      <c r="AW16" s="12">
        <f>HLOOKUP(AW$2,Interest_Rate_Stresses_Setup!$C$6:$BC$47,Interest_Rate_Stresses_Setup!$A20,FALSE)</f>
        <v>2.547E-2</v>
      </c>
      <c r="AX16" s="12">
        <f>HLOOKUP(AX$2,Interest_Rate_Stresses_Setup!$C$6:$BC$47,Interest_Rate_Stresses_Setup!$A20,FALSE)</f>
        <v>2.1870000000000001E-2</v>
      </c>
      <c r="AY16" s="12">
        <f>HLOOKUP(AY$2,Interest_Rate_Stresses_Setup!$C$6:$BC$47,Interest_Rate_Stresses_Setup!$A20,FALSE)</f>
        <v>4.0190000000000003E-2</v>
      </c>
      <c r="AZ16" s="12">
        <f>HLOOKUP(AZ$2,Interest_Rate_Stresses_Setup!$C$6:$BC$47,Interest_Rate_Stresses_Setup!$A20,FALSE)</f>
        <v>0.10243999999999999</v>
      </c>
      <c r="BA16" s="12">
        <f>HLOOKUP(BA$2,Interest_Rate_Stresses_Setup!$C$6:$BC$47,Interest_Rate_Stresses_Setup!$A20,FALSE)</f>
        <v>2.9760000000000002E-2</v>
      </c>
      <c r="BB16" s="12">
        <f>HLOOKUP(BB$2,Interest_Rate_Stresses_Setup!$C$6:$BC$47,Interest_Rate_Stresses_Setup!$A20,FALSE)</f>
        <v>5.092E-2</v>
      </c>
      <c r="BC16" s="12">
        <f>HLOOKUP(BC$2,Interest_Rate_Stresses_Setup!$C$6:$BC$47,Interest_Rate_Stresses_Setup!$A20,FALSE)</f>
        <v>5.3450000000000004E-2</v>
      </c>
      <c r="BD16" s="12">
        <f>HLOOKUP(BD$2,Interest_Rate_Stresses_Setup!$C$6:$BC$47,Interest_Rate_Stresses_Setup!$A20,FALSE)</f>
        <v>7.3089999999999988E-2</v>
      </c>
      <c r="BE16" s="12">
        <f>HLOOKUP(BE$2,Interest_Rate_Stresses_Setup!$C$6:$BC$47,Interest_Rate_Stresses_Setup!$A20,FALSE)</f>
        <v>3.3460000000000004E-2</v>
      </c>
      <c r="BF16" s="12">
        <f>HLOOKUP(BF$2,Interest_Rate_Stresses_Setup!$C$6:$BC$47,Interest_Rate_Stresses_Setup!$A20,FALSE)</f>
        <v>7.8750000000000001E-2</v>
      </c>
      <c r="BG16" s="12">
        <f>HLOOKUP(BG$2,Interest_Rate_Stresses_Setup!$C$6:$BC$47,Interest_Rate_Stresses_Setup!$A20,FALSE)</f>
        <v>1.299E-2</v>
      </c>
      <c r="BH16" s="12">
        <f>HLOOKUP(BH$2,Interest_Rate_Stresses_Setup!$C$6:$BC$47,Interest_Rate_Stresses_Setup!$A20,FALSE)</f>
        <v>5.1400000000000001E-2</v>
      </c>
      <c r="BI16" s="12">
        <f>HLOOKUP(BI$2,Interest_Rate_Stresses_Setup!$C$6:$BC$47,Interest_Rate_Stresses_Setup!$A20,FALSE)</f>
        <v>8.5859999999999992E-2</v>
      </c>
      <c r="BJ16" s="12">
        <f>HLOOKUP(BJ$2,Interest_Rate_Stresses_Setup!$C$6:$BC$47,Interest_Rate_Stresses_Setup!$A20,FALSE)</f>
        <v>4.5420000000000002E-2</v>
      </c>
      <c r="BK16" s="12">
        <f>HLOOKUP(BK$2,Interest_Rate_Stresses_Setup!$C$6:$BC$47,Interest_Rate_Stresses_Setup!$A20,FALSE)</f>
        <v>3.5319999999999997E-2</v>
      </c>
      <c r="BL16" s="12">
        <f>HLOOKUP(BL$2,Interest_Rate_Stresses_Setup!$C$6:$BC$47,Interest_Rate_Stresses_Setup!$A20,FALSE)</f>
        <v>9.4079999999999997E-2</v>
      </c>
      <c r="BM16" s="12">
        <f>HLOOKUP(BM$2,Interest_Rate_Stresses_Setup!$C$6:$BC$47,Interest_Rate_Stresses_Setup!$A20,FALSE)</f>
        <v>2.8389999999999999E-2</v>
      </c>
      <c r="BN16" s="12">
        <f>HLOOKUP(BN$2,Interest_Rate_Stresses_Setup!$C$6:$BC$47,Interest_Rate_Stresses_Setup!$A20,FALSE)</f>
        <v>2.3400000000000001E-2</v>
      </c>
      <c r="BO16" s="12">
        <f>HLOOKUP(BO$2,Interest_Rate_Stresses_Setup!$C$6:$BC$47,Interest_Rate_Stresses_Setup!$A20,FALSE)</f>
        <v>3.7010000000000001E-2</v>
      </c>
      <c r="BP16" s="12">
        <f>HLOOKUP(BP$2,Interest_Rate_Stresses_Setup!$C$6:$BC$47,Interest_Rate_Stresses_Setup!$A20,FALSE)</f>
        <v>0.11086</v>
      </c>
      <c r="BQ16" s="12">
        <f>HLOOKUP(BQ$2,Interest_Rate_Stresses_Setup!$C$6:$BC$47,Interest_Rate_Stresses_Setup!$A20,FALSE)</f>
        <v>3.388E-2</v>
      </c>
      <c r="BR16" s="127">
        <f t="shared" si="1"/>
        <v>2.1870000000000001E-2</v>
      </c>
      <c r="BS16" s="16">
        <v>13</v>
      </c>
      <c r="BT16" s="12">
        <f>HLOOKUP(BT$2,Interest_Rate_Stresses_Setup!$C$50:$BC$91,Interest_Rate_Stresses_Setup!$A64,FALSE)</f>
        <v>6.8687999999999996E-3</v>
      </c>
      <c r="BU16" s="12">
        <f>HLOOKUP(BU$2,Interest_Rate_Stresses_Setup!$C$50:$BC$91,Interest_Rate_Stresses_Setup!$A64,FALSE)</f>
        <v>6.4944E-3</v>
      </c>
      <c r="BV16" s="12">
        <f>HLOOKUP(BV$2,Interest_Rate_Stresses_Setup!$C$50:$BC$91,Interest_Rate_Stresses_Setup!$A64,FALSE)</f>
        <v>2.2240799999999998E-2</v>
      </c>
      <c r="BW16" s="12">
        <f>HLOOKUP(BW$2,Interest_Rate_Stresses_Setup!$C$50:$BC$91,Interest_Rate_Stresses_Setup!$A64,FALSE)</f>
        <v>8.6111999999999994E-3</v>
      </c>
      <c r="BX16" s="12">
        <f>HLOOKUP(BX$2,Interest_Rate_Stresses_Setup!$C$50:$BC$91,Interest_Rate_Stresses_Setup!$A64,FALSE)</f>
        <v>6.7968000000000004E-3</v>
      </c>
      <c r="BY16" s="12">
        <f>HLOOKUP(BY$2,Interest_Rate_Stresses_Setup!$C$50:$BC$91,Interest_Rate_Stresses_Setup!$A64,FALSE)</f>
        <v>2.6056799999999998E-2</v>
      </c>
      <c r="BZ16" s="12">
        <f>HLOOKUP(BZ$2,Interest_Rate_Stresses_Setup!$C$50:$BC$91,Interest_Rate_Stresses_Setup!$A64,FALSE)</f>
        <v>3.4005599999999997E-2</v>
      </c>
      <c r="CA16" s="12">
        <f>HLOOKUP(CA$2,Interest_Rate_Stresses_Setup!$C$50:$BC$91,Interest_Rate_Stresses_Setup!$A64,FALSE)</f>
        <v>1.4111999999999998E-3</v>
      </c>
      <c r="CB16" s="12">
        <f>HLOOKUP(CB$2,Interest_Rate_Stresses_Setup!$C$50:$BC$91,Interest_Rate_Stresses_Setup!$A64,FALSE)</f>
        <v>1.4767199999999999E-2</v>
      </c>
      <c r="CC16" s="12">
        <f>HLOOKUP(CC$2,Interest_Rate_Stresses_Setup!$C$50:$BC$91,Interest_Rate_Stresses_Setup!$A64,FALSE)</f>
        <v>2.59128E-2</v>
      </c>
      <c r="CD16" s="12">
        <f>HLOOKUP(CD$2,Interest_Rate_Stresses_Setup!$C$50:$BC$91,Interest_Rate_Stresses_Setup!$A64,FALSE)</f>
        <v>2.9843999999999999E-2</v>
      </c>
      <c r="CE16" s="12">
        <f>HLOOKUP(CE$2,Interest_Rate_Stresses_Setup!$C$50:$BC$91,Interest_Rate_Stresses_Setup!$A64,FALSE)</f>
        <v>5.3114399999999999E-2</v>
      </c>
      <c r="CF16" s="12">
        <f>HLOOKUP(CF$2,Interest_Rate_Stresses_Setup!$C$50:$BC$91,Interest_Rate_Stresses_Setup!$A64,FALSE)</f>
        <v>1.11384E-2</v>
      </c>
      <c r="CG16" s="12">
        <f>HLOOKUP(CG$2,Interest_Rate_Stresses_Setup!$C$50:$BC$91,Interest_Rate_Stresses_Setup!$A64,FALSE)</f>
        <v>8.5463999999999991E-3</v>
      </c>
      <c r="CH16" s="12">
        <f>HLOOKUP(CH$2,Interest_Rate_Stresses_Setup!$C$50:$BC$91,Interest_Rate_Stresses_Setup!$A64,FALSE)</f>
        <v>2.1736800000000001E-2</v>
      </c>
      <c r="CI16" s="12">
        <f>HLOOKUP(CI$2,Interest_Rate_Stresses_Setup!$C$50:$BC$91,Interest_Rate_Stresses_Setup!$A64,FALSE)</f>
        <v>6.6556799999999999E-2</v>
      </c>
      <c r="CJ16" s="12">
        <f>HLOOKUP(CJ$2,Interest_Rate_Stresses_Setup!$C$50:$BC$91,Interest_Rate_Stresses_Setup!$A64,FALSE)</f>
        <v>1.4227199999999999E-2</v>
      </c>
      <c r="CK16" s="12">
        <f>HLOOKUP(CK$2,Interest_Rate_Stresses_Setup!$C$50:$BC$91,Interest_Rate_Stresses_Setup!$A64,FALSE)</f>
        <v>2.9462399999999996E-2</v>
      </c>
      <c r="CL16" s="12">
        <f>HLOOKUP(CL$2,Interest_Rate_Stresses_Setup!$C$50:$BC$91,Interest_Rate_Stresses_Setup!$A64,FALSE)</f>
        <v>3.1283999999999999E-2</v>
      </c>
      <c r="CM16" s="12">
        <f>HLOOKUP(CM$2,Interest_Rate_Stresses_Setup!$C$50:$BC$91,Interest_Rate_Stresses_Setup!$A64,FALSE)</f>
        <v>4.5424799999999994E-2</v>
      </c>
      <c r="CN16" s="12">
        <f>HLOOKUP(CN$2,Interest_Rate_Stresses_Setup!$C$50:$BC$91,Interest_Rate_Stresses_Setup!$A64,FALSE)</f>
        <v>1.6891200000000002E-2</v>
      </c>
      <c r="CO16" s="12">
        <f>HLOOKUP(CO$2,Interest_Rate_Stresses_Setup!$C$50:$BC$91,Interest_Rate_Stresses_Setup!$A64,FALSE)</f>
        <v>4.9500000000000002E-2</v>
      </c>
      <c r="CP16" s="12">
        <f>HLOOKUP(CP$2,Interest_Rate_Stresses_Setup!$C$50:$BC$91,Interest_Rate_Stresses_Setup!$A64,FALSE)</f>
        <v>2.1527999999999999E-3</v>
      </c>
      <c r="CQ16" s="12">
        <f>HLOOKUP(CQ$2,Interest_Rate_Stresses_Setup!$C$50:$BC$91,Interest_Rate_Stresses_Setup!$A64,FALSE)</f>
        <v>2.9807999999999998E-2</v>
      </c>
      <c r="CR16" s="12">
        <f>HLOOKUP(CR$2,Interest_Rate_Stresses_Setup!$C$50:$BC$91,Interest_Rate_Stresses_Setup!$A64,FALSE)</f>
        <v>5.4619199999999993E-2</v>
      </c>
      <c r="CS16" s="12">
        <f>HLOOKUP(CS$2,Interest_Rate_Stresses_Setup!$C$50:$BC$91,Interest_Rate_Stresses_Setup!$A64,FALSE)</f>
        <v>2.5502399999999998E-2</v>
      </c>
      <c r="CT16" s="12">
        <f>HLOOKUP(CT$2,Interest_Rate_Stresses_Setup!$C$50:$BC$91,Interest_Rate_Stresses_Setup!$A64,FALSE)</f>
        <v>1.8230399999999997E-2</v>
      </c>
      <c r="CU16" s="12">
        <f>HLOOKUP(CU$2,Interest_Rate_Stresses_Setup!$C$50:$BC$91,Interest_Rate_Stresses_Setup!$A64,FALSE)</f>
        <v>6.0537599999999997E-2</v>
      </c>
      <c r="CV16" s="12">
        <f>HLOOKUP(CV$2,Interest_Rate_Stresses_Setup!$C$50:$BC$91,Interest_Rate_Stresses_Setup!$A64,FALSE)</f>
        <v>1.3240799999999999E-2</v>
      </c>
      <c r="CW16" s="12">
        <f>HLOOKUP(CW$2,Interest_Rate_Stresses_Setup!$C$50:$BC$91,Interest_Rate_Stresses_Setup!$A64,FALSE)</f>
        <v>9.6480000000000003E-3</v>
      </c>
      <c r="CX16" s="12">
        <f>HLOOKUP(CX$2,Interest_Rate_Stresses_Setup!$C$50:$BC$91,Interest_Rate_Stresses_Setup!$A64,FALSE)</f>
        <v>1.9447199999999998E-2</v>
      </c>
      <c r="CY16" s="12">
        <f>HLOOKUP(CY$2,Interest_Rate_Stresses_Setup!$C$50:$BC$91,Interest_Rate_Stresses_Setup!$A64,FALSE)</f>
        <v>7.2619199999999995E-2</v>
      </c>
      <c r="CZ16" s="12">
        <f>HLOOKUP(CZ$2,Interest_Rate_Stresses_Setup!$C$50:$BC$91,Interest_Rate_Stresses_Setup!$A64,FALSE)</f>
        <v>1.71936E-2</v>
      </c>
      <c r="DA16" s="127">
        <f t="shared" si="2"/>
        <v>8.5463999999999991E-3</v>
      </c>
    </row>
    <row r="17" spans="1:105" x14ac:dyDescent="0.25">
      <c r="A17" s="11">
        <v>14</v>
      </c>
      <c r="B17" s="12">
        <f>HLOOKUP(B$2,EIOPA_Spot_Rates,EIOPA_RFR!$A26,FALSE)</f>
        <v>1.0240000000000001E-2</v>
      </c>
      <c r="C17" s="12">
        <f>HLOOKUP(C$2,EIOPA_Spot_Rates,EIOPA_RFR!$A26,FALSE)</f>
        <v>9.7199999999999995E-3</v>
      </c>
      <c r="D17" s="12">
        <f>HLOOKUP(D$2,EIOPA_Spot_Rates,EIOPA_RFR!$A26,FALSE)</f>
        <v>3.1379999999999998E-2</v>
      </c>
      <c r="E17" s="12">
        <f>HLOOKUP(E$2,EIOPA_Spot_Rates,EIOPA_RFR!$A26,FALSE)</f>
        <v>1.251E-2</v>
      </c>
      <c r="F17" s="12">
        <f>HLOOKUP(F$2,EIOPA_Spot_Rates,EIOPA_RFR!$A26,FALSE)</f>
        <v>1.013E-2</v>
      </c>
      <c r="G17" s="12">
        <f>HLOOKUP(G$2,EIOPA_Spot_Rates,EIOPA_RFR!$A26,FALSE)</f>
        <v>3.7490000000000002E-2</v>
      </c>
      <c r="H17" s="12">
        <f>HLOOKUP(H$2,EIOPA_Spot_Rates,EIOPA_RFR!$A26,FALSE)</f>
        <v>4.7109999999999999E-2</v>
      </c>
      <c r="I17" s="12">
        <f>HLOOKUP(I$2,EIOPA_Spot_Rates,EIOPA_RFR!$A26,FALSE)</f>
        <v>2.48E-3</v>
      </c>
      <c r="J17" s="12">
        <f>HLOOKUP(J$2,EIOPA_Spot_Rates,EIOPA_RFR!$A26,FALSE)</f>
        <v>2.1219999999999999E-2</v>
      </c>
      <c r="K17" s="12">
        <f>HLOOKUP(K$2,EIOPA_Spot_Rates,EIOPA_RFR!$A26,FALSE)</f>
        <v>3.6580000000000001E-2</v>
      </c>
      <c r="L17" s="12">
        <f>HLOOKUP(L$2,EIOPA_Spot_Rates,EIOPA_RFR!$A26,FALSE)</f>
        <v>4.2000000000000003E-2</v>
      </c>
      <c r="M17" s="12">
        <f>HLOOKUP(M$2,EIOPA_Spot_Rates,EIOPA_RFR!$A26,FALSE)</f>
        <v>7.2819999999999996E-2</v>
      </c>
      <c r="N17" s="12">
        <f>HLOOKUP(N$2,EIOPA_Spot_Rates,EIOPA_RFR!$A26,FALSE)</f>
        <v>1.7139999999999999E-2</v>
      </c>
      <c r="O17" s="12">
        <f>HLOOKUP(O$2,EIOPA_Spot_Rates,EIOPA_RFR!$A26,FALSE)</f>
        <v>1.2189999999999999E-2</v>
      </c>
      <c r="P17" s="12">
        <f>HLOOKUP(P$2,EIOPA_Spot_Rates,EIOPA_RFR!$A26,FALSE)</f>
        <v>3.0669999999999999E-2</v>
      </c>
      <c r="Q17" s="12">
        <f>HLOOKUP(Q$2,EIOPA_Spot_Rates,EIOPA_RFR!$A26,FALSE)</f>
        <v>9.1670000000000001E-2</v>
      </c>
      <c r="R17" s="12">
        <f>HLOOKUP(R$2,EIOPA_Spot_Rates,EIOPA_RFR!$A26,FALSE)</f>
        <v>2.044E-2</v>
      </c>
      <c r="S17" s="12">
        <f>HLOOKUP(S$2,EIOPA_Spot_Rates,EIOPA_RFR!$A26,FALSE)</f>
        <v>4.1200000000000001E-2</v>
      </c>
      <c r="T17" s="12">
        <f>HLOOKUP(T$2,EIOPA_Spot_Rates,EIOPA_RFR!$A26,FALSE)</f>
        <v>4.3679999999999997E-2</v>
      </c>
      <c r="U17" s="12">
        <f>HLOOKUP(U$2,EIOPA_Spot_Rates,EIOPA_RFR!$A26,FALSE)</f>
        <v>6.2920000000000004E-2</v>
      </c>
      <c r="V17" s="12">
        <f>HLOOKUP(V$2,EIOPA_Spot_Rates,EIOPA_RFR!$A26,FALSE)</f>
        <v>2.3789999999999999E-2</v>
      </c>
      <c r="W17" s="12">
        <f>HLOOKUP(W$2,EIOPA_Spot_Rates,EIOPA_RFR!$A26,FALSE)</f>
        <v>6.8699999999999997E-2</v>
      </c>
      <c r="X17" s="12">
        <f>HLOOKUP(X$2,EIOPA_Spot_Rates,EIOPA_RFR!$A26,FALSE)</f>
        <v>3.47E-3</v>
      </c>
      <c r="Y17" s="12">
        <f>HLOOKUP(Y$2,EIOPA_Spot_Rates,EIOPA_RFR!$A26,FALSE)</f>
        <v>4.2000000000000003E-2</v>
      </c>
      <c r="Z17" s="12">
        <f>HLOOKUP(Z$2,EIOPA_Spot_Rates,EIOPA_RFR!$A26,FALSE)</f>
        <v>7.6579999999999995E-2</v>
      </c>
      <c r="AA17" s="12">
        <f>HLOOKUP(AA$2,EIOPA_Spot_Rates,EIOPA_RFR!$A26,FALSE)</f>
        <v>3.619E-2</v>
      </c>
      <c r="AB17" s="12">
        <f>HLOOKUP(AB$2,EIOPA_Spot_Rates,EIOPA_RFR!$A26,FALSE)</f>
        <v>2.563E-2</v>
      </c>
      <c r="AC17" s="12">
        <f>HLOOKUP(AC$2,EIOPA_Spot_Rates,EIOPA_RFR!$A26,FALSE)</f>
        <v>8.4320000000000006E-2</v>
      </c>
      <c r="AD17" s="12">
        <f>HLOOKUP(AD$2,EIOPA_Spot_Rates,EIOPA_RFR!$A26,FALSE)</f>
        <v>1.839E-2</v>
      </c>
      <c r="AE17" s="12">
        <f>HLOOKUP(AE$2,EIOPA_Spot_Rates,EIOPA_RFR!$A26,FALSE)</f>
        <v>1.43E-2</v>
      </c>
      <c r="AF17" s="12">
        <f>HLOOKUP(AF$2,EIOPA_Spot_Rates,EIOPA_RFR!$A26,FALSE)</f>
        <v>2.7470000000000001E-2</v>
      </c>
      <c r="AG17" s="12">
        <f>HLOOKUP(AG$2,EIOPA_Spot_Rates,EIOPA_RFR!$A26,FALSE)</f>
        <v>9.9290000000000003E-2</v>
      </c>
      <c r="AH17" s="12">
        <f>HLOOKUP(AH$2,EIOPA_Spot_Rates,EIOPA_RFR!$A26,FALSE)</f>
        <v>2.4160000000000001E-2</v>
      </c>
      <c r="AI17" s="127">
        <f t="shared" si="0"/>
        <v>1.2189999999999999E-2</v>
      </c>
      <c r="AJ17" s="16">
        <v>14</v>
      </c>
      <c r="AK17" s="12">
        <f>HLOOKUP(AK$2,Interest_Rate_Stresses_Setup!$C$6:$BC$47,Interest_Rate_Stresses_Setup!$A21,FALSE)</f>
        <v>2.0240000000000001E-2</v>
      </c>
      <c r="AL17" s="12">
        <f>HLOOKUP(AL$2,Interest_Rate_Stresses_Setup!$C$6:$BC$47,Interest_Rate_Stresses_Setup!$A21,FALSE)</f>
        <v>1.9720000000000001E-2</v>
      </c>
      <c r="AM17" s="12">
        <f>HLOOKUP(AM$2,Interest_Rate_Stresses_Setup!$C$6:$BC$47,Interest_Rate_Stresses_Setup!$A21,FALSE)</f>
        <v>4.138E-2</v>
      </c>
      <c r="AN17" s="12">
        <f>HLOOKUP(AN$2,Interest_Rate_Stresses_Setup!$C$6:$BC$47,Interest_Rate_Stresses_Setup!$A21,FALSE)</f>
        <v>2.2510000000000002E-2</v>
      </c>
      <c r="AO17" s="12">
        <f>HLOOKUP(AO$2,Interest_Rate_Stresses_Setup!$C$6:$BC$47,Interest_Rate_Stresses_Setup!$A21,FALSE)</f>
        <v>2.0130000000000002E-2</v>
      </c>
      <c r="AP17" s="12">
        <f>HLOOKUP(AP$2,Interest_Rate_Stresses_Setup!$C$6:$BC$47,Interest_Rate_Stresses_Setup!$A21,FALSE)</f>
        <v>4.7490000000000004E-2</v>
      </c>
      <c r="AQ17" s="12">
        <f>HLOOKUP(AQ$2,Interest_Rate_Stresses_Setup!$C$6:$BC$47,Interest_Rate_Stresses_Setup!$A21,FALSE)</f>
        <v>5.7110000000000001E-2</v>
      </c>
      <c r="AR17" s="12">
        <f>HLOOKUP(AR$2,Interest_Rate_Stresses_Setup!$C$6:$BC$47,Interest_Rate_Stresses_Setup!$A21,FALSE)</f>
        <v>1.248E-2</v>
      </c>
      <c r="AS17" s="12">
        <f>HLOOKUP(AS$2,Interest_Rate_Stresses_Setup!$C$6:$BC$47,Interest_Rate_Stresses_Setup!$A21,FALSE)</f>
        <v>3.1219999999999998E-2</v>
      </c>
      <c r="AT17" s="12">
        <f>HLOOKUP(AT$2,Interest_Rate_Stresses_Setup!$C$6:$BC$47,Interest_Rate_Stresses_Setup!$A21,FALSE)</f>
        <v>4.6580000000000003E-2</v>
      </c>
      <c r="AU17" s="12">
        <f>HLOOKUP(AU$2,Interest_Rate_Stresses_Setup!$C$6:$BC$47,Interest_Rate_Stresses_Setup!$A21,FALSE)</f>
        <v>5.2000000000000005E-2</v>
      </c>
      <c r="AV17" s="12">
        <f>HLOOKUP(AV$2,Interest_Rate_Stresses_Setup!$C$6:$BC$47,Interest_Rate_Stresses_Setup!$A21,FALSE)</f>
        <v>8.2819999999999991E-2</v>
      </c>
      <c r="AW17" s="12">
        <f>HLOOKUP(AW$2,Interest_Rate_Stresses_Setup!$C$6:$BC$47,Interest_Rate_Stresses_Setup!$A21,FALSE)</f>
        <v>2.7139999999999997E-2</v>
      </c>
      <c r="AX17" s="12">
        <f>HLOOKUP(AX$2,Interest_Rate_Stresses_Setup!$C$6:$BC$47,Interest_Rate_Stresses_Setup!$A21,FALSE)</f>
        <v>2.2190000000000001E-2</v>
      </c>
      <c r="AY17" s="12">
        <f>HLOOKUP(AY$2,Interest_Rate_Stresses_Setup!$C$6:$BC$47,Interest_Rate_Stresses_Setup!$A21,FALSE)</f>
        <v>4.0669999999999998E-2</v>
      </c>
      <c r="AZ17" s="12">
        <f>HLOOKUP(AZ$2,Interest_Rate_Stresses_Setup!$C$6:$BC$47,Interest_Rate_Stresses_Setup!$A21,FALSE)</f>
        <v>0.10167</v>
      </c>
      <c r="BA17" s="12">
        <f>HLOOKUP(BA$2,Interest_Rate_Stresses_Setup!$C$6:$BC$47,Interest_Rate_Stresses_Setup!$A21,FALSE)</f>
        <v>3.0440000000000002E-2</v>
      </c>
      <c r="BB17" s="12">
        <f>HLOOKUP(BB$2,Interest_Rate_Stresses_Setup!$C$6:$BC$47,Interest_Rate_Stresses_Setup!$A21,FALSE)</f>
        <v>5.1200000000000002E-2</v>
      </c>
      <c r="BC17" s="12">
        <f>HLOOKUP(BC$2,Interest_Rate_Stresses_Setup!$C$6:$BC$47,Interest_Rate_Stresses_Setup!$A21,FALSE)</f>
        <v>5.3679999999999999E-2</v>
      </c>
      <c r="BD17" s="12">
        <f>HLOOKUP(BD$2,Interest_Rate_Stresses_Setup!$C$6:$BC$47,Interest_Rate_Stresses_Setup!$A21,FALSE)</f>
        <v>7.2919999999999999E-2</v>
      </c>
      <c r="BE17" s="12">
        <f>HLOOKUP(BE$2,Interest_Rate_Stresses_Setup!$C$6:$BC$47,Interest_Rate_Stresses_Setup!$A21,FALSE)</f>
        <v>3.3790000000000001E-2</v>
      </c>
      <c r="BF17" s="12">
        <f>HLOOKUP(BF$2,Interest_Rate_Stresses_Setup!$C$6:$BC$47,Interest_Rate_Stresses_Setup!$A21,FALSE)</f>
        <v>7.8699999999999992E-2</v>
      </c>
      <c r="BG17" s="12">
        <f>HLOOKUP(BG$2,Interest_Rate_Stresses_Setup!$C$6:$BC$47,Interest_Rate_Stresses_Setup!$A21,FALSE)</f>
        <v>1.3469999999999999E-2</v>
      </c>
      <c r="BH17" s="12">
        <f>HLOOKUP(BH$2,Interest_Rate_Stresses_Setup!$C$6:$BC$47,Interest_Rate_Stresses_Setup!$A21,FALSE)</f>
        <v>5.2000000000000005E-2</v>
      </c>
      <c r="BI17" s="12">
        <f>HLOOKUP(BI$2,Interest_Rate_Stresses_Setup!$C$6:$BC$47,Interest_Rate_Stresses_Setup!$A21,FALSE)</f>
        <v>8.657999999999999E-2</v>
      </c>
      <c r="BJ17" s="12">
        <f>HLOOKUP(BJ$2,Interest_Rate_Stresses_Setup!$C$6:$BC$47,Interest_Rate_Stresses_Setup!$A21,FALSE)</f>
        <v>4.6190000000000002E-2</v>
      </c>
      <c r="BK17" s="12">
        <f>HLOOKUP(BK$2,Interest_Rate_Stresses_Setup!$C$6:$BC$47,Interest_Rate_Stresses_Setup!$A21,FALSE)</f>
        <v>3.5630000000000002E-2</v>
      </c>
      <c r="BL17" s="12">
        <f>HLOOKUP(BL$2,Interest_Rate_Stresses_Setup!$C$6:$BC$47,Interest_Rate_Stresses_Setup!$A21,FALSE)</f>
        <v>9.4320000000000001E-2</v>
      </c>
      <c r="BM17" s="12">
        <f>HLOOKUP(BM$2,Interest_Rate_Stresses_Setup!$C$6:$BC$47,Interest_Rate_Stresses_Setup!$A21,FALSE)</f>
        <v>2.8389999999999999E-2</v>
      </c>
      <c r="BN17" s="12">
        <f>HLOOKUP(BN$2,Interest_Rate_Stresses_Setup!$C$6:$BC$47,Interest_Rate_Stresses_Setup!$A21,FALSE)</f>
        <v>2.4300000000000002E-2</v>
      </c>
      <c r="BO17" s="12">
        <f>HLOOKUP(BO$2,Interest_Rate_Stresses_Setup!$C$6:$BC$47,Interest_Rate_Stresses_Setup!$A21,FALSE)</f>
        <v>3.7470000000000003E-2</v>
      </c>
      <c r="BP17" s="12">
        <f>HLOOKUP(BP$2,Interest_Rate_Stresses_Setup!$C$6:$BC$47,Interest_Rate_Stresses_Setup!$A21,FALSE)</f>
        <v>0.10929</v>
      </c>
      <c r="BQ17" s="12">
        <f>HLOOKUP(BQ$2,Interest_Rate_Stresses_Setup!$C$6:$BC$47,Interest_Rate_Stresses_Setup!$A21,FALSE)</f>
        <v>3.4160000000000003E-2</v>
      </c>
      <c r="BR17" s="127">
        <f t="shared" si="1"/>
        <v>2.2190000000000001E-2</v>
      </c>
      <c r="BS17" s="16">
        <v>14</v>
      </c>
      <c r="BT17" s="12">
        <f>HLOOKUP(BT$2,Interest_Rate_Stresses_Setup!$C$50:$BC$91,Interest_Rate_Stresses_Setup!$A65,FALSE)</f>
        <v>7.3728000000000005E-3</v>
      </c>
      <c r="BU17" s="12">
        <f>HLOOKUP(BU$2,Interest_Rate_Stresses_Setup!$C$50:$BC$91,Interest_Rate_Stresses_Setup!$A65,FALSE)</f>
        <v>6.9983999999999992E-3</v>
      </c>
      <c r="BV17" s="12">
        <f>HLOOKUP(BV$2,Interest_Rate_Stresses_Setup!$C$50:$BC$91,Interest_Rate_Stresses_Setup!$A65,FALSE)</f>
        <v>2.2593599999999998E-2</v>
      </c>
      <c r="BW17" s="12">
        <f>HLOOKUP(BW$2,Interest_Rate_Stresses_Setup!$C$50:$BC$91,Interest_Rate_Stresses_Setup!$A65,FALSE)</f>
        <v>9.0071999999999999E-3</v>
      </c>
      <c r="BX17" s="12">
        <f>HLOOKUP(BX$2,Interest_Rate_Stresses_Setup!$C$50:$BC$91,Interest_Rate_Stresses_Setup!$A65,FALSE)</f>
        <v>7.2935999999999999E-3</v>
      </c>
      <c r="BY17" s="12">
        <f>HLOOKUP(BY$2,Interest_Rate_Stresses_Setup!$C$50:$BC$91,Interest_Rate_Stresses_Setup!$A65,FALSE)</f>
        <v>2.6992800000000001E-2</v>
      </c>
      <c r="BZ17" s="12">
        <f>HLOOKUP(BZ$2,Interest_Rate_Stresses_Setup!$C$50:$BC$91,Interest_Rate_Stresses_Setup!$A65,FALSE)</f>
        <v>3.3919199999999997E-2</v>
      </c>
      <c r="CA17" s="12">
        <f>HLOOKUP(CA$2,Interest_Rate_Stresses_Setup!$C$50:$BC$91,Interest_Rate_Stresses_Setup!$A65,FALSE)</f>
        <v>1.7856E-3</v>
      </c>
      <c r="CB17" s="12">
        <f>HLOOKUP(CB$2,Interest_Rate_Stresses_Setup!$C$50:$BC$91,Interest_Rate_Stresses_Setup!$A65,FALSE)</f>
        <v>1.5278399999999999E-2</v>
      </c>
      <c r="CC17" s="12">
        <f>HLOOKUP(CC$2,Interest_Rate_Stresses_Setup!$C$50:$BC$91,Interest_Rate_Stresses_Setup!$A65,FALSE)</f>
        <v>2.6337599999999999E-2</v>
      </c>
      <c r="CD17" s="12">
        <f>HLOOKUP(CD$2,Interest_Rate_Stresses_Setup!$C$50:$BC$91,Interest_Rate_Stresses_Setup!$A65,FALSE)</f>
        <v>3.024E-2</v>
      </c>
      <c r="CE17" s="12">
        <f>HLOOKUP(CE$2,Interest_Rate_Stresses_Setup!$C$50:$BC$91,Interest_Rate_Stresses_Setup!$A65,FALSE)</f>
        <v>5.2430399999999995E-2</v>
      </c>
      <c r="CF17" s="12">
        <f>HLOOKUP(CF$2,Interest_Rate_Stresses_Setup!$C$50:$BC$91,Interest_Rate_Stresses_Setup!$A65,FALSE)</f>
        <v>1.2340799999999999E-2</v>
      </c>
      <c r="CG17" s="12">
        <f>HLOOKUP(CG$2,Interest_Rate_Stresses_Setup!$C$50:$BC$91,Interest_Rate_Stresses_Setup!$A65,FALSE)</f>
        <v>8.7767999999999995E-3</v>
      </c>
      <c r="CH17" s="12">
        <f>HLOOKUP(CH$2,Interest_Rate_Stresses_Setup!$C$50:$BC$91,Interest_Rate_Stresses_Setup!$A65,FALSE)</f>
        <v>2.2082399999999999E-2</v>
      </c>
      <c r="CI17" s="12">
        <f>HLOOKUP(CI$2,Interest_Rate_Stresses_Setup!$C$50:$BC$91,Interest_Rate_Stresses_Setup!$A65,FALSE)</f>
        <v>6.6002400000000003E-2</v>
      </c>
      <c r="CJ17" s="12">
        <f>HLOOKUP(CJ$2,Interest_Rate_Stresses_Setup!$C$50:$BC$91,Interest_Rate_Stresses_Setup!$A65,FALSE)</f>
        <v>1.4716799999999999E-2</v>
      </c>
      <c r="CK17" s="12">
        <f>HLOOKUP(CK$2,Interest_Rate_Stresses_Setup!$C$50:$BC$91,Interest_Rate_Stresses_Setup!$A65,FALSE)</f>
        <v>2.9663999999999999E-2</v>
      </c>
      <c r="CL17" s="12">
        <f>HLOOKUP(CL$2,Interest_Rate_Stresses_Setup!$C$50:$BC$91,Interest_Rate_Stresses_Setup!$A65,FALSE)</f>
        <v>3.1449599999999994E-2</v>
      </c>
      <c r="CM17" s="12">
        <f>HLOOKUP(CM$2,Interest_Rate_Stresses_Setup!$C$50:$BC$91,Interest_Rate_Stresses_Setup!$A65,FALSE)</f>
        <v>4.53024E-2</v>
      </c>
      <c r="CN17" s="12">
        <f>HLOOKUP(CN$2,Interest_Rate_Stresses_Setup!$C$50:$BC$91,Interest_Rate_Stresses_Setup!$A65,FALSE)</f>
        <v>1.71288E-2</v>
      </c>
      <c r="CO17" s="12">
        <f>HLOOKUP(CO$2,Interest_Rate_Stresses_Setup!$C$50:$BC$91,Interest_Rate_Stresses_Setup!$A65,FALSE)</f>
        <v>4.9463999999999994E-2</v>
      </c>
      <c r="CP17" s="12">
        <f>HLOOKUP(CP$2,Interest_Rate_Stresses_Setup!$C$50:$BC$91,Interest_Rate_Stresses_Setup!$A65,FALSE)</f>
        <v>2.4984E-3</v>
      </c>
      <c r="CQ17" s="12">
        <f>HLOOKUP(CQ$2,Interest_Rate_Stresses_Setup!$C$50:$BC$91,Interest_Rate_Stresses_Setup!$A65,FALSE)</f>
        <v>3.024E-2</v>
      </c>
      <c r="CR17" s="12">
        <f>HLOOKUP(CR$2,Interest_Rate_Stresses_Setup!$C$50:$BC$91,Interest_Rate_Stresses_Setup!$A65,FALSE)</f>
        <v>5.5137599999999995E-2</v>
      </c>
      <c r="CS17" s="12">
        <f>HLOOKUP(CS$2,Interest_Rate_Stresses_Setup!$C$50:$BC$91,Interest_Rate_Stresses_Setup!$A65,FALSE)</f>
        <v>2.6056799999999998E-2</v>
      </c>
      <c r="CT17" s="12">
        <f>HLOOKUP(CT$2,Interest_Rate_Stresses_Setup!$C$50:$BC$91,Interest_Rate_Stresses_Setup!$A65,FALSE)</f>
        <v>1.8453600000000001E-2</v>
      </c>
      <c r="CU17" s="12">
        <f>HLOOKUP(CU$2,Interest_Rate_Stresses_Setup!$C$50:$BC$91,Interest_Rate_Stresses_Setup!$A65,FALSE)</f>
        <v>6.0710400000000005E-2</v>
      </c>
      <c r="CV17" s="12">
        <f>HLOOKUP(CV$2,Interest_Rate_Stresses_Setup!$C$50:$BC$91,Interest_Rate_Stresses_Setup!$A65,FALSE)</f>
        <v>1.3240799999999999E-2</v>
      </c>
      <c r="CW17" s="12">
        <f>HLOOKUP(CW$2,Interest_Rate_Stresses_Setup!$C$50:$BC$91,Interest_Rate_Stresses_Setup!$A65,FALSE)</f>
        <v>1.0296E-2</v>
      </c>
      <c r="CX17" s="12">
        <f>HLOOKUP(CX$2,Interest_Rate_Stresses_Setup!$C$50:$BC$91,Interest_Rate_Stresses_Setup!$A65,FALSE)</f>
        <v>1.9778400000000002E-2</v>
      </c>
      <c r="CY17" s="12">
        <f>HLOOKUP(CY$2,Interest_Rate_Stresses_Setup!$C$50:$BC$91,Interest_Rate_Stresses_Setup!$A65,FALSE)</f>
        <v>7.1488800000000005E-2</v>
      </c>
      <c r="CZ17" s="12">
        <f>HLOOKUP(CZ$2,Interest_Rate_Stresses_Setup!$C$50:$BC$91,Interest_Rate_Stresses_Setup!$A65,FALSE)</f>
        <v>1.73952E-2</v>
      </c>
      <c r="DA17" s="127">
        <f t="shared" si="2"/>
        <v>8.7767999999999995E-3</v>
      </c>
    </row>
    <row r="18" spans="1:105" x14ac:dyDescent="0.25">
      <c r="A18" s="11">
        <v>15</v>
      </c>
      <c r="B18" s="12">
        <f>HLOOKUP(B$2,EIOPA_Spot_Rates,EIOPA_RFR!$A27,FALSE)</f>
        <v>1.078E-2</v>
      </c>
      <c r="C18" s="12">
        <f>HLOOKUP(C$2,EIOPA_Spot_Rates,EIOPA_RFR!$A27,FALSE)</f>
        <v>1.026E-2</v>
      </c>
      <c r="D18" s="12">
        <f>HLOOKUP(D$2,EIOPA_Spot_Rates,EIOPA_RFR!$A27,FALSE)</f>
        <v>3.1829999999999997E-2</v>
      </c>
      <c r="E18" s="12">
        <f>HLOOKUP(E$2,EIOPA_Spot_Rates,EIOPA_RFR!$A27,FALSE)</f>
        <v>1.3089999999999999E-2</v>
      </c>
      <c r="F18" s="12">
        <f>HLOOKUP(F$2,EIOPA_Spot_Rates,EIOPA_RFR!$A27,FALSE)</f>
        <v>1.0670000000000001E-2</v>
      </c>
      <c r="G18" s="12">
        <f>HLOOKUP(G$2,EIOPA_Spot_Rates,EIOPA_RFR!$A27,FALSE)</f>
        <v>3.8600000000000002E-2</v>
      </c>
      <c r="H18" s="12">
        <f>HLOOKUP(H$2,EIOPA_Spot_Rates,EIOPA_RFR!$A27,FALSE)</f>
        <v>4.6989999999999997E-2</v>
      </c>
      <c r="I18" s="12">
        <f>HLOOKUP(I$2,EIOPA_Spot_Rates,EIOPA_RFR!$A27,FALSE)</f>
        <v>2.8900000000000002E-3</v>
      </c>
      <c r="J18" s="12">
        <f>HLOOKUP(J$2,EIOPA_Spot_Rates,EIOPA_RFR!$A27,FALSE)</f>
        <v>2.1919999999999999E-2</v>
      </c>
      <c r="K18" s="12">
        <f>HLOOKUP(K$2,EIOPA_Spot_Rates,EIOPA_RFR!$A27,FALSE)</f>
        <v>3.7080000000000002E-2</v>
      </c>
      <c r="L18" s="12">
        <f>HLOOKUP(L$2,EIOPA_Spot_Rates,EIOPA_RFR!$A27,FALSE)</f>
        <v>4.2430000000000002E-2</v>
      </c>
      <c r="M18" s="12">
        <f>HLOOKUP(M$2,EIOPA_Spot_Rates,EIOPA_RFR!$A27,FALSE)</f>
        <v>7.1879999999999999E-2</v>
      </c>
      <c r="N18" s="12">
        <f>HLOOKUP(N$2,EIOPA_Spot_Rates,EIOPA_RFR!$A27,FALSE)</f>
        <v>1.866E-2</v>
      </c>
      <c r="O18" s="12">
        <f>HLOOKUP(O$2,EIOPA_Spot_Rates,EIOPA_RFR!$A27,FALSE)</f>
        <v>1.2409999999999999E-2</v>
      </c>
      <c r="P18" s="12">
        <f>HLOOKUP(P$2,EIOPA_Spot_Rates,EIOPA_RFR!$A27,FALSE)</f>
        <v>3.108E-2</v>
      </c>
      <c r="Q18" s="12">
        <f>HLOOKUP(Q$2,EIOPA_Spot_Rates,EIOPA_RFR!$A27,FALSE)</f>
        <v>9.0819999999999998E-2</v>
      </c>
      <c r="R18" s="12">
        <f>HLOOKUP(R$2,EIOPA_Spot_Rates,EIOPA_RFR!$A27,FALSE)</f>
        <v>2.104E-2</v>
      </c>
      <c r="S18" s="12">
        <f>HLOOKUP(S$2,EIOPA_Spot_Rates,EIOPA_RFR!$A27,FALSE)</f>
        <v>4.1439999999999998E-2</v>
      </c>
      <c r="T18" s="12">
        <f>HLOOKUP(T$2,EIOPA_Spot_Rates,EIOPA_RFR!$A27,FALSE)</f>
        <v>4.3860000000000003E-2</v>
      </c>
      <c r="U18" s="12">
        <f>HLOOKUP(U$2,EIOPA_Spot_Rates,EIOPA_RFR!$A27,FALSE)</f>
        <v>6.2659999999999993E-2</v>
      </c>
      <c r="V18" s="12">
        <f>HLOOKUP(V$2,EIOPA_Spot_Rates,EIOPA_RFR!$A27,FALSE)</f>
        <v>2.4140000000000002E-2</v>
      </c>
      <c r="W18" s="12">
        <f>HLOOKUP(W$2,EIOPA_Spot_Rates,EIOPA_RFR!$A27,FALSE)</f>
        <v>6.855E-2</v>
      </c>
      <c r="X18" s="12">
        <f>HLOOKUP(X$2,EIOPA_Spot_Rates,EIOPA_RFR!$A27,FALSE)</f>
        <v>3.9500000000000004E-3</v>
      </c>
      <c r="Y18" s="12">
        <f>HLOOKUP(Y$2,EIOPA_Spot_Rates,EIOPA_RFR!$A27,FALSE)</f>
        <v>4.2500000000000003E-2</v>
      </c>
      <c r="Z18" s="12">
        <f>HLOOKUP(Z$2,EIOPA_Spot_Rates,EIOPA_RFR!$A27,FALSE)</f>
        <v>7.7270000000000005E-2</v>
      </c>
      <c r="AA18" s="12">
        <f>HLOOKUP(AA$2,EIOPA_Spot_Rates,EIOPA_RFR!$A27,FALSE)</f>
        <v>3.6920000000000001E-2</v>
      </c>
      <c r="AB18" s="12">
        <f>HLOOKUP(AB$2,EIOPA_Spot_Rates,EIOPA_RFR!$A27,FALSE)</f>
        <v>2.589E-2</v>
      </c>
      <c r="AC18" s="12">
        <f>HLOOKUP(AC$2,EIOPA_Spot_Rates,EIOPA_RFR!$A27,FALSE)</f>
        <v>8.4339999999999998E-2</v>
      </c>
      <c r="AD18" s="12">
        <f>HLOOKUP(AD$2,EIOPA_Spot_Rates,EIOPA_RFR!$A27,FALSE)</f>
        <v>1.8329999999999999E-2</v>
      </c>
      <c r="AE18" s="12">
        <f>HLOOKUP(AE$2,EIOPA_Spot_Rates,EIOPA_RFR!$A27,FALSE)</f>
        <v>1.52E-2</v>
      </c>
      <c r="AF18" s="12">
        <f>HLOOKUP(AF$2,EIOPA_Spot_Rates,EIOPA_RFR!$A27,FALSE)</f>
        <v>2.792E-2</v>
      </c>
      <c r="AG18" s="12">
        <f>HLOOKUP(AG$2,EIOPA_Spot_Rates,EIOPA_RFR!$A27,FALSE)</f>
        <v>9.776E-2</v>
      </c>
      <c r="AH18" s="12">
        <f>HLOOKUP(AH$2,EIOPA_Spot_Rates,EIOPA_RFR!$A27,FALSE)</f>
        <v>2.4400000000000002E-2</v>
      </c>
      <c r="AI18" s="127">
        <f t="shared" si="0"/>
        <v>1.2409999999999999E-2</v>
      </c>
      <c r="AJ18" s="16">
        <v>15</v>
      </c>
      <c r="AK18" s="12">
        <f>HLOOKUP(AK$2,Interest_Rate_Stresses_Setup!$C$6:$BC$47,Interest_Rate_Stresses_Setup!$A22,FALSE)</f>
        <v>2.078E-2</v>
      </c>
      <c r="AL18" s="12">
        <f>HLOOKUP(AL$2,Interest_Rate_Stresses_Setup!$C$6:$BC$47,Interest_Rate_Stresses_Setup!$A22,FALSE)</f>
        <v>2.026E-2</v>
      </c>
      <c r="AM18" s="12">
        <f>HLOOKUP(AM$2,Interest_Rate_Stresses_Setup!$C$6:$BC$47,Interest_Rate_Stresses_Setup!$A22,FALSE)</f>
        <v>4.1829999999999999E-2</v>
      </c>
      <c r="AN18" s="12">
        <f>HLOOKUP(AN$2,Interest_Rate_Stresses_Setup!$C$6:$BC$47,Interest_Rate_Stresses_Setup!$A22,FALSE)</f>
        <v>2.3089999999999999E-2</v>
      </c>
      <c r="AO18" s="12">
        <f>HLOOKUP(AO$2,Interest_Rate_Stresses_Setup!$C$6:$BC$47,Interest_Rate_Stresses_Setup!$A22,FALSE)</f>
        <v>2.0670000000000001E-2</v>
      </c>
      <c r="AP18" s="12">
        <f>HLOOKUP(AP$2,Interest_Rate_Stresses_Setup!$C$6:$BC$47,Interest_Rate_Stresses_Setup!$A22,FALSE)</f>
        <v>4.8600000000000004E-2</v>
      </c>
      <c r="AQ18" s="12">
        <f>HLOOKUP(AQ$2,Interest_Rate_Stresses_Setup!$C$6:$BC$47,Interest_Rate_Stresses_Setup!$A22,FALSE)</f>
        <v>5.6989999999999999E-2</v>
      </c>
      <c r="AR18" s="12">
        <f>HLOOKUP(AR$2,Interest_Rate_Stresses_Setup!$C$6:$BC$47,Interest_Rate_Stresses_Setup!$A22,FALSE)</f>
        <v>1.289E-2</v>
      </c>
      <c r="AS18" s="12">
        <f>HLOOKUP(AS$2,Interest_Rate_Stresses_Setup!$C$6:$BC$47,Interest_Rate_Stresses_Setup!$A22,FALSE)</f>
        <v>3.1919999999999997E-2</v>
      </c>
      <c r="AT18" s="12">
        <f>HLOOKUP(AT$2,Interest_Rate_Stresses_Setup!$C$6:$BC$47,Interest_Rate_Stresses_Setup!$A22,FALSE)</f>
        <v>4.7080000000000004E-2</v>
      </c>
      <c r="AU18" s="12">
        <f>HLOOKUP(AU$2,Interest_Rate_Stresses_Setup!$C$6:$BC$47,Interest_Rate_Stresses_Setup!$A22,FALSE)</f>
        <v>5.2430000000000004E-2</v>
      </c>
      <c r="AV18" s="12">
        <f>HLOOKUP(AV$2,Interest_Rate_Stresses_Setup!$C$6:$BC$47,Interest_Rate_Stresses_Setup!$A22,FALSE)</f>
        <v>8.1879999999999994E-2</v>
      </c>
      <c r="AW18" s="12">
        <f>HLOOKUP(AW$2,Interest_Rate_Stresses_Setup!$C$6:$BC$47,Interest_Rate_Stresses_Setup!$A22,FALSE)</f>
        <v>2.8659999999999998E-2</v>
      </c>
      <c r="AX18" s="12">
        <f>HLOOKUP(AX$2,Interest_Rate_Stresses_Setup!$C$6:$BC$47,Interest_Rate_Stresses_Setup!$A22,FALSE)</f>
        <v>2.2409999999999999E-2</v>
      </c>
      <c r="AY18" s="12">
        <f>HLOOKUP(AY$2,Interest_Rate_Stresses_Setup!$C$6:$BC$47,Interest_Rate_Stresses_Setup!$A22,FALSE)</f>
        <v>4.1079999999999998E-2</v>
      </c>
      <c r="AZ18" s="12">
        <f>HLOOKUP(AZ$2,Interest_Rate_Stresses_Setup!$C$6:$BC$47,Interest_Rate_Stresses_Setup!$A22,FALSE)</f>
        <v>0.10081999999999999</v>
      </c>
      <c r="BA18" s="12">
        <f>HLOOKUP(BA$2,Interest_Rate_Stresses_Setup!$C$6:$BC$47,Interest_Rate_Stresses_Setup!$A22,FALSE)</f>
        <v>3.1039999999999998E-2</v>
      </c>
      <c r="BB18" s="12">
        <f>HLOOKUP(BB$2,Interest_Rate_Stresses_Setup!$C$6:$BC$47,Interest_Rate_Stresses_Setup!$A22,FALSE)</f>
        <v>5.144E-2</v>
      </c>
      <c r="BC18" s="12">
        <f>HLOOKUP(BC$2,Interest_Rate_Stresses_Setup!$C$6:$BC$47,Interest_Rate_Stresses_Setup!$A22,FALSE)</f>
        <v>5.3860000000000005E-2</v>
      </c>
      <c r="BD18" s="12">
        <f>HLOOKUP(BD$2,Interest_Rate_Stresses_Setup!$C$6:$BC$47,Interest_Rate_Stresses_Setup!$A22,FALSE)</f>
        <v>7.2659999999999988E-2</v>
      </c>
      <c r="BE18" s="12">
        <f>HLOOKUP(BE$2,Interest_Rate_Stresses_Setup!$C$6:$BC$47,Interest_Rate_Stresses_Setup!$A22,FALSE)</f>
        <v>3.4140000000000004E-2</v>
      </c>
      <c r="BF18" s="12">
        <f>HLOOKUP(BF$2,Interest_Rate_Stresses_Setup!$C$6:$BC$47,Interest_Rate_Stresses_Setup!$A22,FALSE)</f>
        <v>7.8549999999999995E-2</v>
      </c>
      <c r="BG18" s="12">
        <f>HLOOKUP(BG$2,Interest_Rate_Stresses_Setup!$C$6:$BC$47,Interest_Rate_Stresses_Setup!$A22,FALSE)</f>
        <v>1.3950000000000001E-2</v>
      </c>
      <c r="BH18" s="12">
        <f>HLOOKUP(BH$2,Interest_Rate_Stresses_Setup!$C$6:$BC$47,Interest_Rate_Stresses_Setup!$A22,FALSE)</f>
        <v>5.2500000000000005E-2</v>
      </c>
      <c r="BI18" s="12">
        <f>HLOOKUP(BI$2,Interest_Rate_Stresses_Setup!$C$6:$BC$47,Interest_Rate_Stresses_Setup!$A22,FALSE)</f>
        <v>8.727E-2</v>
      </c>
      <c r="BJ18" s="12">
        <f>HLOOKUP(BJ$2,Interest_Rate_Stresses_Setup!$C$6:$BC$47,Interest_Rate_Stresses_Setup!$A22,FALSE)</f>
        <v>4.6920000000000003E-2</v>
      </c>
      <c r="BK18" s="12">
        <f>HLOOKUP(BK$2,Interest_Rate_Stresses_Setup!$C$6:$BC$47,Interest_Rate_Stresses_Setup!$A22,FALSE)</f>
        <v>3.5889999999999998E-2</v>
      </c>
      <c r="BL18" s="12">
        <f>HLOOKUP(BL$2,Interest_Rate_Stresses_Setup!$C$6:$BC$47,Interest_Rate_Stresses_Setup!$A22,FALSE)</f>
        <v>9.4339999999999993E-2</v>
      </c>
      <c r="BM18" s="12">
        <f>HLOOKUP(BM$2,Interest_Rate_Stresses_Setup!$C$6:$BC$47,Interest_Rate_Stresses_Setup!$A22,FALSE)</f>
        <v>2.8330000000000001E-2</v>
      </c>
      <c r="BN18" s="12">
        <f>HLOOKUP(BN$2,Interest_Rate_Stresses_Setup!$C$6:$BC$47,Interest_Rate_Stresses_Setup!$A22,FALSE)</f>
        <v>2.52E-2</v>
      </c>
      <c r="BO18" s="12">
        <f>HLOOKUP(BO$2,Interest_Rate_Stresses_Setup!$C$6:$BC$47,Interest_Rate_Stresses_Setup!$A22,FALSE)</f>
        <v>3.7920000000000002E-2</v>
      </c>
      <c r="BP18" s="12">
        <f>HLOOKUP(BP$2,Interest_Rate_Stresses_Setup!$C$6:$BC$47,Interest_Rate_Stresses_Setup!$A22,FALSE)</f>
        <v>0.10775999999999999</v>
      </c>
      <c r="BQ18" s="12">
        <f>HLOOKUP(BQ$2,Interest_Rate_Stresses_Setup!$C$6:$BC$47,Interest_Rate_Stresses_Setup!$A22,FALSE)</f>
        <v>3.44E-2</v>
      </c>
      <c r="BR18" s="127">
        <f t="shared" si="1"/>
        <v>2.2409999999999999E-2</v>
      </c>
      <c r="BS18" s="16">
        <v>15</v>
      </c>
      <c r="BT18" s="12">
        <f>HLOOKUP(BT$2,Interest_Rate_Stresses_Setup!$C$50:$BC$91,Interest_Rate_Stresses_Setup!$A66,FALSE)</f>
        <v>7.8694000000000004E-3</v>
      </c>
      <c r="BU18" s="12">
        <f>HLOOKUP(BU$2,Interest_Rate_Stresses_Setup!$C$50:$BC$91,Interest_Rate_Stresses_Setup!$A66,FALSE)</f>
        <v>7.4897999999999996E-3</v>
      </c>
      <c r="BV18" s="12">
        <f>HLOOKUP(BV$2,Interest_Rate_Stresses_Setup!$C$50:$BC$91,Interest_Rate_Stresses_Setup!$A66,FALSE)</f>
        <v>2.3235899999999997E-2</v>
      </c>
      <c r="BW18" s="12">
        <f>HLOOKUP(BW$2,Interest_Rate_Stresses_Setup!$C$50:$BC$91,Interest_Rate_Stresses_Setup!$A66,FALSE)</f>
        <v>9.5556999999999986E-3</v>
      </c>
      <c r="BX18" s="12">
        <f>HLOOKUP(BX$2,Interest_Rate_Stresses_Setup!$C$50:$BC$91,Interest_Rate_Stresses_Setup!$A66,FALSE)</f>
        <v>7.7891000000000002E-3</v>
      </c>
      <c r="BY18" s="12">
        <f>HLOOKUP(BY$2,Interest_Rate_Stresses_Setup!$C$50:$BC$91,Interest_Rate_Stresses_Setup!$A66,FALSE)</f>
        <v>2.8178000000000002E-2</v>
      </c>
      <c r="BZ18" s="12">
        <f>HLOOKUP(BZ$2,Interest_Rate_Stresses_Setup!$C$50:$BC$91,Interest_Rate_Stresses_Setup!$A66,FALSE)</f>
        <v>3.4302699999999998E-2</v>
      </c>
      <c r="CA18" s="12">
        <f>HLOOKUP(CA$2,Interest_Rate_Stresses_Setup!$C$50:$BC$91,Interest_Rate_Stresses_Setup!$A66,FALSE)</f>
        <v>2.1096999999999999E-3</v>
      </c>
      <c r="CB18" s="12">
        <f>HLOOKUP(CB$2,Interest_Rate_Stresses_Setup!$C$50:$BC$91,Interest_Rate_Stresses_Setup!$A66,FALSE)</f>
        <v>1.6001599999999998E-2</v>
      </c>
      <c r="CC18" s="12">
        <f>HLOOKUP(CC$2,Interest_Rate_Stresses_Setup!$C$50:$BC$91,Interest_Rate_Stresses_Setup!$A66,FALSE)</f>
        <v>2.7068399999999999E-2</v>
      </c>
      <c r="CD18" s="12">
        <f>HLOOKUP(CD$2,Interest_Rate_Stresses_Setup!$C$50:$BC$91,Interest_Rate_Stresses_Setup!$A66,FALSE)</f>
        <v>3.0973900000000002E-2</v>
      </c>
      <c r="CE18" s="12">
        <f>HLOOKUP(CE$2,Interest_Rate_Stresses_Setup!$C$50:$BC$91,Interest_Rate_Stresses_Setup!$A66,FALSE)</f>
        <v>5.2472399999999995E-2</v>
      </c>
      <c r="CF18" s="12">
        <f>HLOOKUP(CF$2,Interest_Rate_Stresses_Setup!$C$50:$BC$91,Interest_Rate_Stresses_Setup!$A66,FALSE)</f>
        <v>1.36218E-2</v>
      </c>
      <c r="CG18" s="12">
        <f>HLOOKUP(CG$2,Interest_Rate_Stresses_Setup!$C$50:$BC$91,Interest_Rate_Stresses_Setup!$A66,FALSE)</f>
        <v>9.0592999999999993E-3</v>
      </c>
      <c r="CH18" s="12">
        <f>HLOOKUP(CH$2,Interest_Rate_Stresses_Setup!$C$50:$BC$91,Interest_Rate_Stresses_Setup!$A66,FALSE)</f>
        <v>2.2688400000000001E-2</v>
      </c>
      <c r="CI18" s="12">
        <f>HLOOKUP(CI$2,Interest_Rate_Stresses_Setup!$C$50:$BC$91,Interest_Rate_Stresses_Setup!$A66,FALSE)</f>
        <v>6.6298599999999999E-2</v>
      </c>
      <c r="CJ18" s="12">
        <f>HLOOKUP(CJ$2,Interest_Rate_Stresses_Setup!$C$50:$BC$91,Interest_Rate_Stresses_Setup!$A66,FALSE)</f>
        <v>1.53592E-2</v>
      </c>
      <c r="CK18" s="12">
        <f>HLOOKUP(CK$2,Interest_Rate_Stresses_Setup!$C$50:$BC$91,Interest_Rate_Stresses_Setup!$A66,FALSE)</f>
        <v>3.0251199999999999E-2</v>
      </c>
      <c r="CL18" s="12">
        <f>HLOOKUP(CL$2,Interest_Rate_Stresses_Setup!$C$50:$BC$91,Interest_Rate_Stresses_Setup!$A66,FALSE)</f>
        <v>3.2017799999999999E-2</v>
      </c>
      <c r="CM18" s="12">
        <f>HLOOKUP(CM$2,Interest_Rate_Stresses_Setup!$C$50:$BC$91,Interest_Rate_Stresses_Setup!$A66,FALSE)</f>
        <v>4.5741799999999992E-2</v>
      </c>
      <c r="CN18" s="12">
        <f>HLOOKUP(CN$2,Interest_Rate_Stresses_Setup!$C$50:$BC$91,Interest_Rate_Stresses_Setup!$A66,FALSE)</f>
        <v>1.7622200000000001E-2</v>
      </c>
      <c r="CO18" s="12">
        <f>HLOOKUP(CO$2,Interest_Rate_Stresses_Setup!$C$50:$BC$91,Interest_Rate_Stresses_Setup!$A66,FALSE)</f>
        <v>5.0041499999999996E-2</v>
      </c>
      <c r="CP18" s="12">
        <f>HLOOKUP(CP$2,Interest_Rate_Stresses_Setup!$C$50:$BC$91,Interest_Rate_Stresses_Setup!$A66,FALSE)</f>
        <v>2.8835000000000002E-3</v>
      </c>
      <c r="CQ18" s="12">
        <f>HLOOKUP(CQ$2,Interest_Rate_Stresses_Setup!$C$50:$BC$91,Interest_Rate_Stresses_Setup!$A66,FALSE)</f>
        <v>3.1025E-2</v>
      </c>
      <c r="CR18" s="12">
        <f>HLOOKUP(CR$2,Interest_Rate_Stresses_Setup!$C$50:$BC$91,Interest_Rate_Stresses_Setup!$A66,FALSE)</f>
        <v>5.6407100000000002E-2</v>
      </c>
      <c r="CS18" s="12">
        <f>HLOOKUP(CS$2,Interest_Rate_Stresses_Setup!$C$50:$BC$91,Interest_Rate_Stresses_Setup!$A66,FALSE)</f>
        <v>2.6951599999999999E-2</v>
      </c>
      <c r="CT18" s="12">
        <f>HLOOKUP(CT$2,Interest_Rate_Stresses_Setup!$C$50:$BC$91,Interest_Rate_Stresses_Setup!$A66,FALSE)</f>
        <v>1.8899699999999998E-2</v>
      </c>
      <c r="CU18" s="12">
        <f>HLOOKUP(CU$2,Interest_Rate_Stresses_Setup!$C$50:$BC$91,Interest_Rate_Stresses_Setup!$A66,FALSE)</f>
        <v>6.1568199999999997E-2</v>
      </c>
      <c r="CV18" s="12">
        <f>HLOOKUP(CV$2,Interest_Rate_Stresses_Setup!$C$50:$BC$91,Interest_Rate_Stresses_Setup!$A66,FALSE)</f>
        <v>1.3380899999999999E-2</v>
      </c>
      <c r="CW18" s="12">
        <f>HLOOKUP(CW$2,Interest_Rate_Stresses_Setup!$C$50:$BC$91,Interest_Rate_Stresses_Setup!$A66,FALSE)</f>
        <v>1.1096E-2</v>
      </c>
      <c r="CX18" s="12">
        <f>HLOOKUP(CX$2,Interest_Rate_Stresses_Setup!$C$50:$BC$91,Interest_Rate_Stresses_Setup!$A66,FALSE)</f>
        <v>2.03816E-2</v>
      </c>
      <c r="CY18" s="12">
        <f>HLOOKUP(CY$2,Interest_Rate_Stresses_Setup!$C$50:$BC$91,Interest_Rate_Stresses_Setup!$A66,FALSE)</f>
        <v>7.1364799999999992E-2</v>
      </c>
      <c r="CZ18" s="12">
        <f>HLOOKUP(CZ$2,Interest_Rate_Stresses_Setup!$C$50:$BC$91,Interest_Rate_Stresses_Setup!$A66,FALSE)</f>
        <v>1.7812000000000001E-2</v>
      </c>
      <c r="DA18" s="127">
        <f t="shared" si="2"/>
        <v>9.0592999999999993E-3</v>
      </c>
    </row>
    <row r="19" spans="1:105" x14ac:dyDescent="0.25">
      <c r="A19" s="11">
        <v>16</v>
      </c>
      <c r="B19" s="12">
        <f>HLOOKUP(B$2,EIOPA_Spot_Rates,EIOPA_RFR!$A28,FALSE)</f>
        <v>1.116E-2</v>
      </c>
      <c r="C19" s="12">
        <f>HLOOKUP(C$2,EIOPA_Spot_Rates,EIOPA_RFR!$A28,FALSE)</f>
        <v>1.064E-2</v>
      </c>
      <c r="D19" s="12">
        <f>HLOOKUP(D$2,EIOPA_Spot_Rates,EIOPA_RFR!$A28,FALSE)</f>
        <v>3.2239999999999998E-2</v>
      </c>
      <c r="E19" s="12">
        <f>HLOOKUP(E$2,EIOPA_Spot_Rates,EIOPA_RFR!$A28,FALSE)</f>
        <v>1.374E-2</v>
      </c>
      <c r="F19" s="12">
        <f>HLOOKUP(F$2,EIOPA_Spot_Rates,EIOPA_RFR!$A28,FALSE)</f>
        <v>1.106E-2</v>
      </c>
      <c r="G19" s="12">
        <f>HLOOKUP(G$2,EIOPA_Spot_Rates,EIOPA_RFR!$A28,FALSE)</f>
        <v>3.952E-2</v>
      </c>
      <c r="H19" s="12">
        <f>HLOOKUP(H$2,EIOPA_Spot_Rates,EIOPA_RFR!$A28,FALSE)</f>
        <v>4.6870000000000002E-2</v>
      </c>
      <c r="I19" s="12">
        <f>HLOOKUP(I$2,EIOPA_Spot_Rates,EIOPA_RFR!$A28,FALSE)</f>
        <v>3.2499999999999999E-3</v>
      </c>
      <c r="J19" s="12">
        <f>HLOOKUP(J$2,EIOPA_Spot_Rates,EIOPA_RFR!$A28,FALSE)</f>
        <v>2.2589999999999999E-2</v>
      </c>
      <c r="K19" s="12">
        <f>HLOOKUP(K$2,EIOPA_Spot_Rates,EIOPA_RFR!$A28,FALSE)</f>
        <v>3.7519999999999998E-2</v>
      </c>
      <c r="L19" s="12">
        <f>HLOOKUP(L$2,EIOPA_Spot_Rates,EIOPA_RFR!$A28,FALSE)</f>
        <v>4.2779999999999999E-2</v>
      </c>
      <c r="M19" s="12">
        <f>HLOOKUP(M$2,EIOPA_Spot_Rates,EIOPA_RFR!$A28,FALSE)</f>
        <v>7.0959999999999995E-2</v>
      </c>
      <c r="N19" s="12">
        <f>HLOOKUP(N$2,EIOPA_Spot_Rates,EIOPA_RFR!$A28,FALSE)</f>
        <v>2.0039999999999999E-2</v>
      </c>
      <c r="O19" s="12">
        <f>HLOOKUP(O$2,EIOPA_Spot_Rates,EIOPA_RFR!$A28,FALSE)</f>
        <v>1.268E-2</v>
      </c>
      <c r="P19" s="12">
        <f>HLOOKUP(P$2,EIOPA_Spot_Rates,EIOPA_RFR!$A28,FALSE)</f>
        <v>3.1419999999999997E-2</v>
      </c>
      <c r="Q19" s="12">
        <f>HLOOKUP(Q$2,EIOPA_Spot_Rates,EIOPA_RFR!$A28,FALSE)</f>
        <v>8.9899999999999994E-2</v>
      </c>
      <c r="R19" s="12">
        <f>HLOOKUP(R$2,EIOPA_Spot_Rates,EIOPA_RFR!$A28,FALSE)</f>
        <v>2.1569999999999999E-2</v>
      </c>
      <c r="S19" s="12">
        <f>HLOOKUP(S$2,EIOPA_Spot_Rates,EIOPA_RFR!$A28,FALSE)</f>
        <v>4.163E-2</v>
      </c>
      <c r="T19" s="12">
        <f>HLOOKUP(T$2,EIOPA_Spot_Rates,EIOPA_RFR!$A28,FALSE)</f>
        <v>4.3999999999999997E-2</v>
      </c>
      <c r="U19" s="12">
        <f>HLOOKUP(U$2,EIOPA_Spot_Rates,EIOPA_RFR!$A28,FALSE)</f>
        <v>6.2330000000000003E-2</v>
      </c>
      <c r="V19" s="12">
        <f>HLOOKUP(V$2,EIOPA_Spot_Rates,EIOPA_RFR!$A28,FALSE)</f>
        <v>2.4539999999999999E-2</v>
      </c>
      <c r="W19" s="12">
        <f>HLOOKUP(W$2,EIOPA_Spot_Rates,EIOPA_RFR!$A28,FALSE)</f>
        <v>6.8339999999999998E-2</v>
      </c>
      <c r="X19" s="12">
        <f>HLOOKUP(X$2,EIOPA_Spot_Rates,EIOPA_RFR!$A28,FALSE)</f>
        <v>4.4099999999999999E-3</v>
      </c>
      <c r="Y19" s="12">
        <f>HLOOKUP(Y$2,EIOPA_Spot_Rates,EIOPA_RFR!$A28,FALSE)</f>
        <v>4.2860000000000002E-2</v>
      </c>
      <c r="Z19" s="12">
        <f>HLOOKUP(Z$2,EIOPA_Spot_Rates,EIOPA_RFR!$A28,FALSE)</f>
        <v>7.7909999999999993E-2</v>
      </c>
      <c r="AA19" s="12">
        <f>HLOOKUP(AA$2,EIOPA_Spot_Rates,EIOPA_RFR!$A28,FALSE)</f>
        <v>3.7580000000000002E-2</v>
      </c>
      <c r="AB19" s="12">
        <f>HLOOKUP(AB$2,EIOPA_Spot_Rates,EIOPA_RFR!$A28,FALSE)</f>
        <v>2.6089999999999999E-2</v>
      </c>
      <c r="AC19" s="12">
        <f>HLOOKUP(AC$2,EIOPA_Spot_Rates,EIOPA_RFR!$A28,FALSE)</f>
        <v>8.4159999999999999E-2</v>
      </c>
      <c r="AD19" s="12">
        <f>HLOOKUP(AD$2,EIOPA_Spot_Rates,EIOPA_RFR!$A28,FALSE)</f>
        <v>1.8239999999999999E-2</v>
      </c>
      <c r="AE19" s="12">
        <f>HLOOKUP(AE$2,EIOPA_Spot_Rates,EIOPA_RFR!$A28,FALSE)</f>
        <v>1.6080000000000001E-2</v>
      </c>
      <c r="AF19" s="12">
        <f>HLOOKUP(AF$2,EIOPA_Spot_Rates,EIOPA_RFR!$A28,FALSE)</f>
        <v>2.836E-2</v>
      </c>
      <c r="AG19" s="12">
        <f>HLOOKUP(AG$2,EIOPA_Spot_Rates,EIOPA_RFR!$A28,FALSE)</f>
        <v>9.6269999999999994E-2</v>
      </c>
      <c r="AH19" s="12">
        <f>HLOOKUP(AH$2,EIOPA_Spot_Rates,EIOPA_RFR!$A28,FALSE)</f>
        <v>2.461E-2</v>
      </c>
      <c r="AI19" s="127">
        <f t="shared" si="0"/>
        <v>1.268E-2</v>
      </c>
      <c r="AJ19" s="16">
        <v>16</v>
      </c>
      <c r="AK19" s="12">
        <f>HLOOKUP(AK$2,Interest_Rate_Stresses_Setup!$C$6:$BC$47,Interest_Rate_Stresses_Setup!$A23,FALSE)</f>
        <v>2.1159999999999998E-2</v>
      </c>
      <c r="AL19" s="12">
        <f>HLOOKUP(AL$2,Interest_Rate_Stresses_Setup!$C$6:$BC$47,Interest_Rate_Stresses_Setup!$A23,FALSE)</f>
        <v>2.0639999999999999E-2</v>
      </c>
      <c r="AM19" s="12">
        <f>HLOOKUP(AM$2,Interest_Rate_Stresses_Setup!$C$6:$BC$47,Interest_Rate_Stresses_Setup!$A23,FALSE)</f>
        <v>4.224E-2</v>
      </c>
      <c r="AN19" s="12">
        <f>HLOOKUP(AN$2,Interest_Rate_Stresses_Setup!$C$6:$BC$47,Interest_Rate_Stresses_Setup!$A23,FALSE)</f>
        <v>2.3740000000000001E-2</v>
      </c>
      <c r="AO19" s="12">
        <f>HLOOKUP(AO$2,Interest_Rate_Stresses_Setup!$C$6:$BC$47,Interest_Rate_Stresses_Setup!$A23,FALSE)</f>
        <v>2.1060000000000002E-2</v>
      </c>
      <c r="AP19" s="12">
        <f>HLOOKUP(AP$2,Interest_Rate_Stresses_Setup!$C$6:$BC$47,Interest_Rate_Stresses_Setup!$A23,FALSE)</f>
        <v>4.9520000000000002E-2</v>
      </c>
      <c r="AQ19" s="12">
        <f>HLOOKUP(AQ$2,Interest_Rate_Stresses_Setup!$C$6:$BC$47,Interest_Rate_Stresses_Setup!$A23,FALSE)</f>
        <v>5.6870000000000004E-2</v>
      </c>
      <c r="AR19" s="12">
        <f>HLOOKUP(AR$2,Interest_Rate_Stresses_Setup!$C$6:$BC$47,Interest_Rate_Stresses_Setup!$A23,FALSE)</f>
        <v>1.325E-2</v>
      </c>
      <c r="AS19" s="12">
        <f>HLOOKUP(AS$2,Interest_Rate_Stresses_Setup!$C$6:$BC$47,Interest_Rate_Stresses_Setup!$A23,FALSE)</f>
        <v>3.2590000000000001E-2</v>
      </c>
      <c r="AT19" s="12">
        <f>HLOOKUP(AT$2,Interest_Rate_Stresses_Setup!$C$6:$BC$47,Interest_Rate_Stresses_Setup!$A23,FALSE)</f>
        <v>4.752E-2</v>
      </c>
      <c r="AU19" s="12">
        <f>HLOOKUP(AU$2,Interest_Rate_Stresses_Setup!$C$6:$BC$47,Interest_Rate_Stresses_Setup!$A23,FALSE)</f>
        <v>5.2780000000000001E-2</v>
      </c>
      <c r="AV19" s="12">
        <f>HLOOKUP(AV$2,Interest_Rate_Stresses_Setup!$C$6:$BC$47,Interest_Rate_Stresses_Setup!$A23,FALSE)</f>
        <v>8.095999999999999E-2</v>
      </c>
      <c r="AW19" s="12">
        <f>HLOOKUP(AW$2,Interest_Rate_Stresses_Setup!$C$6:$BC$47,Interest_Rate_Stresses_Setup!$A23,FALSE)</f>
        <v>3.0039999999999997E-2</v>
      </c>
      <c r="AX19" s="12">
        <f>HLOOKUP(AX$2,Interest_Rate_Stresses_Setup!$C$6:$BC$47,Interest_Rate_Stresses_Setup!$A23,FALSE)</f>
        <v>2.2679999999999999E-2</v>
      </c>
      <c r="AY19" s="12">
        <f>HLOOKUP(AY$2,Interest_Rate_Stresses_Setup!$C$6:$BC$47,Interest_Rate_Stresses_Setup!$A23,FALSE)</f>
        <v>4.1419999999999998E-2</v>
      </c>
      <c r="AZ19" s="12">
        <f>HLOOKUP(AZ$2,Interest_Rate_Stresses_Setup!$C$6:$BC$47,Interest_Rate_Stresses_Setup!$A23,FALSE)</f>
        <v>9.9899999999999989E-2</v>
      </c>
      <c r="BA19" s="12">
        <f>HLOOKUP(BA$2,Interest_Rate_Stresses_Setup!$C$6:$BC$47,Interest_Rate_Stresses_Setup!$A23,FALSE)</f>
        <v>3.1570000000000001E-2</v>
      </c>
      <c r="BB19" s="12">
        <f>HLOOKUP(BB$2,Interest_Rate_Stresses_Setup!$C$6:$BC$47,Interest_Rate_Stresses_Setup!$A23,FALSE)</f>
        <v>5.1630000000000002E-2</v>
      </c>
      <c r="BC19" s="12">
        <f>HLOOKUP(BC$2,Interest_Rate_Stresses_Setup!$C$6:$BC$47,Interest_Rate_Stresses_Setup!$A23,FALSE)</f>
        <v>5.3999999999999999E-2</v>
      </c>
      <c r="BD19" s="12">
        <f>HLOOKUP(BD$2,Interest_Rate_Stresses_Setup!$C$6:$BC$47,Interest_Rate_Stresses_Setup!$A23,FALSE)</f>
        <v>7.2330000000000005E-2</v>
      </c>
      <c r="BE19" s="12">
        <f>HLOOKUP(BE$2,Interest_Rate_Stresses_Setup!$C$6:$BC$47,Interest_Rate_Stresses_Setup!$A23,FALSE)</f>
        <v>3.4540000000000001E-2</v>
      </c>
      <c r="BF19" s="12">
        <f>HLOOKUP(BF$2,Interest_Rate_Stresses_Setup!$C$6:$BC$47,Interest_Rate_Stresses_Setup!$A23,FALSE)</f>
        <v>7.8339999999999993E-2</v>
      </c>
      <c r="BG19" s="12">
        <f>HLOOKUP(BG$2,Interest_Rate_Stresses_Setup!$C$6:$BC$47,Interest_Rate_Stresses_Setup!$A23,FALSE)</f>
        <v>1.4409999999999999E-2</v>
      </c>
      <c r="BH19" s="12">
        <f>HLOOKUP(BH$2,Interest_Rate_Stresses_Setup!$C$6:$BC$47,Interest_Rate_Stresses_Setup!$A23,FALSE)</f>
        <v>5.2860000000000004E-2</v>
      </c>
      <c r="BI19" s="12">
        <f>HLOOKUP(BI$2,Interest_Rate_Stresses_Setup!$C$6:$BC$47,Interest_Rate_Stresses_Setup!$A23,FALSE)</f>
        <v>8.7909999999999988E-2</v>
      </c>
      <c r="BJ19" s="12">
        <f>HLOOKUP(BJ$2,Interest_Rate_Stresses_Setup!$C$6:$BC$47,Interest_Rate_Stresses_Setup!$A23,FALSE)</f>
        <v>4.7580000000000004E-2</v>
      </c>
      <c r="BK19" s="12">
        <f>HLOOKUP(BK$2,Interest_Rate_Stresses_Setup!$C$6:$BC$47,Interest_Rate_Stresses_Setup!$A23,FALSE)</f>
        <v>3.6089999999999997E-2</v>
      </c>
      <c r="BL19" s="12">
        <f>HLOOKUP(BL$2,Interest_Rate_Stresses_Setup!$C$6:$BC$47,Interest_Rate_Stresses_Setup!$A23,FALSE)</f>
        <v>9.4159999999999994E-2</v>
      </c>
      <c r="BM19" s="12">
        <f>HLOOKUP(BM$2,Interest_Rate_Stresses_Setup!$C$6:$BC$47,Interest_Rate_Stresses_Setup!$A23,FALSE)</f>
        <v>2.8240000000000001E-2</v>
      </c>
      <c r="BN19" s="12">
        <f>HLOOKUP(BN$2,Interest_Rate_Stresses_Setup!$C$6:$BC$47,Interest_Rate_Stresses_Setup!$A23,FALSE)</f>
        <v>2.6079999999999999E-2</v>
      </c>
      <c r="BO19" s="12">
        <f>HLOOKUP(BO$2,Interest_Rate_Stresses_Setup!$C$6:$BC$47,Interest_Rate_Stresses_Setup!$A23,FALSE)</f>
        <v>3.8359999999999998E-2</v>
      </c>
      <c r="BP19" s="12">
        <f>HLOOKUP(BP$2,Interest_Rate_Stresses_Setup!$C$6:$BC$47,Interest_Rate_Stresses_Setup!$A23,FALSE)</f>
        <v>0.10626999999999999</v>
      </c>
      <c r="BQ19" s="12">
        <f>HLOOKUP(BQ$2,Interest_Rate_Stresses_Setup!$C$6:$BC$47,Interest_Rate_Stresses_Setup!$A23,FALSE)</f>
        <v>3.4610000000000002E-2</v>
      </c>
      <c r="BR19" s="127">
        <f t="shared" si="1"/>
        <v>2.2679999999999999E-2</v>
      </c>
      <c r="BS19" s="16">
        <v>16</v>
      </c>
      <c r="BT19" s="12">
        <f>HLOOKUP(BT$2,Interest_Rate_Stresses_Setup!$C$50:$BC$91,Interest_Rate_Stresses_Setup!$A67,FALSE)</f>
        <v>8.0351999999999993E-3</v>
      </c>
      <c r="BU19" s="12">
        <f>HLOOKUP(BU$2,Interest_Rate_Stresses_Setup!$C$50:$BC$91,Interest_Rate_Stresses_Setup!$A67,FALSE)</f>
        <v>7.6607999999999997E-3</v>
      </c>
      <c r="BV19" s="12">
        <f>HLOOKUP(BV$2,Interest_Rate_Stresses_Setup!$C$50:$BC$91,Interest_Rate_Stresses_Setup!$A67,FALSE)</f>
        <v>2.3212799999999999E-2</v>
      </c>
      <c r="BW19" s="12">
        <f>HLOOKUP(BW$2,Interest_Rate_Stresses_Setup!$C$50:$BC$91,Interest_Rate_Stresses_Setup!$A67,FALSE)</f>
        <v>9.8928000000000002E-3</v>
      </c>
      <c r="BX19" s="12">
        <f>HLOOKUP(BX$2,Interest_Rate_Stresses_Setup!$C$50:$BC$91,Interest_Rate_Stresses_Setup!$A67,FALSE)</f>
        <v>7.9632000000000001E-3</v>
      </c>
      <c r="BY19" s="12">
        <f>HLOOKUP(BY$2,Interest_Rate_Stresses_Setup!$C$50:$BC$91,Interest_Rate_Stresses_Setup!$A67,FALSE)</f>
        <v>2.8454399999999998E-2</v>
      </c>
      <c r="BZ19" s="12">
        <f>HLOOKUP(BZ$2,Interest_Rate_Stresses_Setup!$C$50:$BC$91,Interest_Rate_Stresses_Setup!$A67,FALSE)</f>
        <v>3.3746400000000003E-2</v>
      </c>
      <c r="CA19" s="12">
        <f>HLOOKUP(CA$2,Interest_Rate_Stresses_Setup!$C$50:$BC$91,Interest_Rate_Stresses_Setup!$A67,FALSE)</f>
        <v>2.3399999999999996E-3</v>
      </c>
      <c r="CB19" s="12">
        <f>HLOOKUP(CB$2,Interest_Rate_Stresses_Setup!$C$50:$BC$91,Interest_Rate_Stresses_Setup!$A67,FALSE)</f>
        <v>1.6264799999999999E-2</v>
      </c>
      <c r="CC19" s="12">
        <f>HLOOKUP(CC$2,Interest_Rate_Stresses_Setup!$C$50:$BC$91,Interest_Rate_Stresses_Setup!$A67,FALSE)</f>
        <v>2.7014399999999997E-2</v>
      </c>
      <c r="CD19" s="12">
        <f>HLOOKUP(CD$2,Interest_Rate_Stresses_Setup!$C$50:$BC$91,Interest_Rate_Stresses_Setup!$A67,FALSE)</f>
        <v>3.0801599999999998E-2</v>
      </c>
      <c r="CE19" s="12">
        <f>HLOOKUP(CE$2,Interest_Rate_Stresses_Setup!$C$50:$BC$91,Interest_Rate_Stresses_Setup!$A67,FALSE)</f>
        <v>5.1091199999999996E-2</v>
      </c>
      <c r="CF19" s="12">
        <f>HLOOKUP(CF$2,Interest_Rate_Stresses_Setup!$C$50:$BC$91,Interest_Rate_Stresses_Setup!$A67,FALSE)</f>
        <v>1.4428799999999999E-2</v>
      </c>
      <c r="CG19" s="12">
        <f>HLOOKUP(CG$2,Interest_Rate_Stresses_Setup!$C$50:$BC$91,Interest_Rate_Stresses_Setup!$A67,FALSE)</f>
        <v>9.1295999999999999E-3</v>
      </c>
      <c r="CH19" s="12">
        <f>HLOOKUP(CH$2,Interest_Rate_Stresses_Setup!$C$50:$BC$91,Interest_Rate_Stresses_Setup!$A67,FALSE)</f>
        <v>2.2622399999999997E-2</v>
      </c>
      <c r="CI19" s="12">
        <f>HLOOKUP(CI$2,Interest_Rate_Stresses_Setup!$C$50:$BC$91,Interest_Rate_Stresses_Setup!$A67,FALSE)</f>
        <v>6.4727999999999994E-2</v>
      </c>
      <c r="CJ19" s="12">
        <f>HLOOKUP(CJ$2,Interest_Rate_Stresses_Setup!$C$50:$BC$91,Interest_Rate_Stresses_Setup!$A67,FALSE)</f>
        <v>1.5530399999999998E-2</v>
      </c>
      <c r="CK19" s="12">
        <f>HLOOKUP(CK$2,Interest_Rate_Stresses_Setup!$C$50:$BC$91,Interest_Rate_Stresses_Setup!$A67,FALSE)</f>
        <v>2.99736E-2</v>
      </c>
      <c r="CL19" s="12">
        <f>HLOOKUP(CL$2,Interest_Rate_Stresses_Setup!$C$50:$BC$91,Interest_Rate_Stresses_Setup!$A67,FALSE)</f>
        <v>3.168E-2</v>
      </c>
      <c r="CM19" s="12">
        <f>HLOOKUP(CM$2,Interest_Rate_Stresses_Setup!$C$50:$BC$91,Interest_Rate_Stresses_Setup!$A67,FALSE)</f>
        <v>4.4877600000000004E-2</v>
      </c>
      <c r="CN19" s="12">
        <f>HLOOKUP(CN$2,Interest_Rate_Stresses_Setup!$C$50:$BC$91,Interest_Rate_Stresses_Setup!$A67,FALSE)</f>
        <v>1.7668799999999998E-2</v>
      </c>
      <c r="CO19" s="12">
        <f>HLOOKUP(CO$2,Interest_Rate_Stresses_Setup!$C$50:$BC$91,Interest_Rate_Stresses_Setup!$A67,FALSE)</f>
        <v>4.92048E-2</v>
      </c>
      <c r="CP19" s="12">
        <f>HLOOKUP(CP$2,Interest_Rate_Stresses_Setup!$C$50:$BC$91,Interest_Rate_Stresses_Setup!$A67,FALSE)</f>
        <v>3.1752E-3</v>
      </c>
      <c r="CQ19" s="12">
        <f>HLOOKUP(CQ$2,Interest_Rate_Stresses_Setup!$C$50:$BC$91,Interest_Rate_Stresses_Setup!$A67,FALSE)</f>
        <v>3.08592E-2</v>
      </c>
      <c r="CR19" s="12">
        <f>HLOOKUP(CR$2,Interest_Rate_Stresses_Setup!$C$50:$BC$91,Interest_Rate_Stresses_Setup!$A67,FALSE)</f>
        <v>5.6095199999999991E-2</v>
      </c>
      <c r="CS19" s="12">
        <f>HLOOKUP(CS$2,Interest_Rate_Stresses_Setup!$C$50:$BC$91,Interest_Rate_Stresses_Setup!$A67,FALSE)</f>
        <v>2.7057600000000001E-2</v>
      </c>
      <c r="CT19" s="12">
        <f>HLOOKUP(CT$2,Interest_Rate_Stresses_Setup!$C$50:$BC$91,Interest_Rate_Stresses_Setup!$A67,FALSE)</f>
        <v>1.8784799999999997E-2</v>
      </c>
      <c r="CU19" s="12">
        <f>HLOOKUP(CU$2,Interest_Rate_Stresses_Setup!$C$50:$BC$91,Interest_Rate_Stresses_Setup!$A67,FALSE)</f>
        <v>6.0595199999999995E-2</v>
      </c>
      <c r="CV19" s="12">
        <f>HLOOKUP(CV$2,Interest_Rate_Stresses_Setup!$C$50:$BC$91,Interest_Rate_Stresses_Setup!$A67,FALSE)</f>
        <v>1.3132799999999998E-2</v>
      </c>
      <c r="CW19" s="12">
        <f>HLOOKUP(CW$2,Interest_Rate_Stresses_Setup!$C$50:$BC$91,Interest_Rate_Stresses_Setup!$A67,FALSE)</f>
        <v>1.15776E-2</v>
      </c>
      <c r="CX19" s="12">
        <f>HLOOKUP(CX$2,Interest_Rate_Stresses_Setup!$C$50:$BC$91,Interest_Rate_Stresses_Setup!$A67,FALSE)</f>
        <v>2.0419199999999998E-2</v>
      </c>
      <c r="CY19" s="12">
        <f>HLOOKUP(CY$2,Interest_Rate_Stresses_Setup!$C$50:$BC$91,Interest_Rate_Stresses_Setup!$A67,FALSE)</f>
        <v>6.9314399999999998E-2</v>
      </c>
      <c r="CZ19" s="12">
        <f>HLOOKUP(CZ$2,Interest_Rate_Stresses_Setup!$C$50:$BC$91,Interest_Rate_Stresses_Setup!$A67,FALSE)</f>
        <v>1.7719200000000001E-2</v>
      </c>
      <c r="DA19" s="127">
        <f t="shared" si="2"/>
        <v>9.1295999999999999E-3</v>
      </c>
    </row>
    <row r="20" spans="1:105" x14ac:dyDescent="0.25">
      <c r="A20" s="11">
        <v>17</v>
      </c>
      <c r="B20" s="12">
        <f>HLOOKUP(B$2,EIOPA_Spot_Rates,EIOPA_RFR!$A29,FALSE)</f>
        <v>1.1469999999999999E-2</v>
      </c>
      <c r="C20" s="12">
        <f>HLOOKUP(C$2,EIOPA_Spot_Rates,EIOPA_RFR!$A29,FALSE)</f>
        <v>1.095E-2</v>
      </c>
      <c r="D20" s="12">
        <f>HLOOKUP(D$2,EIOPA_Spot_Rates,EIOPA_RFR!$A29,FALSE)</f>
        <v>3.2620000000000003E-2</v>
      </c>
      <c r="E20" s="12">
        <f>HLOOKUP(E$2,EIOPA_Spot_Rates,EIOPA_RFR!$A29,FALSE)</f>
        <v>1.444E-2</v>
      </c>
      <c r="F20" s="12">
        <f>HLOOKUP(F$2,EIOPA_Spot_Rates,EIOPA_RFR!$A29,FALSE)</f>
        <v>1.136E-2</v>
      </c>
      <c r="G20" s="12">
        <f>HLOOKUP(G$2,EIOPA_Spot_Rates,EIOPA_RFR!$A29,FALSE)</f>
        <v>4.0259999999999997E-2</v>
      </c>
      <c r="H20" s="12">
        <f>HLOOKUP(H$2,EIOPA_Spot_Rates,EIOPA_RFR!$A29,FALSE)</f>
        <v>4.675E-2</v>
      </c>
      <c r="I20" s="12">
        <f>HLOOKUP(I$2,EIOPA_Spot_Rates,EIOPA_RFR!$A29,FALSE)</f>
        <v>3.5699999999999998E-3</v>
      </c>
      <c r="J20" s="12">
        <f>HLOOKUP(J$2,EIOPA_Spot_Rates,EIOPA_RFR!$A29,FALSE)</f>
        <v>2.324E-2</v>
      </c>
      <c r="K20" s="12">
        <f>HLOOKUP(K$2,EIOPA_Spot_Rates,EIOPA_RFR!$A29,FALSE)</f>
        <v>3.789E-2</v>
      </c>
      <c r="L20" s="12">
        <f>HLOOKUP(L$2,EIOPA_Spot_Rates,EIOPA_RFR!$A29,FALSE)</f>
        <v>4.3049999999999998E-2</v>
      </c>
      <c r="M20" s="12">
        <f>HLOOKUP(M$2,EIOPA_Spot_Rates,EIOPA_RFR!$A29,FALSE)</f>
        <v>7.0059999999999997E-2</v>
      </c>
      <c r="N20" s="12">
        <f>HLOOKUP(N$2,EIOPA_Spot_Rates,EIOPA_RFR!$A29,FALSE)</f>
        <v>2.128E-2</v>
      </c>
      <c r="O20" s="12">
        <f>HLOOKUP(O$2,EIOPA_Spot_Rates,EIOPA_RFR!$A29,FALSE)</f>
        <v>1.2829999999999999E-2</v>
      </c>
      <c r="P20" s="12">
        <f>HLOOKUP(P$2,EIOPA_Spot_Rates,EIOPA_RFR!$A29,FALSE)</f>
        <v>3.1699999999999999E-2</v>
      </c>
      <c r="Q20" s="12">
        <f>HLOOKUP(Q$2,EIOPA_Spot_Rates,EIOPA_RFR!$A29,FALSE)</f>
        <v>8.8950000000000001E-2</v>
      </c>
      <c r="R20" s="12">
        <f>HLOOKUP(R$2,EIOPA_Spot_Rates,EIOPA_RFR!$A29,FALSE)</f>
        <v>2.2020000000000001E-2</v>
      </c>
      <c r="S20" s="12">
        <f>HLOOKUP(S$2,EIOPA_Spot_Rates,EIOPA_RFR!$A29,FALSE)</f>
        <v>4.1799999999999997E-2</v>
      </c>
      <c r="T20" s="12">
        <f>HLOOKUP(T$2,EIOPA_Spot_Rates,EIOPA_RFR!$A29,FALSE)</f>
        <v>4.41E-2</v>
      </c>
      <c r="U20" s="12">
        <f>HLOOKUP(U$2,EIOPA_Spot_Rates,EIOPA_RFR!$A29,FALSE)</f>
        <v>6.1949999999999998E-2</v>
      </c>
      <c r="V20" s="12">
        <f>HLOOKUP(V$2,EIOPA_Spot_Rates,EIOPA_RFR!$A29,FALSE)</f>
        <v>2.496E-2</v>
      </c>
      <c r="W20" s="12">
        <f>HLOOKUP(W$2,EIOPA_Spot_Rates,EIOPA_RFR!$A29,FALSE)</f>
        <v>6.8080000000000002E-2</v>
      </c>
      <c r="X20" s="12">
        <f>HLOOKUP(X$2,EIOPA_Spot_Rates,EIOPA_RFR!$A29,FALSE)</f>
        <v>4.8500000000000001E-3</v>
      </c>
      <c r="Y20" s="12">
        <f>HLOOKUP(Y$2,EIOPA_Spot_Rates,EIOPA_RFR!$A29,FALSE)</f>
        <v>4.3110000000000002E-2</v>
      </c>
      <c r="Z20" s="12">
        <f>HLOOKUP(Z$2,EIOPA_Spot_Rates,EIOPA_RFR!$A29,FALSE)</f>
        <v>7.8469999999999998E-2</v>
      </c>
      <c r="AA20" s="12">
        <f>HLOOKUP(AA$2,EIOPA_Spot_Rates,EIOPA_RFR!$A29,FALSE)</f>
        <v>3.8170000000000003E-2</v>
      </c>
      <c r="AB20" s="12">
        <f>HLOOKUP(AB$2,EIOPA_Spot_Rates,EIOPA_RFR!$A29,FALSE)</f>
        <v>2.6259999999999999E-2</v>
      </c>
      <c r="AC20" s="12">
        <f>HLOOKUP(AC$2,EIOPA_Spot_Rates,EIOPA_RFR!$A29,FALSE)</f>
        <v>8.3830000000000002E-2</v>
      </c>
      <c r="AD20" s="12">
        <f>HLOOKUP(AD$2,EIOPA_Spot_Rates,EIOPA_RFR!$A29,FALSE)</f>
        <v>1.8169999999999999E-2</v>
      </c>
      <c r="AE20" s="12">
        <f>HLOOKUP(AE$2,EIOPA_Spot_Rates,EIOPA_RFR!$A29,FALSE)</f>
        <v>1.694E-2</v>
      </c>
      <c r="AF20" s="12">
        <f>HLOOKUP(AF$2,EIOPA_Spot_Rates,EIOPA_RFR!$A29,FALSE)</f>
        <v>2.879E-2</v>
      </c>
      <c r="AG20" s="12">
        <f>HLOOKUP(AG$2,EIOPA_Spot_Rates,EIOPA_RFR!$A29,FALSE)</f>
        <v>9.4820000000000002E-2</v>
      </c>
      <c r="AH20" s="12">
        <f>HLOOKUP(AH$2,EIOPA_Spot_Rates,EIOPA_RFR!$A29,FALSE)</f>
        <v>2.479E-2</v>
      </c>
      <c r="AI20" s="127">
        <f t="shared" si="0"/>
        <v>1.2829999999999999E-2</v>
      </c>
      <c r="AJ20" s="16">
        <v>17</v>
      </c>
      <c r="AK20" s="12">
        <f>HLOOKUP(AK$2,Interest_Rate_Stresses_Setup!$C$6:$BC$47,Interest_Rate_Stresses_Setup!$A24,FALSE)</f>
        <v>2.147E-2</v>
      </c>
      <c r="AL20" s="12">
        <f>HLOOKUP(AL$2,Interest_Rate_Stresses_Setup!$C$6:$BC$47,Interest_Rate_Stresses_Setup!$A24,FALSE)</f>
        <v>2.095E-2</v>
      </c>
      <c r="AM20" s="12">
        <f>HLOOKUP(AM$2,Interest_Rate_Stresses_Setup!$C$6:$BC$47,Interest_Rate_Stresses_Setup!$A24,FALSE)</f>
        <v>4.2620000000000005E-2</v>
      </c>
      <c r="AN20" s="12">
        <f>HLOOKUP(AN$2,Interest_Rate_Stresses_Setup!$C$6:$BC$47,Interest_Rate_Stresses_Setup!$A24,FALSE)</f>
        <v>2.444E-2</v>
      </c>
      <c r="AO20" s="12">
        <f>HLOOKUP(AO$2,Interest_Rate_Stresses_Setup!$C$6:$BC$47,Interest_Rate_Stresses_Setup!$A24,FALSE)</f>
        <v>2.1360000000000001E-2</v>
      </c>
      <c r="AP20" s="12">
        <f>HLOOKUP(AP$2,Interest_Rate_Stresses_Setup!$C$6:$BC$47,Interest_Rate_Stresses_Setup!$A24,FALSE)</f>
        <v>5.0259999999999999E-2</v>
      </c>
      <c r="AQ20" s="12">
        <f>HLOOKUP(AQ$2,Interest_Rate_Stresses_Setup!$C$6:$BC$47,Interest_Rate_Stresses_Setup!$A24,FALSE)</f>
        <v>5.6750000000000002E-2</v>
      </c>
      <c r="AR20" s="12">
        <f>HLOOKUP(AR$2,Interest_Rate_Stresses_Setup!$C$6:$BC$47,Interest_Rate_Stresses_Setup!$A24,FALSE)</f>
        <v>1.357E-2</v>
      </c>
      <c r="AS20" s="12">
        <f>HLOOKUP(AS$2,Interest_Rate_Stresses_Setup!$C$6:$BC$47,Interest_Rate_Stresses_Setup!$A24,FALSE)</f>
        <v>3.3239999999999999E-2</v>
      </c>
      <c r="AT20" s="12">
        <f>HLOOKUP(AT$2,Interest_Rate_Stresses_Setup!$C$6:$BC$47,Interest_Rate_Stresses_Setup!$A24,FALSE)</f>
        <v>4.7890000000000002E-2</v>
      </c>
      <c r="AU20" s="12">
        <f>HLOOKUP(AU$2,Interest_Rate_Stresses_Setup!$C$6:$BC$47,Interest_Rate_Stresses_Setup!$A24,FALSE)</f>
        <v>5.305E-2</v>
      </c>
      <c r="AV20" s="12">
        <f>HLOOKUP(AV$2,Interest_Rate_Stresses_Setup!$C$6:$BC$47,Interest_Rate_Stresses_Setup!$A24,FALSE)</f>
        <v>8.0059999999999992E-2</v>
      </c>
      <c r="AW20" s="12">
        <f>HLOOKUP(AW$2,Interest_Rate_Stresses_Setup!$C$6:$BC$47,Interest_Rate_Stresses_Setup!$A24,FALSE)</f>
        <v>3.1280000000000002E-2</v>
      </c>
      <c r="AX20" s="12">
        <f>HLOOKUP(AX$2,Interest_Rate_Stresses_Setup!$C$6:$BC$47,Interest_Rate_Stresses_Setup!$A24,FALSE)</f>
        <v>2.283E-2</v>
      </c>
      <c r="AY20" s="12">
        <f>HLOOKUP(AY$2,Interest_Rate_Stresses_Setup!$C$6:$BC$47,Interest_Rate_Stresses_Setup!$A24,FALSE)</f>
        <v>4.1700000000000001E-2</v>
      </c>
      <c r="AZ20" s="12">
        <f>HLOOKUP(AZ$2,Interest_Rate_Stresses_Setup!$C$6:$BC$47,Interest_Rate_Stresses_Setup!$A24,FALSE)</f>
        <v>9.8949999999999996E-2</v>
      </c>
      <c r="BA20" s="12">
        <f>HLOOKUP(BA$2,Interest_Rate_Stresses_Setup!$C$6:$BC$47,Interest_Rate_Stresses_Setup!$A24,FALSE)</f>
        <v>3.202E-2</v>
      </c>
      <c r="BB20" s="12">
        <f>HLOOKUP(BB$2,Interest_Rate_Stresses_Setup!$C$6:$BC$47,Interest_Rate_Stresses_Setup!$A24,FALSE)</f>
        <v>5.1799999999999999E-2</v>
      </c>
      <c r="BC20" s="12">
        <f>HLOOKUP(BC$2,Interest_Rate_Stresses_Setup!$C$6:$BC$47,Interest_Rate_Stresses_Setup!$A24,FALSE)</f>
        <v>5.4100000000000002E-2</v>
      </c>
      <c r="BD20" s="12">
        <f>HLOOKUP(BD$2,Interest_Rate_Stresses_Setup!$C$6:$BC$47,Interest_Rate_Stresses_Setup!$A24,FALSE)</f>
        <v>7.195E-2</v>
      </c>
      <c r="BE20" s="12">
        <f>HLOOKUP(BE$2,Interest_Rate_Stresses_Setup!$C$6:$BC$47,Interest_Rate_Stresses_Setup!$A24,FALSE)</f>
        <v>3.4959999999999998E-2</v>
      </c>
      <c r="BF20" s="12">
        <f>HLOOKUP(BF$2,Interest_Rate_Stresses_Setup!$C$6:$BC$47,Interest_Rate_Stresses_Setup!$A24,FALSE)</f>
        <v>7.8079999999999997E-2</v>
      </c>
      <c r="BG20" s="12">
        <f>HLOOKUP(BG$2,Interest_Rate_Stresses_Setup!$C$6:$BC$47,Interest_Rate_Stresses_Setup!$A24,FALSE)</f>
        <v>1.485E-2</v>
      </c>
      <c r="BH20" s="12">
        <f>HLOOKUP(BH$2,Interest_Rate_Stresses_Setup!$C$6:$BC$47,Interest_Rate_Stresses_Setup!$A24,FALSE)</f>
        <v>5.3110000000000004E-2</v>
      </c>
      <c r="BI20" s="12">
        <f>HLOOKUP(BI$2,Interest_Rate_Stresses_Setup!$C$6:$BC$47,Interest_Rate_Stresses_Setup!$A24,FALSE)</f>
        <v>8.8469999999999993E-2</v>
      </c>
      <c r="BJ20" s="12">
        <f>HLOOKUP(BJ$2,Interest_Rate_Stresses_Setup!$C$6:$BC$47,Interest_Rate_Stresses_Setup!$A24,FALSE)</f>
        <v>4.8170000000000004E-2</v>
      </c>
      <c r="BK20" s="12">
        <f>HLOOKUP(BK$2,Interest_Rate_Stresses_Setup!$C$6:$BC$47,Interest_Rate_Stresses_Setup!$A24,FALSE)</f>
        <v>3.6260000000000001E-2</v>
      </c>
      <c r="BL20" s="12">
        <f>HLOOKUP(BL$2,Interest_Rate_Stresses_Setup!$C$6:$BC$47,Interest_Rate_Stresses_Setup!$A24,FALSE)</f>
        <v>9.3829999999999997E-2</v>
      </c>
      <c r="BM20" s="12">
        <f>HLOOKUP(BM$2,Interest_Rate_Stresses_Setup!$C$6:$BC$47,Interest_Rate_Stresses_Setup!$A24,FALSE)</f>
        <v>2.8170000000000001E-2</v>
      </c>
      <c r="BN20" s="12">
        <f>HLOOKUP(BN$2,Interest_Rate_Stresses_Setup!$C$6:$BC$47,Interest_Rate_Stresses_Setup!$A24,FALSE)</f>
        <v>2.6939999999999999E-2</v>
      </c>
      <c r="BO20" s="12">
        <f>HLOOKUP(BO$2,Interest_Rate_Stresses_Setup!$C$6:$BC$47,Interest_Rate_Stresses_Setup!$A24,FALSE)</f>
        <v>3.8789999999999998E-2</v>
      </c>
      <c r="BP20" s="12">
        <f>HLOOKUP(BP$2,Interest_Rate_Stresses_Setup!$C$6:$BC$47,Interest_Rate_Stresses_Setup!$A24,FALSE)</f>
        <v>0.10482</v>
      </c>
      <c r="BQ20" s="12">
        <f>HLOOKUP(BQ$2,Interest_Rate_Stresses_Setup!$C$6:$BC$47,Interest_Rate_Stresses_Setup!$A24,FALSE)</f>
        <v>3.4790000000000001E-2</v>
      </c>
      <c r="BR20" s="127">
        <f t="shared" si="1"/>
        <v>2.283E-2</v>
      </c>
      <c r="BS20" s="16">
        <v>17</v>
      </c>
      <c r="BT20" s="12">
        <f>HLOOKUP(BT$2,Interest_Rate_Stresses_Setup!$C$50:$BC$91,Interest_Rate_Stresses_Setup!$A68,FALSE)</f>
        <v>8.2583999999999991E-3</v>
      </c>
      <c r="BU20" s="12">
        <f>HLOOKUP(BU$2,Interest_Rate_Stresses_Setup!$C$50:$BC$91,Interest_Rate_Stresses_Setup!$A68,FALSE)</f>
        <v>7.8839999999999986E-3</v>
      </c>
      <c r="BV20" s="12">
        <f>HLOOKUP(BV$2,Interest_Rate_Stresses_Setup!$C$50:$BC$91,Interest_Rate_Stresses_Setup!$A68,FALSE)</f>
        <v>2.3486400000000001E-2</v>
      </c>
      <c r="BW20" s="12">
        <f>HLOOKUP(BW$2,Interest_Rate_Stresses_Setup!$C$50:$BC$91,Interest_Rate_Stresses_Setup!$A68,FALSE)</f>
        <v>1.0396799999999999E-2</v>
      </c>
      <c r="BX20" s="12">
        <f>HLOOKUP(BX$2,Interest_Rate_Stresses_Setup!$C$50:$BC$91,Interest_Rate_Stresses_Setup!$A68,FALSE)</f>
        <v>8.1791999999999993E-3</v>
      </c>
      <c r="BY20" s="12">
        <f>HLOOKUP(BY$2,Interest_Rate_Stresses_Setup!$C$50:$BC$91,Interest_Rate_Stresses_Setup!$A68,FALSE)</f>
        <v>2.8987199999999998E-2</v>
      </c>
      <c r="BZ20" s="12">
        <f>HLOOKUP(BZ$2,Interest_Rate_Stresses_Setup!$C$50:$BC$91,Interest_Rate_Stresses_Setup!$A68,FALSE)</f>
        <v>3.3659999999999995E-2</v>
      </c>
      <c r="CA20" s="12">
        <f>HLOOKUP(CA$2,Interest_Rate_Stresses_Setup!$C$50:$BC$91,Interest_Rate_Stresses_Setup!$A68,FALSE)</f>
        <v>2.5703999999999996E-3</v>
      </c>
      <c r="CB20" s="12">
        <f>HLOOKUP(CB$2,Interest_Rate_Stresses_Setup!$C$50:$BC$91,Interest_Rate_Stresses_Setup!$A68,FALSE)</f>
        <v>1.6732799999999999E-2</v>
      </c>
      <c r="CC20" s="12">
        <f>HLOOKUP(CC$2,Interest_Rate_Stresses_Setup!$C$50:$BC$91,Interest_Rate_Stresses_Setup!$A68,FALSE)</f>
        <v>2.7280799999999997E-2</v>
      </c>
      <c r="CD20" s="12">
        <f>HLOOKUP(CD$2,Interest_Rate_Stresses_Setup!$C$50:$BC$91,Interest_Rate_Stresses_Setup!$A68,FALSE)</f>
        <v>3.0995999999999996E-2</v>
      </c>
      <c r="CE20" s="12">
        <f>HLOOKUP(CE$2,Interest_Rate_Stresses_Setup!$C$50:$BC$91,Interest_Rate_Stresses_Setup!$A68,FALSE)</f>
        <v>5.0443199999999994E-2</v>
      </c>
      <c r="CF20" s="12">
        <f>HLOOKUP(CF$2,Interest_Rate_Stresses_Setup!$C$50:$BC$91,Interest_Rate_Stresses_Setup!$A68,FALSE)</f>
        <v>1.5321599999999999E-2</v>
      </c>
      <c r="CG20" s="12">
        <f>HLOOKUP(CG$2,Interest_Rate_Stresses_Setup!$C$50:$BC$91,Interest_Rate_Stresses_Setup!$A68,FALSE)</f>
        <v>9.2375999999999986E-3</v>
      </c>
      <c r="CH20" s="12">
        <f>HLOOKUP(CH$2,Interest_Rate_Stresses_Setup!$C$50:$BC$91,Interest_Rate_Stresses_Setup!$A68,FALSE)</f>
        <v>2.2823999999999997E-2</v>
      </c>
      <c r="CI20" s="12">
        <f>HLOOKUP(CI$2,Interest_Rate_Stresses_Setup!$C$50:$BC$91,Interest_Rate_Stresses_Setup!$A68,FALSE)</f>
        <v>6.4044000000000004E-2</v>
      </c>
      <c r="CJ20" s="12">
        <f>HLOOKUP(CJ$2,Interest_Rate_Stresses_Setup!$C$50:$BC$91,Interest_Rate_Stresses_Setup!$A68,FALSE)</f>
        <v>1.5854400000000001E-2</v>
      </c>
      <c r="CK20" s="12">
        <f>HLOOKUP(CK$2,Interest_Rate_Stresses_Setup!$C$50:$BC$91,Interest_Rate_Stresses_Setup!$A68,FALSE)</f>
        <v>3.0095999999999998E-2</v>
      </c>
      <c r="CL20" s="12">
        <f>HLOOKUP(CL$2,Interest_Rate_Stresses_Setup!$C$50:$BC$91,Interest_Rate_Stresses_Setup!$A68,FALSE)</f>
        <v>3.1752000000000002E-2</v>
      </c>
      <c r="CM20" s="12">
        <f>HLOOKUP(CM$2,Interest_Rate_Stresses_Setup!$C$50:$BC$91,Interest_Rate_Stresses_Setup!$A68,FALSE)</f>
        <v>4.4603999999999998E-2</v>
      </c>
      <c r="CN20" s="12">
        <f>HLOOKUP(CN$2,Interest_Rate_Stresses_Setup!$C$50:$BC$91,Interest_Rate_Stresses_Setup!$A68,FALSE)</f>
        <v>1.79712E-2</v>
      </c>
      <c r="CO20" s="12">
        <f>HLOOKUP(CO$2,Interest_Rate_Stresses_Setup!$C$50:$BC$91,Interest_Rate_Stresses_Setup!$A68,FALSE)</f>
        <v>4.9017600000000001E-2</v>
      </c>
      <c r="CP20" s="12">
        <f>HLOOKUP(CP$2,Interest_Rate_Stresses_Setup!$C$50:$BC$91,Interest_Rate_Stresses_Setup!$A68,FALSE)</f>
        <v>3.4919999999999999E-3</v>
      </c>
      <c r="CQ20" s="12">
        <f>HLOOKUP(CQ$2,Interest_Rate_Stresses_Setup!$C$50:$BC$91,Interest_Rate_Stresses_Setup!$A68,FALSE)</f>
        <v>3.1039199999999999E-2</v>
      </c>
      <c r="CR20" s="12">
        <f>HLOOKUP(CR$2,Interest_Rate_Stresses_Setup!$C$50:$BC$91,Interest_Rate_Stresses_Setup!$A68,FALSE)</f>
        <v>5.6498399999999997E-2</v>
      </c>
      <c r="CS20" s="12">
        <f>HLOOKUP(CS$2,Interest_Rate_Stresses_Setup!$C$50:$BC$91,Interest_Rate_Stresses_Setup!$A68,FALSE)</f>
        <v>2.7482400000000001E-2</v>
      </c>
      <c r="CT20" s="12">
        <f>HLOOKUP(CT$2,Interest_Rate_Stresses_Setup!$C$50:$BC$91,Interest_Rate_Stresses_Setup!$A68,FALSE)</f>
        <v>1.8907199999999999E-2</v>
      </c>
      <c r="CU20" s="12">
        <f>HLOOKUP(CU$2,Interest_Rate_Stresses_Setup!$C$50:$BC$91,Interest_Rate_Stresses_Setup!$A68,FALSE)</f>
        <v>6.0357599999999997E-2</v>
      </c>
      <c r="CV20" s="12">
        <f>HLOOKUP(CV$2,Interest_Rate_Stresses_Setup!$C$50:$BC$91,Interest_Rate_Stresses_Setup!$A68,FALSE)</f>
        <v>1.3082399999999999E-2</v>
      </c>
      <c r="CW20" s="12">
        <f>HLOOKUP(CW$2,Interest_Rate_Stresses_Setup!$C$50:$BC$91,Interest_Rate_Stresses_Setup!$A68,FALSE)</f>
        <v>1.2196799999999999E-2</v>
      </c>
      <c r="CX20" s="12">
        <f>HLOOKUP(CX$2,Interest_Rate_Stresses_Setup!$C$50:$BC$91,Interest_Rate_Stresses_Setup!$A68,FALSE)</f>
        <v>2.0728799999999999E-2</v>
      </c>
      <c r="CY20" s="12">
        <f>HLOOKUP(CY$2,Interest_Rate_Stresses_Setup!$C$50:$BC$91,Interest_Rate_Stresses_Setup!$A68,FALSE)</f>
        <v>6.8270399999999995E-2</v>
      </c>
      <c r="CZ20" s="12">
        <f>HLOOKUP(CZ$2,Interest_Rate_Stresses_Setup!$C$50:$BC$91,Interest_Rate_Stresses_Setup!$A68,FALSE)</f>
        <v>1.7848799999999998E-2</v>
      </c>
      <c r="DA20" s="127">
        <f t="shared" si="2"/>
        <v>9.2375999999999986E-3</v>
      </c>
    </row>
    <row r="21" spans="1:105" x14ac:dyDescent="0.25">
      <c r="A21" s="11">
        <v>18</v>
      </c>
      <c r="B21" s="12">
        <f>HLOOKUP(B$2,EIOPA_Spot_Rates,EIOPA_RFR!$A30,FALSE)</f>
        <v>1.1769999999999999E-2</v>
      </c>
      <c r="C21" s="12">
        <f>HLOOKUP(C$2,EIOPA_Spot_Rates,EIOPA_RFR!$A30,FALSE)</f>
        <v>1.124E-2</v>
      </c>
      <c r="D21" s="12">
        <f>HLOOKUP(D$2,EIOPA_Spot_Rates,EIOPA_RFR!$A30,FALSE)</f>
        <v>3.2980000000000002E-2</v>
      </c>
      <c r="E21" s="12">
        <f>HLOOKUP(E$2,EIOPA_Spot_Rates,EIOPA_RFR!$A30,FALSE)</f>
        <v>1.5169999999999999E-2</v>
      </c>
      <c r="F21" s="12">
        <f>HLOOKUP(F$2,EIOPA_Spot_Rates,EIOPA_RFR!$A30,FALSE)</f>
        <v>1.166E-2</v>
      </c>
      <c r="G21" s="12">
        <f>HLOOKUP(G$2,EIOPA_Spot_Rates,EIOPA_RFR!$A30,FALSE)</f>
        <v>4.088E-2</v>
      </c>
      <c r="H21" s="12">
        <f>HLOOKUP(H$2,EIOPA_Spot_Rates,EIOPA_RFR!$A30,FALSE)</f>
        <v>4.6629999999999998E-2</v>
      </c>
      <c r="I21" s="12">
        <f>HLOOKUP(I$2,EIOPA_Spot_Rates,EIOPA_RFR!$A30,FALSE)</f>
        <v>3.8400000000000001E-3</v>
      </c>
      <c r="J21" s="12">
        <f>HLOOKUP(J$2,EIOPA_Spot_Rates,EIOPA_RFR!$A30,FALSE)</f>
        <v>2.3859999999999999E-2</v>
      </c>
      <c r="K21" s="12">
        <f>HLOOKUP(K$2,EIOPA_Spot_Rates,EIOPA_RFR!$A30,FALSE)</f>
        <v>3.8210000000000001E-2</v>
      </c>
      <c r="L21" s="12">
        <f>HLOOKUP(L$2,EIOPA_Spot_Rates,EIOPA_RFR!$A30,FALSE)</f>
        <v>4.3270000000000003E-2</v>
      </c>
      <c r="M21" s="12">
        <f>HLOOKUP(M$2,EIOPA_Spot_Rates,EIOPA_RFR!$A30,FALSE)</f>
        <v>6.9180000000000005E-2</v>
      </c>
      <c r="N21" s="12">
        <f>HLOOKUP(N$2,EIOPA_Spot_Rates,EIOPA_RFR!$A30,FALSE)</f>
        <v>2.24E-2</v>
      </c>
      <c r="O21" s="12">
        <f>HLOOKUP(O$2,EIOPA_Spot_Rates,EIOPA_RFR!$A30,FALSE)</f>
        <v>1.294E-2</v>
      </c>
      <c r="P21" s="12">
        <f>HLOOKUP(P$2,EIOPA_Spot_Rates,EIOPA_RFR!$A30,FALSE)</f>
        <v>3.1960000000000002E-2</v>
      </c>
      <c r="Q21" s="12">
        <f>HLOOKUP(Q$2,EIOPA_Spot_Rates,EIOPA_RFR!$A30,FALSE)</f>
        <v>8.7970000000000007E-2</v>
      </c>
      <c r="R21" s="12">
        <f>HLOOKUP(R$2,EIOPA_Spot_Rates,EIOPA_RFR!$A30,FALSE)</f>
        <v>2.2370000000000001E-2</v>
      </c>
      <c r="S21" s="12">
        <f>HLOOKUP(S$2,EIOPA_Spot_Rates,EIOPA_RFR!$A30,FALSE)</f>
        <v>4.1930000000000002E-2</v>
      </c>
      <c r="T21" s="12">
        <f>HLOOKUP(T$2,EIOPA_Spot_Rates,EIOPA_RFR!$A30,FALSE)</f>
        <v>4.4179999999999997E-2</v>
      </c>
      <c r="U21" s="12">
        <f>HLOOKUP(U$2,EIOPA_Spot_Rates,EIOPA_RFR!$A30,FALSE)</f>
        <v>6.1539999999999997E-2</v>
      </c>
      <c r="V21" s="12">
        <f>HLOOKUP(V$2,EIOPA_Spot_Rates,EIOPA_RFR!$A30,FALSE)</f>
        <v>2.5389999999999999E-2</v>
      </c>
      <c r="W21" s="12">
        <f>HLOOKUP(W$2,EIOPA_Spot_Rates,EIOPA_RFR!$A30,FALSE)</f>
        <v>6.7780000000000007E-2</v>
      </c>
      <c r="X21" s="12">
        <f>HLOOKUP(X$2,EIOPA_Spot_Rates,EIOPA_RFR!$A30,FALSE)</f>
        <v>5.2599999999999999E-3</v>
      </c>
      <c r="Y21" s="12">
        <f>HLOOKUP(Y$2,EIOPA_Spot_Rates,EIOPA_RFR!$A30,FALSE)</f>
        <v>4.3270000000000003E-2</v>
      </c>
      <c r="Z21" s="12">
        <f>HLOOKUP(Z$2,EIOPA_Spot_Rates,EIOPA_RFR!$A30,FALSE)</f>
        <v>7.8909999999999994E-2</v>
      </c>
      <c r="AA21" s="12">
        <f>HLOOKUP(AA$2,EIOPA_Spot_Rates,EIOPA_RFR!$A30,FALSE)</f>
        <v>3.8710000000000001E-2</v>
      </c>
      <c r="AB21" s="12">
        <f>HLOOKUP(AB$2,EIOPA_Spot_Rates,EIOPA_RFR!$A30,FALSE)</f>
        <v>2.6429999999999999E-2</v>
      </c>
      <c r="AC21" s="12">
        <f>HLOOKUP(AC$2,EIOPA_Spot_Rates,EIOPA_RFR!$A30,FALSE)</f>
        <v>8.337E-2</v>
      </c>
      <c r="AD21" s="12">
        <f>HLOOKUP(AD$2,EIOPA_Spot_Rates,EIOPA_RFR!$A30,FALSE)</f>
        <v>1.8149999999999999E-2</v>
      </c>
      <c r="AE21" s="12">
        <f>HLOOKUP(AE$2,EIOPA_Spot_Rates,EIOPA_RFR!$A30,FALSE)</f>
        <v>1.7770000000000001E-2</v>
      </c>
      <c r="AF21" s="12">
        <f>HLOOKUP(AF$2,EIOPA_Spot_Rates,EIOPA_RFR!$A30,FALSE)</f>
        <v>2.92E-2</v>
      </c>
      <c r="AG21" s="12">
        <f>HLOOKUP(AG$2,EIOPA_Spot_Rates,EIOPA_RFR!$A30,FALSE)</f>
        <v>9.3420000000000003E-2</v>
      </c>
      <c r="AH21" s="12">
        <f>HLOOKUP(AH$2,EIOPA_Spot_Rates,EIOPA_RFR!$A30,FALSE)</f>
        <v>2.495E-2</v>
      </c>
      <c r="AI21" s="127">
        <f t="shared" si="0"/>
        <v>1.294E-2</v>
      </c>
      <c r="AJ21" s="16">
        <v>18</v>
      </c>
      <c r="AK21" s="12">
        <f>HLOOKUP(AK$2,Interest_Rate_Stresses_Setup!$C$6:$BC$47,Interest_Rate_Stresses_Setup!$A25,FALSE)</f>
        <v>2.1769999999999998E-2</v>
      </c>
      <c r="AL21" s="12">
        <f>HLOOKUP(AL$2,Interest_Rate_Stresses_Setup!$C$6:$BC$47,Interest_Rate_Stresses_Setup!$A25,FALSE)</f>
        <v>2.1240000000000002E-2</v>
      </c>
      <c r="AM21" s="12">
        <f>HLOOKUP(AM$2,Interest_Rate_Stresses_Setup!$C$6:$BC$47,Interest_Rate_Stresses_Setup!$A25,FALSE)</f>
        <v>4.2980000000000004E-2</v>
      </c>
      <c r="AN21" s="12">
        <f>HLOOKUP(AN$2,Interest_Rate_Stresses_Setup!$C$6:$BC$47,Interest_Rate_Stresses_Setup!$A25,FALSE)</f>
        <v>2.5169999999999998E-2</v>
      </c>
      <c r="AO21" s="12">
        <f>HLOOKUP(AO$2,Interest_Rate_Stresses_Setup!$C$6:$BC$47,Interest_Rate_Stresses_Setup!$A25,FALSE)</f>
        <v>2.1659999999999999E-2</v>
      </c>
      <c r="AP21" s="12">
        <f>HLOOKUP(AP$2,Interest_Rate_Stresses_Setup!$C$6:$BC$47,Interest_Rate_Stresses_Setup!$A25,FALSE)</f>
        <v>5.0880000000000002E-2</v>
      </c>
      <c r="AQ21" s="12">
        <f>HLOOKUP(AQ$2,Interest_Rate_Stresses_Setup!$C$6:$BC$47,Interest_Rate_Stresses_Setup!$A25,FALSE)</f>
        <v>5.663E-2</v>
      </c>
      <c r="AR21" s="12">
        <f>HLOOKUP(AR$2,Interest_Rate_Stresses_Setup!$C$6:$BC$47,Interest_Rate_Stresses_Setup!$A25,FALSE)</f>
        <v>1.384E-2</v>
      </c>
      <c r="AS21" s="12">
        <f>HLOOKUP(AS$2,Interest_Rate_Stresses_Setup!$C$6:$BC$47,Interest_Rate_Stresses_Setup!$A25,FALSE)</f>
        <v>3.3860000000000001E-2</v>
      </c>
      <c r="AT21" s="12">
        <f>HLOOKUP(AT$2,Interest_Rate_Stresses_Setup!$C$6:$BC$47,Interest_Rate_Stresses_Setup!$A25,FALSE)</f>
        <v>4.8210000000000003E-2</v>
      </c>
      <c r="AU21" s="12">
        <f>HLOOKUP(AU$2,Interest_Rate_Stresses_Setup!$C$6:$BC$47,Interest_Rate_Stresses_Setup!$A25,FALSE)</f>
        <v>5.3270000000000005E-2</v>
      </c>
      <c r="AV21" s="12">
        <f>HLOOKUP(AV$2,Interest_Rate_Stresses_Setup!$C$6:$BC$47,Interest_Rate_Stresses_Setup!$A25,FALSE)</f>
        <v>7.918E-2</v>
      </c>
      <c r="AW21" s="12">
        <f>HLOOKUP(AW$2,Interest_Rate_Stresses_Setup!$C$6:$BC$47,Interest_Rate_Stresses_Setup!$A25,FALSE)</f>
        <v>3.2399999999999998E-2</v>
      </c>
      <c r="AX21" s="12">
        <f>HLOOKUP(AX$2,Interest_Rate_Stresses_Setup!$C$6:$BC$47,Interest_Rate_Stresses_Setup!$A25,FALSE)</f>
        <v>2.2940000000000002E-2</v>
      </c>
      <c r="AY21" s="12">
        <f>HLOOKUP(AY$2,Interest_Rate_Stresses_Setup!$C$6:$BC$47,Interest_Rate_Stresses_Setup!$A25,FALSE)</f>
        <v>4.1960000000000004E-2</v>
      </c>
      <c r="AZ21" s="12">
        <f>HLOOKUP(AZ$2,Interest_Rate_Stresses_Setup!$C$6:$BC$47,Interest_Rate_Stresses_Setup!$A25,FALSE)</f>
        <v>9.7970000000000002E-2</v>
      </c>
      <c r="BA21" s="12">
        <f>HLOOKUP(BA$2,Interest_Rate_Stresses_Setup!$C$6:$BC$47,Interest_Rate_Stresses_Setup!$A25,FALSE)</f>
        <v>3.2370000000000003E-2</v>
      </c>
      <c r="BB21" s="12">
        <f>HLOOKUP(BB$2,Interest_Rate_Stresses_Setup!$C$6:$BC$47,Interest_Rate_Stresses_Setup!$A25,FALSE)</f>
        <v>5.1930000000000004E-2</v>
      </c>
      <c r="BC21" s="12">
        <f>HLOOKUP(BC$2,Interest_Rate_Stresses_Setup!$C$6:$BC$47,Interest_Rate_Stresses_Setup!$A25,FALSE)</f>
        <v>5.4179999999999999E-2</v>
      </c>
      <c r="BD21" s="12">
        <f>HLOOKUP(BD$2,Interest_Rate_Stresses_Setup!$C$6:$BC$47,Interest_Rate_Stresses_Setup!$A25,FALSE)</f>
        <v>7.1539999999999992E-2</v>
      </c>
      <c r="BE21" s="12">
        <f>HLOOKUP(BE$2,Interest_Rate_Stresses_Setup!$C$6:$BC$47,Interest_Rate_Stresses_Setup!$A25,FALSE)</f>
        <v>3.5389999999999998E-2</v>
      </c>
      <c r="BF21" s="12">
        <f>HLOOKUP(BF$2,Interest_Rate_Stresses_Setup!$C$6:$BC$47,Interest_Rate_Stresses_Setup!$A25,FALSE)</f>
        <v>7.7780000000000002E-2</v>
      </c>
      <c r="BG21" s="12">
        <f>HLOOKUP(BG$2,Interest_Rate_Stresses_Setup!$C$6:$BC$47,Interest_Rate_Stresses_Setup!$A25,FALSE)</f>
        <v>1.5259999999999999E-2</v>
      </c>
      <c r="BH21" s="12">
        <f>HLOOKUP(BH$2,Interest_Rate_Stresses_Setup!$C$6:$BC$47,Interest_Rate_Stresses_Setup!$A25,FALSE)</f>
        <v>5.3270000000000005E-2</v>
      </c>
      <c r="BI21" s="12">
        <f>HLOOKUP(BI$2,Interest_Rate_Stresses_Setup!$C$6:$BC$47,Interest_Rate_Stresses_Setup!$A25,FALSE)</f>
        <v>8.8909999999999989E-2</v>
      </c>
      <c r="BJ21" s="12">
        <f>HLOOKUP(BJ$2,Interest_Rate_Stresses_Setup!$C$6:$BC$47,Interest_Rate_Stresses_Setup!$A25,FALSE)</f>
        <v>4.8710000000000003E-2</v>
      </c>
      <c r="BK21" s="12">
        <f>HLOOKUP(BK$2,Interest_Rate_Stresses_Setup!$C$6:$BC$47,Interest_Rate_Stresses_Setup!$A25,FALSE)</f>
        <v>3.6429999999999997E-2</v>
      </c>
      <c r="BL21" s="12">
        <f>HLOOKUP(BL$2,Interest_Rate_Stresses_Setup!$C$6:$BC$47,Interest_Rate_Stresses_Setup!$A25,FALSE)</f>
        <v>9.3369999999999995E-2</v>
      </c>
      <c r="BM21" s="12">
        <f>HLOOKUP(BM$2,Interest_Rate_Stresses_Setup!$C$6:$BC$47,Interest_Rate_Stresses_Setup!$A25,FALSE)</f>
        <v>2.8150000000000001E-2</v>
      </c>
      <c r="BN21" s="12">
        <f>HLOOKUP(BN$2,Interest_Rate_Stresses_Setup!$C$6:$BC$47,Interest_Rate_Stresses_Setup!$A25,FALSE)</f>
        <v>2.7770000000000003E-2</v>
      </c>
      <c r="BO21" s="12">
        <f>HLOOKUP(BO$2,Interest_Rate_Stresses_Setup!$C$6:$BC$47,Interest_Rate_Stresses_Setup!$A25,FALSE)</f>
        <v>3.9199999999999999E-2</v>
      </c>
      <c r="BP21" s="12">
        <f>HLOOKUP(BP$2,Interest_Rate_Stresses_Setup!$C$6:$BC$47,Interest_Rate_Stresses_Setup!$A25,FALSE)</f>
        <v>0.10342</v>
      </c>
      <c r="BQ21" s="12">
        <f>HLOOKUP(BQ$2,Interest_Rate_Stresses_Setup!$C$6:$BC$47,Interest_Rate_Stresses_Setup!$A25,FALSE)</f>
        <v>3.4950000000000002E-2</v>
      </c>
      <c r="BR21" s="127">
        <f t="shared" si="1"/>
        <v>2.2940000000000002E-2</v>
      </c>
      <c r="BS21" s="16">
        <v>18</v>
      </c>
      <c r="BT21" s="12">
        <f>HLOOKUP(BT$2,Interest_Rate_Stresses_Setup!$C$50:$BC$91,Interest_Rate_Stresses_Setup!$A69,FALSE)</f>
        <v>8.4743999999999983E-3</v>
      </c>
      <c r="BU21" s="12">
        <f>HLOOKUP(BU$2,Interest_Rate_Stresses_Setup!$C$50:$BC$91,Interest_Rate_Stresses_Setup!$A69,FALSE)</f>
        <v>8.092799999999999E-3</v>
      </c>
      <c r="BV21" s="12">
        <f>HLOOKUP(BV$2,Interest_Rate_Stresses_Setup!$C$50:$BC$91,Interest_Rate_Stresses_Setup!$A69,FALSE)</f>
        <v>2.3745600000000002E-2</v>
      </c>
      <c r="BW21" s="12">
        <f>HLOOKUP(BW$2,Interest_Rate_Stresses_Setup!$C$50:$BC$91,Interest_Rate_Stresses_Setup!$A69,FALSE)</f>
        <v>1.0922399999999999E-2</v>
      </c>
      <c r="BX21" s="12">
        <f>HLOOKUP(BX$2,Interest_Rate_Stresses_Setup!$C$50:$BC$91,Interest_Rate_Stresses_Setup!$A69,FALSE)</f>
        <v>8.3952000000000002E-3</v>
      </c>
      <c r="BY21" s="12">
        <f>HLOOKUP(BY$2,Interest_Rate_Stresses_Setup!$C$50:$BC$91,Interest_Rate_Stresses_Setup!$A69,FALSE)</f>
        <v>2.9433599999999997E-2</v>
      </c>
      <c r="BZ21" s="12">
        <f>HLOOKUP(BZ$2,Interest_Rate_Stresses_Setup!$C$50:$BC$91,Interest_Rate_Stresses_Setup!$A69,FALSE)</f>
        <v>3.3573599999999995E-2</v>
      </c>
      <c r="CA21" s="12">
        <f>HLOOKUP(CA$2,Interest_Rate_Stresses_Setup!$C$50:$BC$91,Interest_Rate_Stresses_Setup!$A69,FALSE)</f>
        <v>2.7648E-3</v>
      </c>
      <c r="CB21" s="12">
        <f>HLOOKUP(CB$2,Interest_Rate_Stresses_Setup!$C$50:$BC$91,Interest_Rate_Stresses_Setup!$A69,FALSE)</f>
        <v>1.7179199999999999E-2</v>
      </c>
      <c r="CC21" s="12">
        <f>HLOOKUP(CC$2,Interest_Rate_Stresses_Setup!$C$50:$BC$91,Interest_Rate_Stresses_Setup!$A69,FALSE)</f>
        <v>2.75112E-2</v>
      </c>
      <c r="CD21" s="12">
        <f>HLOOKUP(CD$2,Interest_Rate_Stresses_Setup!$C$50:$BC$91,Interest_Rate_Stresses_Setup!$A69,FALSE)</f>
        <v>3.1154400000000002E-2</v>
      </c>
      <c r="CE21" s="12">
        <f>HLOOKUP(CE$2,Interest_Rate_Stresses_Setup!$C$50:$BC$91,Interest_Rate_Stresses_Setup!$A69,FALSE)</f>
        <v>4.9809600000000002E-2</v>
      </c>
      <c r="CF21" s="12">
        <f>HLOOKUP(CF$2,Interest_Rate_Stresses_Setup!$C$50:$BC$91,Interest_Rate_Stresses_Setup!$A69,FALSE)</f>
        <v>1.6128E-2</v>
      </c>
      <c r="CG21" s="12">
        <f>HLOOKUP(CG$2,Interest_Rate_Stresses_Setup!$C$50:$BC$91,Interest_Rate_Stresses_Setup!$A69,FALSE)</f>
        <v>9.3168000000000001E-3</v>
      </c>
      <c r="CH21" s="12">
        <f>HLOOKUP(CH$2,Interest_Rate_Stresses_Setup!$C$50:$BC$91,Interest_Rate_Stresses_Setup!$A69,FALSE)</f>
        <v>2.3011200000000002E-2</v>
      </c>
      <c r="CI21" s="12">
        <f>HLOOKUP(CI$2,Interest_Rate_Stresses_Setup!$C$50:$BC$91,Interest_Rate_Stresses_Setup!$A69,FALSE)</f>
        <v>6.3338400000000003E-2</v>
      </c>
      <c r="CJ21" s="12">
        <f>HLOOKUP(CJ$2,Interest_Rate_Stresses_Setup!$C$50:$BC$91,Interest_Rate_Stresses_Setup!$A69,FALSE)</f>
        <v>1.61064E-2</v>
      </c>
      <c r="CK21" s="12">
        <f>HLOOKUP(CK$2,Interest_Rate_Stresses_Setup!$C$50:$BC$91,Interest_Rate_Stresses_Setup!$A69,FALSE)</f>
        <v>3.01896E-2</v>
      </c>
      <c r="CL21" s="12">
        <f>HLOOKUP(CL$2,Interest_Rate_Stresses_Setup!$C$50:$BC$91,Interest_Rate_Stresses_Setup!$A69,FALSE)</f>
        <v>3.1809599999999993E-2</v>
      </c>
      <c r="CM21" s="12">
        <f>HLOOKUP(CM$2,Interest_Rate_Stresses_Setup!$C$50:$BC$91,Interest_Rate_Stresses_Setup!$A69,FALSE)</f>
        <v>4.4308799999999995E-2</v>
      </c>
      <c r="CN21" s="12">
        <f>HLOOKUP(CN$2,Interest_Rate_Stresses_Setup!$C$50:$BC$91,Interest_Rate_Stresses_Setup!$A69,FALSE)</f>
        <v>1.82808E-2</v>
      </c>
      <c r="CO21" s="12">
        <f>HLOOKUP(CO$2,Interest_Rate_Stresses_Setup!$C$50:$BC$91,Interest_Rate_Stresses_Setup!$A69,FALSE)</f>
        <v>4.8801600000000001E-2</v>
      </c>
      <c r="CP21" s="12">
        <f>HLOOKUP(CP$2,Interest_Rate_Stresses_Setup!$C$50:$BC$91,Interest_Rate_Stresses_Setup!$A69,FALSE)</f>
        <v>3.7871999999999997E-3</v>
      </c>
      <c r="CQ21" s="12">
        <f>HLOOKUP(CQ$2,Interest_Rate_Stresses_Setup!$C$50:$BC$91,Interest_Rate_Stresses_Setup!$A69,FALSE)</f>
        <v>3.1154400000000002E-2</v>
      </c>
      <c r="CR21" s="12">
        <f>HLOOKUP(CR$2,Interest_Rate_Stresses_Setup!$C$50:$BC$91,Interest_Rate_Stresses_Setup!$A69,FALSE)</f>
        <v>5.6815199999999996E-2</v>
      </c>
      <c r="CS21" s="12">
        <f>HLOOKUP(CS$2,Interest_Rate_Stresses_Setup!$C$50:$BC$91,Interest_Rate_Stresses_Setup!$A69,FALSE)</f>
        <v>2.7871199999999999E-2</v>
      </c>
      <c r="CT21" s="12">
        <f>HLOOKUP(CT$2,Interest_Rate_Stresses_Setup!$C$50:$BC$91,Interest_Rate_Stresses_Setup!$A69,FALSE)</f>
        <v>1.9029599999999997E-2</v>
      </c>
      <c r="CU21" s="12">
        <f>HLOOKUP(CU$2,Interest_Rate_Stresses_Setup!$C$50:$BC$91,Interest_Rate_Stresses_Setup!$A69,FALSE)</f>
        <v>6.0026400000000001E-2</v>
      </c>
      <c r="CV21" s="12">
        <f>HLOOKUP(CV$2,Interest_Rate_Stresses_Setup!$C$50:$BC$91,Interest_Rate_Stresses_Setup!$A69,FALSE)</f>
        <v>1.3068E-2</v>
      </c>
      <c r="CW21" s="12">
        <f>HLOOKUP(CW$2,Interest_Rate_Stresses_Setup!$C$50:$BC$91,Interest_Rate_Stresses_Setup!$A69,FALSE)</f>
        <v>1.2794400000000001E-2</v>
      </c>
      <c r="CX21" s="12">
        <f>HLOOKUP(CX$2,Interest_Rate_Stresses_Setup!$C$50:$BC$91,Interest_Rate_Stresses_Setup!$A69,FALSE)</f>
        <v>2.1024000000000001E-2</v>
      </c>
      <c r="CY21" s="12">
        <f>HLOOKUP(CY$2,Interest_Rate_Stresses_Setup!$C$50:$BC$91,Interest_Rate_Stresses_Setup!$A69,FALSE)</f>
        <v>6.72624E-2</v>
      </c>
      <c r="CZ21" s="12">
        <f>HLOOKUP(CZ$2,Interest_Rate_Stresses_Setup!$C$50:$BC$91,Interest_Rate_Stresses_Setup!$A69,FALSE)</f>
        <v>1.7964000000000001E-2</v>
      </c>
      <c r="DA21" s="127">
        <f t="shared" si="2"/>
        <v>9.3168000000000001E-3</v>
      </c>
    </row>
    <row r="22" spans="1:105" x14ac:dyDescent="0.25">
      <c r="A22" s="11">
        <v>19</v>
      </c>
      <c r="B22" s="12">
        <f>HLOOKUP(B$2,EIOPA_Spot_Rates,EIOPA_RFR!$A31,FALSE)</f>
        <v>1.2109999999999999E-2</v>
      </c>
      <c r="C22" s="12">
        <f>HLOOKUP(C$2,EIOPA_Spot_Rates,EIOPA_RFR!$A31,FALSE)</f>
        <v>1.158E-2</v>
      </c>
      <c r="D22" s="12">
        <f>HLOOKUP(D$2,EIOPA_Spot_Rates,EIOPA_RFR!$A31,FALSE)</f>
        <v>3.3300000000000003E-2</v>
      </c>
      <c r="E22" s="12">
        <f>HLOOKUP(E$2,EIOPA_Spot_Rates,EIOPA_RFR!$A31,FALSE)</f>
        <v>1.592E-2</v>
      </c>
      <c r="F22" s="12">
        <f>HLOOKUP(F$2,EIOPA_Spot_Rates,EIOPA_RFR!$A31,FALSE)</f>
        <v>1.2E-2</v>
      </c>
      <c r="G22" s="12">
        <f>HLOOKUP(G$2,EIOPA_Spot_Rates,EIOPA_RFR!$A31,FALSE)</f>
        <v>4.138E-2</v>
      </c>
      <c r="H22" s="12">
        <f>HLOOKUP(H$2,EIOPA_Spot_Rates,EIOPA_RFR!$A31,FALSE)</f>
        <v>4.6519999999999999E-2</v>
      </c>
      <c r="I22" s="12">
        <f>HLOOKUP(I$2,EIOPA_Spot_Rates,EIOPA_RFR!$A31,FALSE)</f>
        <v>4.0600000000000002E-3</v>
      </c>
      <c r="J22" s="12">
        <f>HLOOKUP(J$2,EIOPA_Spot_Rates,EIOPA_RFR!$A31,FALSE)</f>
        <v>2.4459999999999999E-2</v>
      </c>
      <c r="K22" s="12">
        <f>HLOOKUP(K$2,EIOPA_Spot_Rates,EIOPA_RFR!$A31,FALSE)</f>
        <v>3.85E-2</v>
      </c>
      <c r="L22" s="12">
        <f>HLOOKUP(L$2,EIOPA_Spot_Rates,EIOPA_RFR!$A31,FALSE)</f>
        <v>4.3450000000000003E-2</v>
      </c>
      <c r="M22" s="12">
        <f>HLOOKUP(M$2,EIOPA_Spot_Rates,EIOPA_RFR!$A31,FALSE)</f>
        <v>6.8339999999999998E-2</v>
      </c>
      <c r="N22" s="12">
        <f>HLOOKUP(N$2,EIOPA_Spot_Rates,EIOPA_RFR!$A31,FALSE)</f>
        <v>2.341E-2</v>
      </c>
      <c r="O22" s="12">
        <f>HLOOKUP(O$2,EIOPA_Spot_Rates,EIOPA_RFR!$A31,FALSE)</f>
        <v>1.3010000000000001E-2</v>
      </c>
      <c r="P22" s="12">
        <f>HLOOKUP(P$2,EIOPA_Spot_Rates,EIOPA_RFR!$A31,FALSE)</f>
        <v>3.2199999999999999E-2</v>
      </c>
      <c r="Q22" s="12">
        <f>HLOOKUP(Q$2,EIOPA_Spot_Rates,EIOPA_RFR!$A31,FALSE)</f>
        <v>8.6999999999999994E-2</v>
      </c>
      <c r="R22" s="12">
        <f>HLOOKUP(R$2,EIOPA_Spot_Rates,EIOPA_RFR!$A31,FALSE)</f>
        <v>2.2599999999999999E-2</v>
      </c>
      <c r="S22" s="12">
        <f>HLOOKUP(S$2,EIOPA_Spot_Rates,EIOPA_RFR!$A31,FALSE)</f>
        <v>4.2040000000000001E-2</v>
      </c>
      <c r="T22" s="12">
        <f>HLOOKUP(T$2,EIOPA_Spot_Rates,EIOPA_RFR!$A31,FALSE)</f>
        <v>4.4229999999999998E-2</v>
      </c>
      <c r="U22" s="12">
        <f>HLOOKUP(U$2,EIOPA_Spot_Rates,EIOPA_RFR!$A31,FALSE)</f>
        <v>6.1100000000000002E-2</v>
      </c>
      <c r="V22" s="12">
        <f>HLOOKUP(V$2,EIOPA_Spot_Rates,EIOPA_RFR!$A31,FALSE)</f>
        <v>2.5829999999999999E-2</v>
      </c>
      <c r="W22" s="12">
        <f>HLOOKUP(W$2,EIOPA_Spot_Rates,EIOPA_RFR!$A31,FALSE)</f>
        <v>6.7460000000000006E-2</v>
      </c>
      <c r="X22" s="12">
        <f>HLOOKUP(X$2,EIOPA_Spot_Rates,EIOPA_RFR!$A31,FALSE)</f>
        <v>5.6299999999999996E-3</v>
      </c>
      <c r="Y22" s="12">
        <f>HLOOKUP(Y$2,EIOPA_Spot_Rates,EIOPA_RFR!$A31,FALSE)</f>
        <v>4.3380000000000002E-2</v>
      </c>
      <c r="Z22" s="12">
        <f>HLOOKUP(Z$2,EIOPA_Spot_Rates,EIOPA_RFR!$A31,FALSE)</f>
        <v>7.9219999999999999E-2</v>
      </c>
      <c r="AA22" s="12">
        <f>HLOOKUP(AA$2,EIOPA_Spot_Rates,EIOPA_RFR!$A31,FALSE)</f>
        <v>3.9170000000000003E-2</v>
      </c>
      <c r="AB22" s="12">
        <f>HLOOKUP(AB$2,EIOPA_Spot_Rates,EIOPA_RFR!$A31,FALSE)</f>
        <v>2.6620000000000001E-2</v>
      </c>
      <c r="AC22" s="12">
        <f>HLOOKUP(AC$2,EIOPA_Spot_Rates,EIOPA_RFR!$A31,FALSE)</f>
        <v>8.2839999999999997E-2</v>
      </c>
      <c r="AD22" s="12">
        <f>HLOOKUP(AD$2,EIOPA_Spot_Rates,EIOPA_RFR!$A31,FALSE)</f>
        <v>1.821E-2</v>
      </c>
      <c r="AE22" s="12">
        <f>HLOOKUP(AE$2,EIOPA_Spot_Rates,EIOPA_RFR!$A31,FALSE)</f>
        <v>1.857E-2</v>
      </c>
      <c r="AF22" s="12">
        <f>HLOOKUP(AF$2,EIOPA_Spot_Rates,EIOPA_RFR!$A31,FALSE)</f>
        <v>2.9600000000000001E-2</v>
      </c>
      <c r="AG22" s="12">
        <f>HLOOKUP(AG$2,EIOPA_Spot_Rates,EIOPA_RFR!$A31,FALSE)</f>
        <v>9.2069999999999999E-2</v>
      </c>
      <c r="AH22" s="12">
        <f>HLOOKUP(AH$2,EIOPA_Spot_Rates,EIOPA_RFR!$A31,FALSE)</f>
        <v>2.5080000000000002E-2</v>
      </c>
      <c r="AI22" s="127">
        <f t="shared" si="0"/>
        <v>1.3010000000000001E-2</v>
      </c>
      <c r="AJ22" s="16">
        <v>19</v>
      </c>
      <c r="AK22" s="12">
        <f>HLOOKUP(AK$2,Interest_Rate_Stresses_Setup!$C$6:$BC$47,Interest_Rate_Stresses_Setup!$A26,FALSE)</f>
        <v>2.2109999999999998E-2</v>
      </c>
      <c r="AL22" s="12">
        <f>HLOOKUP(AL$2,Interest_Rate_Stresses_Setup!$C$6:$BC$47,Interest_Rate_Stresses_Setup!$A26,FALSE)</f>
        <v>2.1580000000000002E-2</v>
      </c>
      <c r="AM22" s="12">
        <f>HLOOKUP(AM$2,Interest_Rate_Stresses_Setup!$C$6:$BC$47,Interest_Rate_Stresses_Setup!$A26,FALSE)</f>
        <v>4.3300000000000005E-2</v>
      </c>
      <c r="AN22" s="12">
        <f>HLOOKUP(AN$2,Interest_Rate_Stresses_Setup!$C$6:$BC$47,Interest_Rate_Stresses_Setup!$A26,FALSE)</f>
        <v>2.5919999999999999E-2</v>
      </c>
      <c r="AO22" s="12">
        <f>HLOOKUP(AO$2,Interest_Rate_Stresses_Setup!$C$6:$BC$47,Interest_Rate_Stresses_Setup!$A26,FALSE)</f>
        <v>2.1999999999999999E-2</v>
      </c>
      <c r="AP22" s="12">
        <f>HLOOKUP(AP$2,Interest_Rate_Stresses_Setup!$C$6:$BC$47,Interest_Rate_Stresses_Setup!$A26,FALSE)</f>
        <v>5.1380000000000002E-2</v>
      </c>
      <c r="AQ22" s="12">
        <f>HLOOKUP(AQ$2,Interest_Rate_Stresses_Setup!$C$6:$BC$47,Interest_Rate_Stresses_Setup!$A26,FALSE)</f>
        <v>5.6520000000000001E-2</v>
      </c>
      <c r="AR22" s="12">
        <f>HLOOKUP(AR$2,Interest_Rate_Stresses_Setup!$C$6:$BC$47,Interest_Rate_Stresses_Setup!$A26,FALSE)</f>
        <v>1.406E-2</v>
      </c>
      <c r="AS22" s="12">
        <f>HLOOKUP(AS$2,Interest_Rate_Stresses_Setup!$C$6:$BC$47,Interest_Rate_Stresses_Setup!$A26,FALSE)</f>
        <v>3.4459999999999998E-2</v>
      </c>
      <c r="AT22" s="12">
        <f>HLOOKUP(AT$2,Interest_Rate_Stresses_Setup!$C$6:$BC$47,Interest_Rate_Stresses_Setup!$A26,FALSE)</f>
        <v>4.8500000000000001E-2</v>
      </c>
      <c r="AU22" s="12">
        <f>HLOOKUP(AU$2,Interest_Rate_Stresses_Setup!$C$6:$BC$47,Interest_Rate_Stresses_Setup!$A26,FALSE)</f>
        <v>5.3450000000000004E-2</v>
      </c>
      <c r="AV22" s="12">
        <f>HLOOKUP(AV$2,Interest_Rate_Stresses_Setup!$C$6:$BC$47,Interest_Rate_Stresses_Setup!$A26,FALSE)</f>
        <v>7.8339999999999993E-2</v>
      </c>
      <c r="AW22" s="12">
        <f>HLOOKUP(AW$2,Interest_Rate_Stresses_Setup!$C$6:$BC$47,Interest_Rate_Stresses_Setup!$A26,FALSE)</f>
        <v>3.3410000000000002E-2</v>
      </c>
      <c r="AX22" s="12">
        <f>HLOOKUP(AX$2,Interest_Rate_Stresses_Setup!$C$6:$BC$47,Interest_Rate_Stresses_Setup!$A26,FALSE)</f>
        <v>2.3010000000000003E-2</v>
      </c>
      <c r="AY22" s="12">
        <f>HLOOKUP(AY$2,Interest_Rate_Stresses_Setup!$C$6:$BC$47,Interest_Rate_Stresses_Setup!$A26,FALSE)</f>
        <v>4.2200000000000001E-2</v>
      </c>
      <c r="AZ22" s="12">
        <f>HLOOKUP(AZ$2,Interest_Rate_Stresses_Setup!$C$6:$BC$47,Interest_Rate_Stresses_Setup!$A26,FALSE)</f>
        <v>9.6999999999999989E-2</v>
      </c>
      <c r="BA22" s="12">
        <f>HLOOKUP(BA$2,Interest_Rate_Stresses_Setup!$C$6:$BC$47,Interest_Rate_Stresses_Setup!$A26,FALSE)</f>
        <v>3.2599999999999997E-2</v>
      </c>
      <c r="BB22" s="12">
        <f>HLOOKUP(BB$2,Interest_Rate_Stresses_Setup!$C$6:$BC$47,Interest_Rate_Stresses_Setup!$A26,FALSE)</f>
        <v>5.2040000000000003E-2</v>
      </c>
      <c r="BC22" s="12">
        <f>HLOOKUP(BC$2,Interest_Rate_Stresses_Setup!$C$6:$BC$47,Interest_Rate_Stresses_Setup!$A26,FALSE)</f>
        <v>5.423E-2</v>
      </c>
      <c r="BD22" s="12">
        <f>HLOOKUP(BD$2,Interest_Rate_Stresses_Setup!$C$6:$BC$47,Interest_Rate_Stresses_Setup!$A26,FALSE)</f>
        <v>7.1099999999999997E-2</v>
      </c>
      <c r="BE22" s="12">
        <f>HLOOKUP(BE$2,Interest_Rate_Stresses_Setup!$C$6:$BC$47,Interest_Rate_Stresses_Setup!$A26,FALSE)</f>
        <v>3.5830000000000001E-2</v>
      </c>
      <c r="BF22" s="12">
        <f>HLOOKUP(BF$2,Interest_Rate_Stresses_Setup!$C$6:$BC$47,Interest_Rate_Stresses_Setup!$A26,FALSE)</f>
        <v>7.7460000000000001E-2</v>
      </c>
      <c r="BG22" s="12">
        <f>HLOOKUP(BG$2,Interest_Rate_Stresses_Setup!$C$6:$BC$47,Interest_Rate_Stresses_Setup!$A26,FALSE)</f>
        <v>1.5629999999999998E-2</v>
      </c>
      <c r="BH22" s="12">
        <f>HLOOKUP(BH$2,Interest_Rate_Stresses_Setup!$C$6:$BC$47,Interest_Rate_Stresses_Setup!$A26,FALSE)</f>
        <v>5.3380000000000004E-2</v>
      </c>
      <c r="BI22" s="12">
        <f>HLOOKUP(BI$2,Interest_Rate_Stresses_Setup!$C$6:$BC$47,Interest_Rate_Stresses_Setup!$A26,FALSE)</f>
        <v>8.9219999999999994E-2</v>
      </c>
      <c r="BJ22" s="12">
        <f>HLOOKUP(BJ$2,Interest_Rate_Stresses_Setup!$C$6:$BC$47,Interest_Rate_Stresses_Setup!$A26,FALSE)</f>
        <v>4.9170000000000005E-2</v>
      </c>
      <c r="BK22" s="12">
        <f>HLOOKUP(BK$2,Interest_Rate_Stresses_Setup!$C$6:$BC$47,Interest_Rate_Stresses_Setup!$A26,FALSE)</f>
        <v>3.662E-2</v>
      </c>
      <c r="BL22" s="12">
        <f>HLOOKUP(BL$2,Interest_Rate_Stresses_Setup!$C$6:$BC$47,Interest_Rate_Stresses_Setup!$A26,FALSE)</f>
        <v>9.2839999999999992E-2</v>
      </c>
      <c r="BM22" s="12">
        <f>HLOOKUP(BM$2,Interest_Rate_Stresses_Setup!$C$6:$BC$47,Interest_Rate_Stresses_Setup!$A26,FALSE)</f>
        <v>2.8209999999999999E-2</v>
      </c>
      <c r="BN22" s="12">
        <f>HLOOKUP(BN$2,Interest_Rate_Stresses_Setup!$C$6:$BC$47,Interest_Rate_Stresses_Setup!$A26,FALSE)</f>
        <v>2.8569999999999998E-2</v>
      </c>
      <c r="BO22" s="12">
        <f>HLOOKUP(BO$2,Interest_Rate_Stresses_Setup!$C$6:$BC$47,Interest_Rate_Stresses_Setup!$A26,FALSE)</f>
        <v>3.9600000000000003E-2</v>
      </c>
      <c r="BP22" s="12">
        <f>HLOOKUP(BP$2,Interest_Rate_Stresses_Setup!$C$6:$BC$47,Interest_Rate_Stresses_Setup!$A26,FALSE)</f>
        <v>0.10206999999999999</v>
      </c>
      <c r="BQ22" s="12">
        <f>HLOOKUP(BQ$2,Interest_Rate_Stresses_Setup!$C$6:$BC$47,Interest_Rate_Stresses_Setup!$A26,FALSE)</f>
        <v>3.508E-2</v>
      </c>
      <c r="BR22" s="127">
        <f t="shared" si="1"/>
        <v>2.3010000000000003E-2</v>
      </c>
      <c r="BS22" s="16">
        <v>19</v>
      </c>
      <c r="BT22" s="12">
        <f>HLOOKUP(BT$2,Interest_Rate_Stresses_Setup!$C$50:$BC$91,Interest_Rate_Stresses_Setup!$A70,FALSE)</f>
        <v>8.5980999999999991E-3</v>
      </c>
      <c r="BU22" s="12">
        <f>HLOOKUP(BU$2,Interest_Rate_Stresses_Setup!$C$50:$BC$91,Interest_Rate_Stresses_Setup!$A70,FALSE)</f>
        <v>8.2217999999999996E-3</v>
      </c>
      <c r="BV22" s="12">
        <f>HLOOKUP(BV$2,Interest_Rate_Stresses_Setup!$C$50:$BC$91,Interest_Rate_Stresses_Setup!$A70,FALSE)</f>
        <v>2.3643000000000001E-2</v>
      </c>
      <c r="BW22" s="12">
        <f>HLOOKUP(BW$2,Interest_Rate_Stresses_Setup!$C$50:$BC$91,Interest_Rate_Stresses_Setup!$A70,FALSE)</f>
        <v>1.1303199999999999E-2</v>
      </c>
      <c r="BX22" s="12">
        <f>HLOOKUP(BX$2,Interest_Rate_Stresses_Setup!$C$50:$BC$91,Interest_Rate_Stresses_Setup!$A70,FALSE)</f>
        <v>8.5199999999999998E-3</v>
      </c>
      <c r="BY22" s="12">
        <f>HLOOKUP(BY$2,Interest_Rate_Stresses_Setup!$C$50:$BC$91,Interest_Rate_Stresses_Setup!$A70,FALSE)</f>
        <v>2.9379799999999998E-2</v>
      </c>
      <c r="BZ22" s="12">
        <f>HLOOKUP(BZ$2,Interest_Rate_Stresses_Setup!$C$50:$BC$91,Interest_Rate_Stresses_Setup!$A70,FALSE)</f>
        <v>3.3029199999999995E-2</v>
      </c>
      <c r="CA22" s="12">
        <f>HLOOKUP(CA$2,Interest_Rate_Stresses_Setup!$C$50:$BC$91,Interest_Rate_Stresses_Setup!$A70,FALSE)</f>
        <v>2.8825999999999999E-3</v>
      </c>
      <c r="CB22" s="12">
        <f>HLOOKUP(CB$2,Interest_Rate_Stresses_Setup!$C$50:$BC$91,Interest_Rate_Stresses_Setup!$A70,FALSE)</f>
        <v>1.7366599999999999E-2</v>
      </c>
      <c r="CC22" s="12">
        <f>HLOOKUP(CC$2,Interest_Rate_Stresses_Setup!$C$50:$BC$91,Interest_Rate_Stresses_Setup!$A70,FALSE)</f>
        <v>2.7334999999999998E-2</v>
      </c>
      <c r="CD22" s="12">
        <f>HLOOKUP(CD$2,Interest_Rate_Stresses_Setup!$C$50:$BC$91,Interest_Rate_Stresses_Setup!$A70,FALSE)</f>
        <v>3.0849500000000002E-2</v>
      </c>
      <c r="CE22" s="12">
        <f>HLOOKUP(CE$2,Interest_Rate_Stresses_Setup!$C$50:$BC$91,Interest_Rate_Stresses_Setup!$A70,FALSE)</f>
        <v>4.8521399999999999E-2</v>
      </c>
      <c r="CF22" s="12">
        <f>HLOOKUP(CF$2,Interest_Rate_Stresses_Setup!$C$50:$BC$91,Interest_Rate_Stresses_Setup!$A70,FALSE)</f>
        <v>1.66211E-2</v>
      </c>
      <c r="CG22" s="12">
        <f>HLOOKUP(CG$2,Interest_Rate_Stresses_Setup!$C$50:$BC$91,Interest_Rate_Stresses_Setup!$A70,FALSE)</f>
        <v>9.2370999999999998E-3</v>
      </c>
      <c r="CH22" s="12">
        <f>HLOOKUP(CH$2,Interest_Rate_Stresses_Setup!$C$50:$BC$91,Interest_Rate_Stresses_Setup!$A70,FALSE)</f>
        <v>2.2861999999999997E-2</v>
      </c>
      <c r="CI22" s="12">
        <f>HLOOKUP(CI$2,Interest_Rate_Stresses_Setup!$C$50:$BC$91,Interest_Rate_Stresses_Setup!$A70,FALSE)</f>
        <v>6.1769999999999992E-2</v>
      </c>
      <c r="CJ22" s="12">
        <f>HLOOKUP(CJ$2,Interest_Rate_Stresses_Setup!$C$50:$BC$91,Interest_Rate_Stresses_Setup!$A70,FALSE)</f>
        <v>1.6045999999999998E-2</v>
      </c>
      <c r="CK22" s="12">
        <f>HLOOKUP(CK$2,Interest_Rate_Stresses_Setup!$C$50:$BC$91,Interest_Rate_Stresses_Setup!$A70,FALSE)</f>
        <v>2.9848400000000001E-2</v>
      </c>
      <c r="CL22" s="12">
        <f>HLOOKUP(CL$2,Interest_Rate_Stresses_Setup!$C$50:$BC$91,Interest_Rate_Stresses_Setup!$A70,FALSE)</f>
        <v>3.1403299999999995E-2</v>
      </c>
      <c r="CM22" s="12">
        <f>HLOOKUP(CM$2,Interest_Rate_Stresses_Setup!$C$50:$BC$91,Interest_Rate_Stresses_Setup!$A70,FALSE)</f>
        <v>4.3380999999999996E-2</v>
      </c>
      <c r="CN22" s="12">
        <f>HLOOKUP(CN$2,Interest_Rate_Stresses_Setup!$C$50:$BC$91,Interest_Rate_Stresses_Setup!$A70,FALSE)</f>
        <v>1.8339299999999999E-2</v>
      </c>
      <c r="CO22" s="12">
        <f>HLOOKUP(CO$2,Interest_Rate_Stresses_Setup!$C$50:$BC$91,Interest_Rate_Stresses_Setup!$A70,FALSE)</f>
        <v>4.7896600000000004E-2</v>
      </c>
      <c r="CP22" s="12">
        <f>HLOOKUP(CP$2,Interest_Rate_Stresses_Setup!$C$50:$BC$91,Interest_Rate_Stresses_Setup!$A70,FALSE)</f>
        <v>3.9972999999999996E-3</v>
      </c>
      <c r="CQ22" s="12">
        <f>HLOOKUP(CQ$2,Interest_Rate_Stresses_Setup!$C$50:$BC$91,Interest_Rate_Stresses_Setup!$A70,FALSE)</f>
        <v>3.0799799999999999E-2</v>
      </c>
      <c r="CR22" s="12">
        <f>HLOOKUP(CR$2,Interest_Rate_Stresses_Setup!$C$50:$BC$91,Interest_Rate_Stresses_Setup!$A70,FALSE)</f>
        <v>5.6246199999999996E-2</v>
      </c>
      <c r="CS22" s="12">
        <f>HLOOKUP(CS$2,Interest_Rate_Stresses_Setup!$C$50:$BC$91,Interest_Rate_Stresses_Setup!$A70,FALSE)</f>
        <v>2.7810700000000001E-2</v>
      </c>
      <c r="CT22" s="12">
        <f>HLOOKUP(CT$2,Interest_Rate_Stresses_Setup!$C$50:$BC$91,Interest_Rate_Stresses_Setup!$A70,FALSE)</f>
        <v>1.8900199999999999E-2</v>
      </c>
      <c r="CU22" s="12">
        <f>HLOOKUP(CU$2,Interest_Rate_Stresses_Setup!$C$50:$BC$91,Interest_Rate_Stresses_Setup!$A70,FALSE)</f>
        <v>5.8816399999999998E-2</v>
      </c>
      <c r="CV22" s="12">
        <f>HLOOKUP(CV$2,Interest_Rate_Stresses_Setup!$C$50:$BC$91,Interest_Rate_Stresses_Setup!$A70,FALSE)</f>
        <v>1.2929099999999999E-2</v>
      </c>
      <c r="CW22" s="12">
        <f>HLOOKUP(CW$2,Interest_Rate_Stresses_Setup!$C$50:$BC$91,Interest_Rate_Stresses_Setup!$A70,FALSE)</f>
        <v>1.3184699999999999E-2</v>
      </c>
      <c r="CX22" s="12">
        <f>HLOOKUP(CX$2,Interest_Rate_Stresses_Setup!$C$50:$BC$91,Interest_Rate_Stresses_Setup!$A70,FALSE)</f>
        <v>2.1016E-2</v>
      </c>
      <c r="CY22" s="12">
        <f>HLOOKUP(CY$2,Interest_Rate_Stresses_Setup!$C$50:$BC$91,Interest_Rate_Stresses_Setup!$A70,FALSE)</f>
        <v>6.5369700000000003E-2</v>
      </c>
      <c r="CZ22" s="12">
        <f>HLOOKUP(CZ$2,Interest_Rate_Stresses_Setup!$C$50:$BC$91,Interest_Rate_Stresses_Setup!$A70,FALSE)</f>
        <v>1.7806800000000001E-2</v>
      </c>
      <c r="DA22" s="127">
        <f t="shared" si="2"/>
        <v>9.2370999999999998E-3</v>
      </c>
    </row>
    <row r="23" spans="1:105" x14ac:dyDescent="0.25">
      <c r="A23" s="11">
        <v>20</v>
      </c>
      <c r="B23" s="12">
        <f>HLOOKUP(B$2,EIOPA_Spot_Rates,EIOPA_RFR!$A32,FALSE)</f>
        <v>1.252E-2</v>
      </c>
      <c r="C23" s="12">
        <f>HLOOKUP(C$2,EIOPA_Spot_Rates,EIOPA_RFR!$A32,FALSE)</f>
        <v>1.2E-2</v>
      </c>
      <c r="D23" s="12">
        <f>HLOOKUP(D$2,EIOPA_Spot_Rates,EIOPA_RFR!$A32,FALSE)</f>
        <v>3.3610000000000001E-2</v>
      </c>
      <c r="E23" s="12">
        <f>HLOOKUP(E$2,EIOPA_Spot_Rates,EIOPA_RFR!$A32,FALSE)</f>
        <v>1.6660000000000001E-2</v>
      </c>
      <c r="F23" s="12">
        <f>HLOOKUP(F$2,EIOPA_Spot_Rates,EIOPA_RFR!$A32,FALSE)</f>
        <v>1.242E-2</v>
      </c>
      <c r="G23" s="12">
        <f>HLOOKUP(G$2,EIOPA_Spot_Rates,EIOPA_RFR!$A32,FALSE)</f>
        <v>4.1790000000000001E-2</v>
      </c>
      <c r="H23" s="12">
        <f>HLOOKUP(H$2,EIOPA_Spot_Rates,EIOPA_RFR!$A32,FALSE)</f>
        <v>4.641E-2</v>
      </c>
      <c r="I23" s="12">
        <f>HLOOKUP(I$2,EIOPA_Spot_Rates,EIOPA_RFR!$A32,FALSE)</f>
        <v>4.2100000000000002E-3</v>
      </c>
      <c r="J23" s="12">
        <f>HLOOKUP(J$2,EIOPA_Spot_Rates,EIOPA_RFR!$A32,FALSE)</f>
        <v>2.503E-2</v>
      </c>
      <c r="K23" s="12">
        <f>HLOOKUP(K$2,EIOPA_Spot_Rates,EIOPA_RFR!$A32,FALSE)</f>
        <v>3.875E-2</v>
      </c>
      <c r="L23" s="12">
        <f>HLOOKUP(L$2,EIOPA_Spot_Rates,EIOPA_RFR!$A32,FALSE)</f>
        <v>4.3580000000000001E-2</v>
      </c>
      <c r="M23" s="12">
        <f>HLOOKUP(M$2,EIOPA_Spot_Rates,EIOPA_RFR!$A32,FALSE)</f>
        <v>6.7519999999999997E-2</v>
      </c>
      <c r="N23" s="12">
        <f>HLOOKUP(N$2,EIOPA_Spot_Rates,EIOPA_RFR!$A32,FALSE)</f>
        <v>2.4330000000000001E-2</v>
      </c>
      <c r="O23" s="12">
        <f>HLOOKUP(O$2,EIOPA_Spot_Rates,EIOPA_RFR!$A32,FALSE)</f>
        <v>1.299E-2</v>
      </c>
      <c r="P23" s="12">
        <f>HLOOKUP(P$2,EIOPA_Spot_Rates,EIOPA_RFR!$A32,FALSE)</f>
        <v>3.243E-2</v>
      </c>
      <c r="Q23" s="12">
        <f>HLOOKUP(Q$2,EIOPA_Spot_Rates,EIOPA_RFR!$A32,FALSE)</f>
        <v>8.6019999999999999E-2</v>
      </c>
      <c r="R23" s="12">
        <f>HLOOKUP(R$2,EIOPA_Spot_Rates,EIOPA_RFR!$A32,FALSE)</f>
        <v>2.2710000000000001E-2</v>
      </c>
      <c r="S23" s="12">
        <f>HLOOKUP(S$2,EIOPA_Spot_Rates,EIOPA_RFR!$A32,FALSE)</f>
        <v>4.2139999999999997E-2</v>
      </c>
      <c r="T23" s="12">
        <f>HLOOKUP(T$2,EIOPA_Spot_Rates,EIOPA_RFR!$A32,FALSE)</f>
        <v>4.4269999999999997E-2</v>
      </c>
      <c r="U23" s="12">
        <f>HLOOKUP(U$2,EIOPA_Spot_Rates,EIOPA_RFR!$A32,FALSE)</f>
        <v>6.0650000000000003E-2</v>
      </c>
      <c r="V23" s="12">
        <f>HLOOKUP(V$2,EIOPA_Spot_Rates,EIOPA_RFR!$A32,FALSE)</f>
        <v>2.6270000000000002E-2</v>
      </c>
      <c r="W23" s="12">
        <f>HLOOKUP(W$2,EIOPA_Spot_Rates,EIOPA_RFR!$A32,FALSE)</f>
        <v>6.7119999999999999E-2</v>
      </c>
      <c r="X23" s="12">
        <f>HLOOKUP(X$2,EIOPA_Spot_Rates,EIOPA_RFR!$A32,FALSE)</f>
        <v>5.9699999999999996E-3</v>
      </c>
      <c r="Y23" s="12">
        <f>HLOOKUP(Y$2,EIOPA_Spot_Rates,EIOPA_RFR!$A32,FALSE)</f>
        <v>4.3450000000000003E-2</v>
      </c>
      <c r="Z23" s="12">
        <f>HLOOKUP(Z$2,EIOPA_Spot_Rates,EIOPA_RFR!$A32,FALSE)</f>
        <v>7.9380000000000006E-2</v>
      </c>
      <c r="AA23" s="12">
        <f>HLOOKUP(AA$2,EIOPA_Spot_Rates,EIOPA_RFR!$A32,FALSE)</f>
        <v>3.9579999999999997E-2</v>
      </c>
      <c r="AB23" s="12">
        <f>HLOOKUP(AB$2,EIOPA_Spot_Rates,EIOPA_RFR!$A32,FALSE)</f>
        <v>2.6839999999999999E-2</v>
      </c>
      <c r="AC23" s="12">
        <f>HLOOKUP(AC$2,EIOPA_Spot_Rates,EIOPA_RFR!$A32,FALSE)</f>
        <v>8.2239999999999994E-2</v>
      </c>
      <c r="AD23" s="12">
        <f>HLOOKUP(AD$2,EIOPA_Spot_Rates,EIOPA_RFR!$A32,FALSE)</f>
        <v>1.8370000000000001E-2</v>
      </c>
      <c r="AE23" s="12">
        <f>HLOOKUP(AE$2,EIOPA_Spot_Rates,EIOPA_RFR!$A32,FALSE)</f>
        <v>1.934E-2</v>
      </c>
      <c r="AF23" s="12">
        <f>HLOOKUP(AF$2,EIOPA_Spot_Rates,EIOPA_RFR!$A32,FALSE)</f>
        <v>2.998E-2</v>
      </c>
      <c r="AG23" s="12">
        <f>HLOOKUP(AG$2,EIOPA_Spot_Rates,EIOPA_RFR!$A32,FALSE)</f>
        <v>9.078E-2</v>
      </c>
      <c r="AH23" s="12">
        <f>HLOOKUP(AH$2,EIOPA_Spot_Rates,EIOPA_RFR!$A32,FALSE)</f>
        <v>2.5190000000000001E-2</v>
      </c>
      <c r="AI23" s="127">
        <f t="shared" si="0"/>
        <v>1.299E-2</v>
      </c>
      <c r="AJ23" s="16">
        <v>20</v>
      </c>
      <c r="AK23" s="12">
        <f>HLOOKUP(AK$2,Interest_Rate_Stresses_Setup!$C$6:$BC$47,Interest_Rate_Stresses_Setup!$A27,FALSE)</f>
        <v>2.2519999999999998E-2</v>
      </c>
      <c r="AL23" s="12">
        <f>HLOOKUP(AL$2,Interest_Rate_Stresses_Setup!$C$6:$BC$47,Interest_Rate_Stresses_Setup!$A27,FALSE)</f>
        <v>2.1999999999999999E-2</v>
      </c>
      <c r="AM23" s="12">
        <f>HLOOKUP(AM$2,Interest_Rate_Stresses_Setup!$C$6:$BC$47,Interest_Rate_Stresses_Setup!$A27,FALSE)</f>
        <v>4.3610000000000003E-2</v>
      </c>
      <c r="AN23" s="12">
        <f>HLOOKUP(AN$2,Interest_Rate_Stresses_Setup!$C$6:$BC$47,Interest_Rate_Stresses_Setup!$A27,FALSE)</f>
        <v>2.6660000000000003E-2</v>
      </c>
      <c r="AO23" s="12">
        <f>HLOOKUP(AO$2,Interest_Rate_Stresses_Setup!$C$6:$BC$47,Interest_Rate_Stresses_Setup!$A27,FALSE)</f>
        <v>2.2420000000000002E-2</v>
      </c>
      <c r="AP23" s="12">
        <f>HLOOKUP(AP$2,Interest_Rate_Stresses_Setup!$C$6:$BC$47,Interest_Rate_Stresses_Setup!$A27,FALSE)</f>
        <v>5.1790000000000003E-2</v>
      </c>
      <c r="AQ23" s="12">
        <f>HLOOKUP(AQ$2,Interest_Rate_Stresses_Setup!$C$6:$BC$47,Interest_Rate_Stresses_Setup!$A27,FALSE)</f>
        <v>5.6410000000000002E-2</v>
      </c>
      <c r="AR23" s="12">
        <f>HLOOKUP(AR$2,Interest_Rate_Stresses_Setup!$C$6:$BC$47,Interest_Rate_Stresses_Setup!$A27,FALSE)</f>
        <v>1.421E-2</v>
      </c>
      <c r="AS23" s="12">
        <f>HLOOKUP(AS$2,Interest_Rate_Stresses_Setup!$C$6:$BC$47,Interest_Rate_Stresses_Setup!$A27,FALSE)</f>
        <v>3.5029999999999999E-2</v>
      </c>
      <c r="AT23" s="12">
        <f>HLOOKUP(AT$2,Interest_Rate_Stresses_Setup!$C$6:$BC$47,Interest_Rate_Stresses_Setup!$A27,FALSE)</f>
        <v>4.8750000000000002E-2</v>
      </c>
      <c r="AU23" s="12">
        <f>HLOOKUP(AU$2,Interest_Rate_Stresses_Setup!$C$6:$BC$47,Interest_Rate_Stresses_Setup!$A27,FALSE)</f>
        <v>5.3580000000000003E-2</v>
      </c>
      <c r="AV23" s="12">
        <f>HLOOKUP(AV$2,Interest_Rate_Stresses_Setup!$C$6:$BC$47,Interest_Rate_Stresses_Setup!$A27,FALSE)</f>
        <v>7.7519999999999992E-2</v>
      </c>
      <c r="AW23" s="12">
        <f>HLOOKUP(AW$2,Interest_Rate_Stresses_Setup!$C$6:$BC$47,Interest_Rate_Stresses_Setup!$A27,FALSE)</f>
        <v>3.4329999999999999E-2</v>
      </c>
      <c r="AX23" s="12">
        <f>HLOOKUP(AX$2,Interest_Rate_Stresses_Setup!$C$6:$BC$47,Interest_Rate_Stresses_Setup!$A27,FALSE)</f>
        <v>2.299E-2</v>
      </c>
      <c r="AY23" s="12">
        <f>HLOOKUP(AY$2,Interest_Rate_Stresses_Setup!$C$6:$BC$47,Interest_Rate_Stresses_Setup!$A27,FALSE)</f>
        <v>4.2430000000000002E-2</v>
      </c>
      <c r="AZ23" s="12">
        <f>HLOOKUP(AZ$2,Interest_Rate_Stresses_Setup!$C$6:$BC$47,Interest_Rate_Stresses_Setup!$A27,FALSE)</f>
        <v>9.6019999999999994E-2</v>
      </c>
      <c r="BA23" s="12">
        <f>HLOOKUP(BA$2,Interest_Rate_Stresses_Setup!$C$6:$BC$47,Interest_Rate_Stresses_Setup!$A27,FALSE)</f>
        <v>3.2710000000000003E-2</v>
      </c>
      <c r="BB23" s="12">
        <f>HLOOKUP(BB$2,Interest_Rate_Stresses_Setup!$C$6:$BC$47,Interest_Rate_Stresses_Setup!$A27,FALSE)</f>
        <v>5.2139999999999999E-2</v>
      </c>
      <c r="BC23" s="12">
        <f>HLOOKUP(BC$2,Interest_Rate_Stresses_Setup!$C$6:$BC$47,Interest_Rate_Stresses_Setup!$A27,FALSE)</f>
        <v>5.4269999999999999E-2</v>
      </c>
      <c r="BD23" s="12">
        <f>HLOOKUP(BD$2,Interest_Rate_Stresses_Setup!$C$6:$BC$47,Interest_Rate_Stresses_Setup!$A27,FALSE)</f>
        <v>7.0650000000000004E-2</v>
      </c>
      <c r="BE23" s="12">
        <f>HLOOKUP(BE$2,Interest_Rate_Stresses_Setup!$C$6:$BC$47,Interest_Rate_Stresses_Setup!$A27,FALSE)</f>
        <v>3.6270000000000004E-2</v>
      </c>
      <c r="BF23" s="12">
        <f>HLOOKUP(BF$2,Interest_Rate_Stresses_Setup!$C$6:$BC$47,Interest_Rate_Stresses_Setup!$A27,FALSE)</f>
        <v>7.7119999999999994E-2</v>
      </c>
      <c r="BG23" s="12">
        <f>HLOOKUP(BG$2,Interest_Rate_Stresses_Setup!$C$6:$BC$47,Interest_Rate_Stresses_Setup!$A27,FALSE)</f>
        <v>1.5969999999999998E-2</v>
      </c>
      <c r="BH23" s="12">
        <f>HLOOKUP(BH$2,Interest_Rate_Stresses_Setup!$C$6:$BC$47,Interest_Rate_Stresses_Setup!$A27,FALSE)</f>
        <v>5.3450000000000004E-2</v>
      </c>
      <c r="BI23" s="12">
        <f>HLOOKUP(BI$2,Interest_Rate_Stresses_Setup!$C$6:$BC$47,Interest_Rate_Stresses_Setup!$A27,FALSE)</f>
        <v>8.9380000000000001E-2</v>
      </c>
      <c r="BJ23" s="12">
        <f>HLOOKUP(BJ$2,Interest_Rate_Stresses_Setup!$C$6:$BC$47,Interest_Rate_Stresses_Setup!$A27,FALSE)</f>
        <v>4.9579999999999999E-2</v>
      </c>
      <c r="BK23" s="12">
        <f>HLOOKUP(BK$2,Interest_Rate_Stresses_Setup!$C$6:$BC$47,Interest_Rate_Stresses_Setup!$A27,FALSE)</f>
        <v>3.6839999999999998E-2</v>
      </c>
      <c r="BL23" s="12">
        <f>HLOOKUP(BL$2,Interest_Rate_Stresses_Setup!$C$6:$BC$47,Interest_Rate_Stresses_Setup!$A27,FALSE)</f>
        <v>9.2239999999999989E-2</v>
      </c>
      <c r="BM23" s="12">
        <f>HLOOKUP(BM$2,Interest_Rate_Stresses_Setup!$C$6:$BC$47,Interest_Rate_Stresses_Setup!$A27,FALSE)</f>
        <v>2.8369999999999999E-2</v>
      </c>
      <c r="BN23" s="12">
        <f>HLOOKUP(BN$2,Interest_Rate_Stresses_Setup!$C$6:$BC$47,Interest_Rate_Stresses_Setup!$A27,FALSE)</f>
        <v>2.9339999999999998E-2</v>
      </c>
      <c r="BO23" s="12">
        <f>HLOOKUP(BO$2,Interest_Rate_Stresses_Setup!$C$6:$BC$47,Interest_Rate_Stresses_Setup!$A27,FALSE)</f>
        <v>3.9980000000000002E-2</v>
      </c>
      <c r="BP23" s="12">
        <f>HLOOKUP(BP$2,Interest_Rate_Stresses_Setup!$C$6:$BC$47,Interest_Rate_Stresses_Setup!$A27,FALSE)</f>
        <v>0.10077999999999999</v>
      </c>
      <c r="BQ23" s="12">
        <f>HLOOKUP(BQ$2,Interest_Rate_Stresses_Setup!$C$6:$BC$47,Interest_Rate_Stresses_Setup!$A27,FALSE)</f>
        <v>3.5189999999999999E-2</v>
      </c>
      <c r="BR23" s="127">
        <f t="shared" si="1"/>
        <v>2.299E-2</v>
      </c>
      <c r="BS23" s="16">
        <v>20</v>
      </c>
      <c r="BT23" s="12">
        <f>HLOOKUP(BT$2,Interest_Rate_Stresses_Setup!$C$50:$BC$91,Interest_Rate_Stresses_Setup!$A71,FALSE)</f>
        <v>8.8891999999999999E-3</v>
      </c>
      <c r="BU23" s="12">
        <f>HLOOKUP(BU$2,Interest_Rate_Stresses_Setup!$C$50:$BC$91,Interest_Rate_Stresses_Setup!$A71,FALSE)</f>
        <v>8.5199999999999998E-3</v>
      </c>
      <c r="BV23" s="12">
        <f>HLOOKUP(BV$2,Interest_Rate_Stresses_Setup!$C$50:$BC$91,Interest_Rate_Stresses_Setup!$A71,FALSE)</f>
        <v>2.3863099999999998E-2</v>
      </c>
      <c r="BW23" s="12">
        <f>HLOOKUP(BW$2,Interest_Rate_Stresses_Setup!$C$50:$BC$91,Interest_Rate_Stresses_Setup!$A71,FALSE)</f>
        <v>1.18286E-2</v>
      </c>
      <c r="BX23" s="12">
        <f>HLOOKUP(BX$2,Interest_Rate_Stresses_Setup!$C$50:$BC$91,Interest_Rate_Stresses_Setup!$A71,FALSE)</f>
        <v>8.8182E-3</v>
      </c>
      <c r="BY23" s="12">
        <f>HLOOKUP(BY$2,Interest_Rate_Stresses_Setup!$C$50:$BC$91,Interest_Rate_Stresses_Setup!$A71,FALSE)</f>
        <v>2.96709E-2</v>
      </c>
      <c r="BZ23" s="12">
        <f>HLOOKUP(BZ$2,Interest_Rate_Stresses_Setup!$C$50:$BC$91,Interest_Rate_Stresses_Setup!$A71,FALSE)</f>
        <v>3.2951099999999997E-2</v>
      </c>
      <c r="CA23" s="12">
        <f>HLOOKUP(CA$2,Interest_Rate_Stresses_Setup!$C$50:$BC$91,Interest_Rate_Stresses_Setup!$A71,FALSE)</f>
        <v>2.9891000000000002E-3</v>
      </c>
      <c r="CB23" s="12">
        <f>HLOOKUP(CB$2,Interest_Rate_Stresses_Setup!$C$50:$BC$91,Interest_Rate_Stresses_Setup!$A71,FALSE)</f>
        <v>1.77713E-2</v>
      </c>
      <c r="CC23" s="12">
        <f>HLOOKUP(CC$2,Interest_Rate_Stresses_Setup!$C$50:$BC$91,Interest_Rate_Stresses_Setup!$A71,FALSE)</f>
        <v>2.7512499999999999E-2</v>
      </c>
      <c r="CD23" s="12">
        <f>HLOOKUP(CD$2,Interest_Rate_Stresses_Setup!$C$50:$BC$91,Interest_Rate_Stresses_Setup!$A71,FALSE)</f>
        <v>3.0941799999999998E-2</v>
      </c>
      <c r="CE23" s="12">
        <f>HLOOKUP(CE$2,Interest_Rate_Stresses_Setup!$C$50:$BC$91,Interest_Rate_Stresses_Setup!$A71,FALSE)</f>
        <v>4.7939199999999994E-2</v>
      </c>
      <c r="CF23" s="12">
        <f>HLOOKUP(CF$2,Interest_Rate_Stresses_Setup!$C$50:$BC$91,Interest_Rate_Stresses_Setup!$A71,FALSE)</f>
        <v>1.7274299999999999E-2</v>
      </c>
      <c r="CG23" s="12">
        <f>HLOOKUP(CG$2,Interest_Rate_Stresses_Setup!$C$50:$BC$91,Interest_Rate_Stresses_Setup!$A71,FALSE)</f>
        <v>9.2228999999999992E-3</v>
      </c>
      <c r="CH23" s="12">
        <f>HLOOKUP(CH$2,Interest_Rate_Stresses_Setup!$C$50:$BC$91,Interest_Rate_Stresses_Setup!$A71,FALSE)</f>
        <v>2.3025299999999999E-2</v>
      </c>
      <c r="CI23" s="12">
        <f>HLOOKUP(CI$2,Interest_Rate_Stresses_Setup!$C$50:$BC$91,Interest_Rate_Stresses_Setup!$A71,FALSE)</f>
        <v>6.1074199999999995E-2</v>
      </c>
      <c r="CJ23" s="12">
        <f>HLOOKUP(CJ$2,Interest_Rate_Stresses_Setup!$C$50:$BC$91,Interest_Rate_Stresses_Setup!$A71,FALSE)</f>
        <v>1.6124099999999999E-2</v>
      </c>
      <c r="CK23" s="12">
        <f>HLOOKUP(CK$2,Interest_Rate_Stresses_Setup!$C$50:$BC$91,Interest_Rate_Stresses_Setup!$A71,FALSE)</f>
        <v>2.9919399999999995E-2</v>
      </c>
      <c r="CL23" s="12">
        <f>HLOOKUP(CL$2,Interest_Rate_Stresses_Setup!$C$50:$BC$91,Interest_Rate_Stresses_Setup!$A71,FALSE)</f>
        <v>3.1431699999999993E-2</v>
      </c>
      <c r="CM23" s="12">
        <f>HLOOKUP(CM$2,Interest_Rate_Stresses_Setup!$C$50:$BC$91,Interest_Rate_Stresses_Setup!$A71,FALSE)</f>
        <v>4.3061500000000003E-2</v>
      </c>
      <c r="CN23" s="12">
        <f>HLOOKUP(CN$2,Interest_Rate_Stresses_Setup!$C$50:$BC$91,Interest_Rate_Stresses_Setup!$A71,FALSE)</f>
        <v>1.86517E-2</v>
      </c>
      <c r="CO23" s="12">
        <f>HLOOKUP(CO$2,Interest_Rate_Stresses_Setup!$C$50:$BC$91,Interest_Rate_Stresses_Setup!$A71,FALSE)</f>
        <v>4.7655199999999995E-2</v>
      </c>
      <c r="CP23" s="12">
        <f>HLOOKUP(CP$2,Interest_Rate_Stresses_Setup!$C$50:$BC$91,Interest_Rate_Stresses_Setup!$A71,FALSE)</f>
        <v>4.2386999999999998E-3</v>
      </c>
      <c r="CQ23" s="12">
        <f>HLOOKUP(CQ$2,Interest_Rate_Stresses_Setup!$C$50:$BC$91,Interest_Rate_Stresses_Setup!$A71,FALSE)</f>
        <v>3.0849500000000002E-2</v>
      </c>
      <c r="CR23" s="12">
        <f>HLOOKUP(CR$2,Interest_Rate_Stresses_Setup!$C$50:$BC$91,Interest_Rate_Stresses_Setup!$A71,FALSE)</f>
        <v>5.6359800000000002E-2</v>
      </c>
      <c r="CS23" s="12">
        <f>HLOOKUP(CS$2,Interest_Rate_Stresses_Setup!$C$50:$BC$91,Interest_Rate_Stresses_Setup!$A71,FALSE)</f>
        <v>2.8101799999999996E-2</v>
      </c>
      <c r="CT23" s="12">
        <f>HLOOKUP(CT$2,Interest_Rate_Stresses_Setup!$C$50:$BC$91,Interest_Rate_Stresses_Setup!$A71,FALSE)</f>
        <v>1.9056399999999998E-2</v>
      </c>
      <c r="CU23" s="12">
        <f>HLOOKUP(CU$2,Interest_Rate_Stresses_Setup!$C$50:$BC$91,Interest_Rate_Stresses_Setup!$A71,FALSE)</f>
        <v>5.8390399999999995E-2</v>
      </c>
      <c r="CV23" s="12">
        <f>HLOOKUP(CV$2,Interest_Rate_Stresses_Setup!$C$50:$BC$91,Interest_Rate_Stresses_Setup!$A71,FALSE)</f>
        <v>1.3042700000000001E-2</v>
      </c>
      <c r="CW23" s="12">
        <f>HLOOKUP(CW$2,Interest_Rate_Stresses_Setup!$C$50:$BC$91,Interest_Rate_Stresses_Setup!$A71,FALSE)</f>
        <v>1.37314E-2</v>
      </c>
      <c r="CX23" s="12">
        <f>HLOOKUP(CX$2,Interest_Rate_Stresses_Setup!$C$50:$BC$91,Interest_Rate_Stresses_Setup!$A71,FALSE)</f>
        <v>2.1285799999999997E-2</v>
      </c>
      <c r="CY23" s="12">
        <f>HLOOKUP(CY$2,Interest_Rate_Stresses_Setup!$C$50:$BC$91,Interest_Rate_Stresses_Setup!$A71,FALSE)</f>
        <v>6.4453799999999992E-2</v>
      </c>
      <c r="CZ23" s="12">
        <f>HLOOKUP(CZ$2,Interest_Rate_Stresses_Setup!$C$50:$BC$91,Interest_Rate_Stresses_Setup!$A71,FALSE)</f>
        <v>1.7884899999999999E-2</v>
      </c>
      <c r="DA23" s="127">
        <f t="shared" si="2"/>
        <v>9.2228999999999992E-3</v>
      </c>
    </row>
    <row r="24" spans="1:105" x14ac:dyDescent="0.25">
      <c r="A24" s="11">
        <v>21</v>
      </c>
      <c r="B24" s="12">
        <f>HLOOKUP(B$2,EIOPA_Spot_Rates,EIOPA_RFR!$A33,FALSE)</f>
        <v>1.303E-2</v>
      </c>
      <c r="C24" s="12">
        <f>HLOOKUP(C$2,EIOPA_Spot_Rates,EIOPA_RFR!$A33,FALSE)</f>
        <v>1.251E-2</v>
      </c>
      <c r="D24" s="12">
        <f>HLOOKUP(D$2,EIOPA_Spot_Rates,EIOPA_RFR!$A33,FALSE)</f>
        <v>3.39E-2</v>
      </c>
      <c r="E24" s="12">
        <f>HLOOKUP(E$2,EIOPA_Spot_Rates,EIOPA_RFR!$A33,FALSE)</f>
        <v>1.7389999999999999E-2</v>
      </c>
      <c r="F24" s="12">
        <f>HLOOKUP(F$2,EIOPA_Spot_Rates,EIOPA_RFR!$A33,FALSE)</f>
        <v>1.2919999999999999E-2</v>
      </c>
      <c r="G24" s="12">
        <f>HLOOKUP(G$2,EIOPA_Spot_Rates,EIOPA_RFR!$A33,FALSE)</f>
        <v>4.2130000000000001E-2</v>
      </c>
      <c r="H24" s="12">
        <f>HLOOKUP(H$2,EIOPA_Spot_Rates,EIOPA_RFR!$A33,FALSE)</f>
        <v>4.6300000000000001E-2</v>
      </c>
      <c r="I24" s="12">
        <f>HLOOKUP(I$2,EIOPA_Spot_Rates,EIOPA_RFR!$A33,FALSE)</f>
        <v>4.3099999999999996E-3</v>
      </c>
      <c r="J24" s="12">
        <f>HLOOKUP(J$2,EIOPA_Spot_Rates,EIOPA_RFR!$A33,FALSE)</f>
        <v>2.5569999999999999E-2</v>
      </c>
      <c r="K24" s="12">
        <f>HLOOKUP(K$2,EIOPA_Spot_Rates,EIOPA_RFR!$A33,FALSE)</f>
        <v>3.8969999999999998E-2</v>
      </c>
      <c r="L24" s="12">
        <f>HLOOKUP(L$2,EIOPA_Spot_Rates,EIOPA_RFR!$A33,FALSE)</f>
        <v>4.369E-2</v>
      </c>
      <c r="M24" s="12">
        <f>HLOOKUP(M$2,EIOPA_Spot_Rates,EIOPA_RFR!$A33,FALSE)</f>
        <v>6.6729999999999998E-2</v>
      </c>
      <c r="N24" s="12">
        <f>HLOOKUP(N$2,EIOPA_Spot_Rates,EIOPA_RFR!$A33,FALSE)</f>
        <v>2.5159999999999998E-2</v>
      </c>
      <c r="O24" s="12">
        <f>HLOOKUP(O$2,EIOPA_Spot_Rates,EIOPA_RFR!$A33,FALSE)</f>
        <v>1.2959999999999999E-2</v>
      </c>
      <c r="P24" s="12">
        <f>HLOOKUP(P$2,EIOPA_Spot_Rates,EIOPA_RFR!$A33,FALSE)</f>
        <v>3.2660000000000002E-2</v>
      </c>
      <c r="Q24" s="12">
        <f>HLOOKUP(Q$2,EIOPA_Spot_Rates,EIOPA_RFR!$A33,FALSE)</f>
        <v>8.5059999999999997E-2</v>
      </c>
      <c r="R24" s="12">
        <f>HLOOKUP(R$2,EIOPA_Spot_Rates,EIOPA_RFR!$A33,FALSE)</f>
        <v>2.2710000000000001E-2</v>
      </c>
      <c r="S24" s="12">
        <f>HLOOKUP(S$2,EIOPA_Spot_Rates,EIOPA_RFR!$A33,FALSE)</f>
        <v>4.2220000000000001E-2</v>
      </c>
      <c r="T24" s="12">
        <f>HLOOKUP(T$2,EIOPA_Spot_Rates,EIOPA_RFR!$A33,FALSE)</f>
        <v>4.4290000000000003E-2</v>
      </c>
      <c r="U24" s="12">
        <f>HLOOKUP(U$2,EIOPA_Spot_Rates,EIOPA_RFR!$A33,FALSE)</f>
        <v>6.0199999999999997E-2</v>
      </c>
      <c r="V24" s="12">
        <f>HLOOKUP(V$2,EIOPA_Spot_Rates,EIOPA_RFR!$A33,FALSE)</f>
        <v>2.6700000000000002E-2</v>
      </c>
      <c r="W24" s="12">
        <f>HLOOKUP(W$2,EIOPA_Spot_Rates,EIOPA_RFR!$A33,FALSE)</f>
        <v>6.6780000000000006E-2</v>
      </c>
      <c r="X24" s="12">
        <f>HLOOKUP(X$2,EIOPA_Spot_Rates,EIOPA_RFR!$A33,FALSE)</f>
        <v>6.2700000000000004E-3</v>
      </c>
      <c r="Y24" s="12">
        <f>HLOOKUP(Y$2,EIOPA_Spot_Rates,EIOPA_RFR!$A33,FALSE)</f>
        <v>4.351E-2</v>
      </c>
      <c r="Z24" s="12">
        <f>HLOOKUP(Z$2,EIOPA_Spot_Rates,EIOPA_RFR!$A33,FALSE)</f>
        <v>7.936E-2</v>
      </c>
      <c r="AA24" s="12">
        <f>HLOOKUP(AA$2,EIOPA_Spot_Rates,EIOPA_RFR!$A33,FALSE)</f>
        <v>3.993E-2</v>
      </c>
      <c r="AB24" s="12">
        <f>HLOOKUP(AB$2,EIOPA_Spot_Rates,EIOPA_RFR!$A33,FALSE)</f>
        <v>2.7099999999999999E-2</v>
      </c>
      <c r="AC24" s="12">
        <f>HLOOKUP(AC$2,EIOPA_Spot_Rates,EIOPA_RFR!$A33,FALSE)</f>
        <v>8.1600000000000006E-2</v>
      </c>
      <c r="AD24" s="12">
        <f>HLOOKUP(AD$2,EIOPA_Spot_Rates,EIOPA_RFR!$A33,FALSE)</f>
        <v>1.865E-2</v>
      </c>
      <c r="AE24" s="12">
        <f>HLOOKUP(AE$2,EIOPA_Spot_Rates,EIOPA_RFR!$A33,FALSE)</f>
        <v>2.0070000000000001E-2</v>
      </c>
      <c r="AF24" s="12">
        <f>HLOOKUP(AF$2,EIOPA_Spot_Rates,EIOPA_RFR!$A33,FALSE)</f>
        <v>3.0349999999999999E-2</v>
      </c>
      <c r="AG24" s="12">
        <f>HLOOKUP(AG$2,EIOPA_Spot_Rates,EIOPA_RFR!$A33,FALSE)</f>
        <v>8.9529999999999998E-2</v>
      </c>
      <c r="AH24" s="12">
        <f>HLOOKUP(AH$2,EIOPA_Spot_Rates,EIOPA_RFR!$A33,FALSE)</f>
        <v>2.5260000000000001E-2</v>
      </c>
      <c r="AI24" s="127">
        <f t="shared" si="0"/>
        <v>1.2959999999999999E-2</v>
      </c>
      <c r="AJ24" s="16">
        <v>21</v>
      </c>
      <c r="AK24" s="12">
        <f>HLOOKUP(AK$2,Interest_Rate_Stresses_Setup!$C$6:$BC$47,Interest_Rate_Stresses_Setup!$A28,FALSE)</f>
        <v>2.3030000000000002E-2</v>
      </c>
      <c r="AL24" s="12">
        <f>HLOOKUP(AL$2,Interest_Rate_Stresses_Setup!$C$6:$BC$47,Interest_Rate_Stresses_Setup!$A28,FALSE)</f>
        <v>2.2510000000000002E-2</v>
      </c>
      <c r="AM24" s="12">
        <f>HLOOKUP(AM$2,Interest_Rate_Stresses_Setup!$C$6:$BC$47,Interest_Rate_Stresses_Setup!$A28,FALSE)</f>
        <v>4.3900000000000002E-2</v>
      </c>
      <c r="AN24" s="12">
        <f>HLOOKUP(AN$2,Interest_Rate_Stresses_Setup!$C$6:$BC$47,Interest_Rate_Stresses_Setup!$A28,FALSE)</f>
        <v>2.7389999999999998E-2</v>
      </c>
      <c r="AO24" s="12">
        <f>HLOOKUP(AO$2,Interest_Rate_Stresses_Setup!$C$6:$BC$47,Interest_Rate_Stresses_Setup!$A28,FALSE)</f>
        <v>2.2919999999999999E-2</v>
      </c>
      <c r="AP24" s="12">
        <f>HLOOKUP(AP$2,Interest_Rate_Stresses_Setup!$C$6:$BC$47,Interest_Rate_Stresses_Setup!$A28,FALSE)</f>
        <v>5.2130000000000003E-2</v>
      </c>
      <c r="AQ24" s="12">
        <f>HLOOKUP(AQ$2,Interest_Rate_Stresses_Setup!$C$6:$BC$47,Interest_Rate_Stresses_Setup!$A28,FALSE)</f>
        <v>5.6300000000000003E-2</v>
      </c>
      <c r="AR24" s="12">
        <f>HLOOKUP(AR$2,Interest_Rate_Stresses_Setup!$C$6:$BC$47,Interest_Rate_Stresses_Setup!$A28,FALSE)</f>
        <v>1.431E-2</v>
      </c>
      <c r="AS24" s="12">
        <f>HLOOKUP(AS$2,Interest_Rate_Stresses_Setup!$C$6:$BC$47,Interest_Rate_Stresses_Setup!$A28,FALSE)</f>
        <v>3.5569999999999997E-2</v>
      </c>
      <c r="AT24" s="12">
        <f>HLOOKUP(AT$2,Interest_Rate_Stresses_Setup!$C$6:$BC$47,Interest_Rate_Stresses_Setup!$A28,FALSE)</f>
        <v>4.897E-2</v>
      </c>
      <c r="AU24" s="12">
        <f>HLOOKUP(AU$2,Interest_Rate_Stresses_Setup!$C$6:$BC$47,Interest_Rate_Stresses_Setup!$A28,FALSE)</f>
        <v>5.3690000000000002E-2</v>
      </c>
      <c r="AV24" s="12">
        <f>HLOOKUP(AV$2,Interest_Rate_Stresses_Setup!$C$6:$BC$47,Interest_Rate_Stresses_Setup!$A28,FALSE)</f>
        <v>7.6729999999999993E-2</v>
      </c>
      <c r="AW24" s="12">
        <f>HLOOKUP(AW$2,Interest_Rate_Stresses_Setup!$C$6:$BC$47,Interest_Rate_Stresses_Setup!$A28,FALSE)</f>
        <v>3.5159999999999997E-2</v>
      </c>
      <c r="AX24" s="12">
        <f>HLOOKUP(AX$2,Interest_Rate_Stresses_Setup!$C$6:$BC$47,Interest_Rate_Stresses_Setup!$A28,FALSE)</f>
        <v>2.2960000000000001E-2</v>
      </c>
      <c r="AY24" s="12">
        <f>HLOOKUP(AY$2,Interest_Rate_Stresses_Setup!$C$6:$BC$47,Interest_Rate_Stresses_Setup!$A28,FALSE)</f>
        <v>4.2660000000000003E-2</v>
      </c>
      <c r="AZ24" s="12">
        <f>HLOOKUP(AZ$2,Interest_Rate_Stresses_Setup!$C$6:$BC$47,Interest_Rate_Stresses_Setup!$A28,FALSE)</f>
        <v>9.5059999999999992E-2</v>
      </c>
      <c r="BA24" s="12">
        <f>HLOOKUP(BA$2,Interest_Rate_Stresses_Setup!$C$6:$BC$47,Interest_Rate_Stresses_Setup!$A28,FALSE)</f>
        <v>3.2710000000000003E-2</v>
      </c>
      <c r="BB24" s="12">
        <f>HLOOKUP(BB$2,Interest_Rate_Stresses_Setup!$C$6:$BC$47,Interest_Rate_Stresses_Setup!$A28,FALSE)</f>
        <v>5.2220000000000003E-2</v>
      </c>
      <c r="BC24" s="12">
        <f>HLOOKUP(BC$2,Interest_Rate_Stresses_Setup!$C$6:$BC$47,Interest_Rate_Stresses_Setup!$A28,FALSE)</f>
        <v>5.4290000000000005E-2</v>
      </c>
      <c r="BD24" s="12">
        <f>HLOOKUP(BD$2,Interest_Rate_Stresses_Setup!$C$6:$BC$47,Interest_Rate_Stresses_Setup!$A28,FALSE)</f>
        <v>7.0199999999999999E-2</v>
      </c>
      <c r="BE24" s="12">
        <f>HLOOKUP(BE$2,Interest_Rate_Stresses_Setup!$C$6:$BC$47,Interest_Rate_Stresses_Setup!$A28,FALSE)</f>
        <v>3.6700000000000003E-2</v>
      </c>
      <c r="BF24" s="12">
        <f>HLOOKUP(BF$2,Interest_Rate_Stresses_Setup!$C$6:$BC$47,Interest_Rate_Stresses_Setup!$A28,FALSE)</f>
        <v>7.6780000000000001E-2</v>
      </c>
      <c r="BG24" s="12">
        <f>HLOOKUP(BG$2,Interest_Rate_Stresses_Setup!$C$6:$BC$47,Interest_Rate_Stresses_Setup!$A28,FALSE)</f>
        <v>1.627E-2</v>
      </c>
      <c r="BH24" s="12">
        <f>HLOOKUP(BH$2,Interest_Rate_Stresses_Setup!$C$6:$BC$47,Interest_Rate_Stresses_Setup!$A28,FALSE)</f>
        <v>5.3510000000000002E-2</v>
      </c>
      <c r="BI24" s="12">
        <f>HLOOKUP(BI$2,Interest_Rate_Stresses_Setup!$C$6:$BC$47,Interest_Rate_Stresses_Setup!$A28,FALSE)</f>
        <v>8.9359999999999995E-2</v>
      </c>
      <c r="BJ24" s="12">
        <f>HLOOKUP(BJ$2,Interest_Rate_Stresses_Setup!$C$6:$BC$47,Interest_Rate_Stresses_Setup!$A28,FALSE)</f>
        <v>4.9930000000000002E-2</v>
      </c>
      <c r="BK24" s="12">
        <f>HLOOKUP(BK$2,Interest_Rate_Stresses_Setup!$C$6:$BC$47,Interest_Rate_Stresses_Setup!$A28,FALSE)</f>
        <v>3.7100000000000001E-2</v>
      </c>
      <c r="BL24" s="12">
        <f>HLOOKUP(BL$2,Interest_Rate_Stresses_Setup!$C$6:$BC$47,Interest_Rate_Stresses_Setup!$A28,FALSE)</f>
        <v>9.1600000000000001E-2</v>
      </c>
      <c r="BM24" s="12">
        <f>HLOOKUP(BM$2,Interest_Rate_Stresses_Setup!$C$6:$BC$47,Interest_Rate_Stresses_Setup!$A28,FALSE)</f>
        <v>2.8650000000000002E-2</v>
      </c>
      <c r="BN24" s="12">
        <f>HLOOKUP(BN$2,Interest_Rate_Stresses_Setup!$C$6:$BC$47,Interest_Rate_Stresses_Setup!$A28,FALSE)</f>
        <v>3.007E-2</v>
      </c>
      <c r="BO24" s="12">
        <f>HLOOKUP(BO$2,Interest_Rate_Stresses_Setup!$C$6:$BC$47,Interest_Rate_Stresses_Setup!$A28,FALSE)</f>
        <v>4.0349999999999997E-2</v>
      </c>
      <c r="BP24" s="12">
        <f>HLOOKUP(BP$2,Interest_Rate_Stresses_Setup!$C$6:$BC$47,Interest_Rate_Stresses_Setup!$A28,FALSE)</f>
        <v>9.9529999999999993E-2</v>
      </c>
      <c r="BQ24" s="12">
        <f>HLOOKUP(BQ$2,Interest_Rate_Stresses_Setup!$C$6:$BC$47,Interest_Rate_Stresses_Setup!$A28,FALSE)</f>
        <v>3.526E-2</v>
      </c>
      <c r="BR24" s="127">
        <f t="shared" si="1"/>
        <v>2.2960000000000001E-2</v>
      </c>
      <c r="BS24" s="16">
        <v>21</v>
      </c>
      <c r="BT24" s="12">
        <f>HLOOKUP(BT$2,Interest_Rate_Stresses_Setup!$C$50:$BC$91,Interest_Rate_Stresses_Setup!$A72,FALSE)</f>
        <v>9.2512999999999988E-3</v>
      </c>
      <c r="BU24" s="12">
        <f>HLOOKUP(BU$2,Interest_Rate_Stresses_Setup!$C$50:$BC$91,Interest_Rate_Stresses_Setup!$A72,FALSE)</f>
        <v>8.8821000000000004E-3</v>
      </c>
      <c r="BV24" s="12">
        <f>HLOOKUP(BV$2,Interest_Rate_Stresses_Setup!$C$50:$BC$91,Interest_Rate_Stresses_Setup!$A72,FALSE)</f>
        <v>2.4069E-2</v>
      </c>
      <c r="BW24" s="12">
        <f>HLOOKUP(BW$2,Interest_Rate_Stresses_Setup!$C$50:$BC$91,Interest_Rate_Stresses_Setup!$A72,FALSE)</f>
        <v>1.2346899999999999E-2</v>
      </c>
      <c r="BX24" s="12">
        <f>HLOOKUP(BX$2,Interest_Rate_Stresses_Setup!$C$50:$BC$91,Interest_Rate_Stresses_Setup!$A72,FALSE)</f>
        <v>9.1731999999999994E-3</v>
      </c>
      <c r="BY24" s="12">
        <f>HLOOKUP(BY$2,Interest_Rate_Stresses_Setup!$C$50:$BC$91,Interest_Rate_Stresses_Setup!$A72,FALSE)</f>
        <v>2.9912299999999999E-2</v>
      </c>
      <c r="BZ24" s="12">
        <f>HLOOKUP(BZ$2,Interest_Rate_Stresses_Setup!$C$50:$BC$91,Interest_Rate_Stresses_Setup!$A72,FALSE)</f>
        <v>3.2872999999999999E-2</v>
      </c>
      <c r="CA24" s="12">
        <f>HLOOKUP(CA$2,Interest_Rate_Stresses_Setup!$C$50:$BC$91,Interest_Rate_Stresses_Setup!$A72,FALSE)</f>
        <v>3.0600999999999996E-3</v>
      </c>
      <c r="CB24" s="12">
        <f>HLOOKUP(CB$2,Interest_Rate_Stresses_Setup!$C$50:$BC$91,Interest_Rate_Stresses_Setup!$A72,FALSE)</f>
        <v>1.8154699999999999E-2</v>
      </c>
      <c r="CC24" s="12">
        <f>HLOOKUP(CC$2,Interest_Rate_Stresses_Setup!$C$50:$BC$91,Interest_Rate_Stresses_Setup!$A72,FALSE)</f>
        <v>2.7668699999999997E-2</v>
      </c>
      <c r="CD24" s="12">
        <f>HLOOKUP(CD$2,Interest_Rate_Stresses_Setup!$C$50:$BC$91,Interest_Rate_Stresses_Setup!$A72,FALSE)</f>
        <v>3.10199E-2</v>
      </c>
      <c r="CE24" s="12">
        <f>HLOOKUP(CE$2,Interest_Rate_Stresses_Setup!$C$50:$BC$91,Interest_Rate_Stresses_Setup!$A72,FALSE)</f>
        <v>4.7378299999999998E-2</v>
      </c>
      <c r="CF24" s="12">
        <f>HLOOKUP(CF$2,Interest_Rate_Stresses_Setup!$C$50:$BC$91,Interest_Rate_Stresses_Setup!$A72,FALSE)</f>
        <v>1.7863599999999997E-2</v>
      </c>
      <c r="CG24" s="12">
        <f>HLOOKUP(CG$2,Interest_Rate_Stresses_Setup!$C$50:$BC$91,Interest_Rate_Stresses_Setup!$A72,FALSE)</f>
        <v>9.201599999999999E-3</v>
      </c>
      <c r="CH24" s="12">
        <f>HLOOKUP(CH$2,Interest_Rate_Stresses_Setup!$C$50:$BC$91,Interest_Rate_Stresses_Setup!$A72,FALSE)</f>
        <v>2.31886E-2</v>
      </c>
      <c r="CI24" s="12">
        <f>HLOOKUP(CI$2,Interest_Rate_Stresses_Setup!$C$50:$BC$91,Interest_Rate_Stresses_Setup!$A72,FALSE)</f>
        <v>6.0392599999999998E-2</v>
      </c>
      <c r="CJ24" s="12">
        <f>HLOOKUP(CJ$2,Interest_Rate_Stresses_Setup!$C$50:$BC$91,Interest_Rate_Stresses_Setup!$A72,FALSE)</f>
        <v>1.6124099999999999E-2</v>
      </c>
      <c r="CK24" s="12">
        <f>HLOOKUP(CK$2,Interest_Rate_Stresses_Setup!$C$50:$BC$91,Interest_Rate_Stresses_Setup!$A72,FALSE)</f>
        <v>2.9976199999999998E-2</v>
      </c>
      <c r="CL24" s="12">
        <f>HLOOKUP(CL$2,Interest_Rate_Stresses_Setup!$C$50:$BC$91,Interest_Rate_Stresses_Setup!$A72,FALSE)</f>
        <v>3.1445899999999999E-2</v>
      </c>
      <c r="CM24" s="12">
        <f>HLOOKUP(CM$2,Interest_Rate_Stresses_Setup!$C$50:$BC$91,Interest_Rate_Stresses_Setup!$A72,FALSE)</f>
        <v>4.2741999999999995E-2</v>
      </c>
      <c r="CN24" s="12">
        <f>HLOOKUP(CN$2,Interest_Rate_Stresses_Setup!$C$50:$BC$91,Interest_Rate_Stresses_Setup!$A72,FALSE)</f>
        <v>1.8957000000000002E-2</v>
      </c>
      <c r="CO24" s="12">
        <f>HLOOKUP(CO$2,Interest_Rate_Stresses_Setup!$C$50:$BC$91,Interest_Rate_Stresses_Setup!$A72,FALSE)</f>
        <v>4.7413799999999999E-2</v>
      </c>
      <c r="CP24" s="12">
        <f>HLOOKUP(CP$2,Interest_Rate_Stresses_Setup!$C$50:$BC$91,Interest_Rate_Stresses_Setup!$A72,FALSE)</f>
        <v>4.4517000000000003E-3</v>
      </c>
      <c r="CQ24" s="12">
        <f>HLOOKUP(CQ$2,Interest_Rate_Stresses_Setup!$C$50:$BC$91,Interest_Rate_Stresses_Setup!$A72,FALSE)</f>
        <v>3.0892099999999999E-2</v>
      </c>
      <c r="CR24" s="12">
        <f>HLOOKUP(CR$2,Interest_Rate_Stresses_Setup!$C$50:$BC$91,Interest_Rate_Stresses_Setup!$A72,FALSE)</f>
        <v>5.6345599999999996E-2</v>
      </c>
      <c r="CS24" s="12">
        <f>HLOOKUP(CS$2,Interest_Rate_Stresses_Setup!$C$50:$BC$91,Interest_Rate_Stresses_Setup!$A72,FALSE)</f>
        <v>2.8350299999999998E-2</v>
      </c>
      <c r="CT24" s="12">
        <f>HLOOKUP(CT$2,Interest_Rate_Stresses_Setup!$C$50:$BC$91,Interest_Rate_Stresses_Setup!$A72,FALSE)</f>
        <v>1.9240999999999998E-2</v>
      </c>
      <c r="CU24" s="12">
        <f>HLOOKUP(CU$2,Interest_Rate_Stresses_Setup!$C$50:$BC$91,Interest_Rate_Stresses_Setup!$A72,FALSE)</f>
        <v>5.7936000000000001E-2</v>
      </c>
      <c r="CV24" s="12">
        <f>HLOOKUP(CV$2,Interest_Rate_Stresses_Setup!$C$50:$BC$91,Interest_Rate_Stresses_Setup!$A72,FALSE)</f>
        <v>1.32415E-2</v>
      </c>
      <c r="CW24" s="12">
        <f>HLOOKUP(CW$2,Interest_Rate_Stresses_Setup!$C$50:$BC$91,Interest_Rate_Stresses_Setup!$A72,FALSE)</f>
        <v>1.4249700000000001E-2</v>
      </c>
      <c r="CX24" s="12">
        <f>HLOOKUP(CX$2,Interest_Rate_Stresses_Setup!$C$50:$BC$91,Interest_Rate_Stresses_Setup!$A72,FALSE)</f>
        <v>2.1548499999999998E-2</v>
      </c>
      <c r="CY24" s="12">
        <f>HLOOKUP(CY$2,Interest_Rate_Stresses_Setup!$C$50:$BC$91,Interest_Rate_Stresses_Setup!$A72,FALSE)</f>
        <v>6.3566299999999992E-2</v>
      </c>
      <c r="CZ24" s="12">
        <f>HLOOKUP(CZ$2,Interest_Rate_Stresses_Setup!$C$50:$BC$91,Interest_Rate_Stresses_Setup!$A72,FALSE)</f>
        <v>1.7934599999999998E-2</v>
      </c>
      <c r="DA24" s="127">
        <f t="shared" si="2"/>
        <v>9.201599999999999E-3</v>
      </c>
    </row>
    <row r="25" spans="1:105" x14ac:dyDescent="0.25">
      <c r="A25" s="11">
        <v>22</v>
      </c>
      <c r="B25" s="12">
        <f>HLOOKUP(B$2,EIOPA_Spot_Rates,EIOPA_RFR!$A34,FALSE)</f>
        <v>1.3599999999999999E-2</v>
      </c>
      <c r="C25" s="12">
        <f>HLOOKUP(C$2,EIOPA_Spot_Rates,EIOPA_RFR!$A34,FALSE)</f>
        <v>1.3089999999999999E-2</v>
      </c>
      <c r="D25" s="12">
        <f>HLOOKUP(D$2,EIOPA_Spot_Rates,EIOPA_RFR!$A34,FALSE)</f>
        <v>3.4169999999999999E-2</v>
      </c>
      <c r="E25" s="12">
        <f>HLOOKUP(E$2,EIOPA_Spot_Rates,EIOPA_RFR!$A34,FALSE)</f>
        <v>1.8110000000000001E-2</v>
      </c>
      <c r="F25" s="12">
        <f>HLOOKUP(F$2,EIOPA_Spot_Rates,EIOPA_RFR!$A34,FALSE)</f>
        <v>1.35E-2</v>
      </c>
      <c r="G25" s="12">
        <f>HLOOKUP(G$2,EIOPA_Spot_Rates,EIOPA_RFR!$A34,FALSE)</f>
        <v>4.24E-2</v>
      </c>
      <c r="H25" s="12">
        <f>HLOOKUP(H$2,EIOPA_Spot_Rates,EIOPA_RFR!$A34,FALSE)</f>
        <v>4.6190000000000002E-2</v>
      </c>
      <c r="I25" s="12">
        <f>HLOOKUP(I$2,EIOPA_Spot_Rates,EIOPA_RFR!$A34,FALSE)</f>
        <v>4.3899999999999998E-3</v>
      </c>
      <c r="J25" s="12">
        <f>HLOOKUP(J$2,EIOPA_Spot_Rates,EIOPA_RFR!$A34,FALSE)</f>
        <v>2.6089999999999999E-2</v>
      </c>
      <c r="K25" s="12">
        <f>HLOOKUP(K$2,EIOPA_Spot_Rates,EIOPA_RFR!$A34,FALSE)</f>
        <v>3.9170000000000003E-2</v>
      </c>
      <c r="L25" s="12">
        <f>HLOOKUP(L$2,EIOPA_Spot_Rates,EIOPA_RFR!$A34,FALSE)</f>
        <v>4.3770000000000003E-2</v>
      </c>
      <c r="M25" s="12">
        <f>HLOOKUP(M$2,EIOPA_Spot_Rates,EIOPA_RFR!$A34,FALSE)</f>
        <v>6.5970000000000001E-2</v>
      </c>
      <c r="N25" s="12">
        <f>HLOOKUP(N$2,EIOPA_Spot_Rates,EIOPA_RFR!$A34,FALSE)</f>
        <v>2.5909999999999999E-2</v>
      </c>
      <c r="O25" s="12">
        <f>HLOOKUP(O$2,EIOPA_Spot_Rates,EIOPA_RFR!$A34,FALSE)</f>
        <v>1.294E-2</v>
      </c>
      <c r="P25" s="12">
        <f>HLOOKUP(P$2,EIOPA_Spot_Rates,EIOPA_RFR!$A34,FALSE)</f>
        <v>3.288E-2</v>
      </c>
      <c r="Q25" s="12">
        <f>HLOOKUP(Q$2,EIOPA_Spot_Rates,EIOPA_RFR!$A34,FALSE)</f>
        <v>8.412E-2</v>
      </c>
      <c r="R25" s="12">
        <f>HLOOKUP(R$2,EIOPA_Spot_Rates,EIOPA_RFR!$A34,FALSE)</f>
        <v>2.2630000000000001E-2</v>
      </c>
      <c r="S25" s="12">
        <f>HLOOKUP(S$2,EIOPA_Spot_Rates,EIOPA_RFR!$A34,FALSE)</f>
        <v>4.2279999999999998E-2</v>
      </c>
      <c r="T25" s="12">
        <f>HLOOKUP(T$2,EIOPA_Spot_Rates,EIOPA_RFR!$A34,FALSE)</f>
        <v>4.4299999999999999E-2</v>
      </c>
      <c r="U25" s="12">
        <f>HLOOKUP(U$2,EIOPA_Spot_Rates,EIOPA_RFR!$A34,FALSE)</f>
        <v>5.9740000000000001E-2</v>
      </c>
      <c r="V25" s="12">
        <f>HLOOKUP(V$2,EIOPA_Spot_Rates,EIOPA_RFR!$A34,FALSE)</f>
        <v>2.7119999999999998E-2</v>
      </c>
      <c r="W25" s="12">
        <f>HLOOKUP(W$2,EIOPA_Spot_Rates,EIOPA_RFR!$A34,FALSE)</f>
        <v>6.6430000000000003E-2</v>
      </c>
      <c r="X25" s="12">
        <f>HLOOKUP(X$2,EIOPA_Spot_Rates,EIOPA_RFR!$A34,FALSE)</f>
        <v>6.5300000000000002E-3</v>
      </c>
      <c r="Y25" s="12">
        <f>HLOOKUP(Y$2,EIOPA_Spot_Rates,EIOPA_RFR!$A34,FALSE)</f>
        <v>4.3549999999999998E-2</v>
      </c>
      <c r="Z25" s="12">
        <f>HLOOKUP(Z$2,EIOPA_Spot_Rates,EIOPA_RFR!$A34,FALSE)</f>
        <v>7.9210000000000003E-2</v>
      </c>
      <c r="AA25" s="12">
        <f>HLOOKUP(AA$2,EIOPA_Spot_Rates,EIOPA_RFR!$A34,FALSE)</f>
        <v>4.0219999999999999E-2</v>
      </c>
      <c r="AB25" s="12">
        <f>HLOOKUP(AB$2,EIOPA_Spot_Rates,EIOPA_RFR!$A34,FALSE)</f>
        <v>2.7380000000000002E-2</v>
      </c>
      <c r="AC25" s="12">
        <f>HLOOKUP(AC$2,EIOPA_Spot_Rates,EIOPA_RFR!$A34,FALSE)</f>
        <v>8.0930000000000002E-2</v>
      </c>
      <c r="AD25" s="12">
        <f>HLOOKUP(AD$2,EIOPA_Spot_Rates,EIOPA_RFR!$A34,FALSE)</f>
        <v>1.9E-2</v>
      </c>
      <c r="AE25" s="12">
        <f>HLOOKUP(AE$2,EIOPA_Spot_Rates,EIOPA_RFR!$A34,FALSE)</f>
        <v>2.077E-2</v>
      </c>
      <c r="AF25" s="12">
        <f>HLOOKUP(AF$2,EIOPA_Spot_Rates,EIOPA_RFR!$A34,FALSE)</f>
        <v>3.0700000000000002E-2</v>
      </c>
      <c r="AG25" s="12">
        <f>HLOOKUP(AG$2,EIOPA_Spot_Rates,EIOPA_RFR!$A34,FALSE)</f>
        <v>8.8330000000000006E-2</v>
      </c>
      <c r="AH25" s="12">
        <f>HLOOKUP(AH$2,EIOPA_Spot_Rates,EIOPA_RFR!$A34,FALSE)</f>
        <v>2.5309999999999999E-2</v>
      </c>
      <c r="AI25" s="127">
        <f t="shared" si="0"/>
        <v>1.294E-2</v>
      </c>
      <c r="AJ25" s="16">
        <v>22</v>
      </c>
      <c r="AK25" s="12">
        <f>HLOOKUP(AK$2,Interest_Rate_Stresses_Setup!$C$6:$BC$47,Interest_Rate_Stresses_Setup!$A29,FALSE)</f>
        <v>2.3599999999999999E-2</v>
      </c>
      <c r="AL25" s="12">
        <f>HLOOKUP(AL$2,Interest_Rate_Stresses_Setup!$C$6:$BC$47,Interest_Rate_Stresses_Setup!$A29,FALSE)</f>
        <v>2.3089999999999999E-2</v>
      </c>
      <c r="AM25" s="12">
        <f>HLOOKUP(AM$2,Interest_Rate_Stresses_Setup!$C$6:$BC$47,Interest_Rate_Stresses_Setup!$A29,FALSE)</f>
        <v>4.4170000000000001E-2</v>
      </c>
      <c r="AN25" s="12">
        <f>HLOOKUP(AN$2,Interest_Rate_Stresses_Setup!$C$6:$BC$47,Interest_Rate_Stresses_Setup!$A29,FALSE)</f>
        <v>2.8110000000000003E-2</v>
      </c>
      <c r="AO25" s="12">
        <f>HLOOKUP(AO$2,Interest_Rate_Stresses_Setup!$C$6:$BC$47,Interest_Rate_Stresses_Setup!$A29,FALSE)</f>
        <v>2.35E-2</v>
      </c>
      <c r="AP25" s="12">
        <f>HLOOKUP(AP$2,Interest_Rate_Stresses_Setup!$C$6:$BC$47,Interest_Rate_Stresses_Setup!$A29,FALSE)</f>
        <v>5.2400000000000002E-2</v>
      </c>
      <c r="AQ25" s="12">
        <f>HLOOKUP(AQ$2,Interest_Rate_Stresses_Setup!$C$6:$BC$47,Interest_Rate_Stresses_Setup!$A29,FALSE)</f>
        <v>5.6190000000000004E-2</v>
      </c>
      <c r="AR25" s="12">
        <f>HLOOKUP(AR$2,Interest_Rate_Stresses_Setup!$C$6:$BC$47,Interest_Rate_Stresses_Setup!$A29,FALSE)</f>
        <v>1.439E-2</v>
      </c>
      <c r="AS25" s="12">
        <f>HLOOKUP(AS$2,Interest_Rate_Stresses_Setup!$C$6:$BC$47,Interest_Rate_Stresses_Setup!$A29,FALSE)</f>
        <v>3.6089999999999997E-2</v>
      </c>
      <c r="AT25" s="12">
        <f>HLOOKUP(AT$2,Interest_Rate_Stresses_Setup!$C$6:$BC$47,Interest_Rate_Stresses_Setup!$A29,FALSE)</f>
        <v>4.9170000000000005E-2</v>
      </c>
      <c r="AU25" s="12">
        <f>HLOOKUP(AU$2,Interest_Rate_Stresses_Setup!$C$6:$BC$47,Interest_Rate_Stresses_Setup!$A29,FALSE)</f>
        <v>5.3770000000000005E-2</v>
      </c>
      <c r="AV25" s="12">
        <f>HLOOKUP(AV$2,Interest_Rate_Stresses_Setup!$C$6:$BC$47,Interest_Rate_Stresses_Setup!$A29,FALSE)</f>
        <v>7.5969999999999996E-2</v>
      </c>
      <c r="AW25" s="12">
        <f>HLOOKUP(AW$2,Interest_Rate_Stresses_Setup!$C$6:$BC$47,Interest_Rate_Stresses_Setup!$A29,FALSE)</f>
        <v>3.5909999999999997E-2</v>
      </c>
      <c r="AX25" s="12">
        <f>HLOOKUP(AX$2,Interest_Rate_Stresses_Setup!$C$6:$BC$47,Interest_Rate_Stresses_Setup!$A29,FALSE)</f>
        <v>2.2940000000000002E-2</v>
      </c>
      <c r="AY25" s="12">
        <f>HLOOKUP(AY$2,Interest_Rate_Stresses_Setup!$C$6:$BC$47,Interest_Rate_Stresses_Setup!$A29,FALSE)</f>
        <v>4.2880000000000001E-2</v>
      </c>
      <c r="AZ25" s="12">
        <f>HLOOKUP(AZ$2,Interest_Rate_Stresses_Setup!$C$6:$BC$47,Interest_Rate_Stresses_Setup!$A29,FALSE)</f>
        <v>9.4119999999999995E-2</v>
      </c>
      <c r="BA25" s="12">
        <f>HLOOKUP(BA$2,Interest_Rate_Stresses_Setup!$C$6:$BC$47,Interest_Rate_Stresses_Setup!$A29,FALSE)</f>
        <v>3.2629999999999999E-2</v>
      </c>
      <c r="BB25" s="12">
        <f>HLOOKUP(BB$2,Interest_Rate_Stresses_Setup!$C$6:$BC$47,Interest_Rate_Stresses_Setup!$A29,FALSE)</f>
        <v>5.228E-2</v>
      </c>
      <c r="BC25" s="12">
        <f>HLOOKUP(BC$2,Interest_Rate_Stresses_Setup!$C$6:$BC$47,Interest_Rate_Stresses_Setup!$A29,FALSE)</f>
        <v>5.4300000000000001E-2</v>
      </c>
      <c r="BD25" s="12">
        <f>HLOOKUP(BD$2,Interest_Rate_Stresses_Setup!$C$6:$BC$47,Interest_Rate_Stresses_Setup!$A29,FALSE)</f>
        <v>6.9739999999999996E-2</v>
      </c>
      <c r="BE25" s="12">
        <f>HLOOKUP(BE$2,Interest_Rate_Stresses_Setup!$C$6:$BC$47,Interest_Rate_Stresses_Setup!$A29,FALSE)</f>
        <v>3.712E-2</v>
      </c>
      <c r="BF25" s="12">
        <f>HLOOKUP(BF$2,Interest_Rate_Stresses_Setup!$C$6:$BC$47,Interest_Rate_Stresses_Setup!$A29,FALSE)</f>
        <v>7.6429999999999998E-2</v>
      </c>
      <c r="BG25" s="12">
        <f>HLOOKUP(BG$2,Interest_Rate_Stresses_Setup!$C$6:$BC$47,Interest_Rate_Stresses_Setup!$A29,FALSE)</f>
        <v>1.653E-2</v>
      </c>
      <c r="BH25" s="12">
        <f>HLOOKUP(BH$2,Interest_Rate_Stresses_Setup!$C$6:$BC$47,Interest_Rate_Stresses_Setup!$A29,FALSE)</f>
        <v>5.355E-2</v>
      </c>
      <c r="BI25" s="12">
        <f>HLOOKUP(BI$2,Interest_Rate_Stresses_Setup!$C$6:$BC$47,Interest_Rate_Stresses_Setup!$A29,FALSE)</f>
        <v>8.9209999999999998E-2</v>
      </c>
      <c r="BJ25" s="12">
        <f>HLOOKUP(BJ$2,Interest_Rate_Stresses_Setup!$C$6:$BC$47,Interest_Rate_Stresses_Setup!$A29,FALSE)</f>
        <v>5.0220000000000001E-2</v>
      </c>
      <c r="BK25" s="12">
        <f>HLOOKUP(BK$2,Interest_Rate_Stresses_Setup!$C$6:$BC$47,Interest_Rate_Stresses_Setup!$A29,FALSE)</f>
        <v>3.7380000000000004E-2</v>
      </c>
      <c r="BL25" s="12">
        <f>HLOOKUP(BL$2,Interest_Rate_Stresses_Setup!$C$6:$BC$47,Interest_Rate_Stresses_Setup!$A29,FALSE)</f>
        <v>9.0929999999999997E-2</v>
      </c>
      <c r="BM25" s="12">
        <f>HLOOKUP(BM$2,Interest_Rate_Stresses_Setup!$C$6:$BC$47,Interest_Rate_Stresses_Setup!$A29,FALSE)</f>
        <v>2.8999999999999998E-2</v>
      </c>
      <c r="BN25" s="12">
        <f>HLOOKUP(BN$2,Interest_Rate_Stresses_Setup!$C$6:$BC$47,Interest_Rate_Stresses_Setup!$A29,FALSE)</f>
        <v>3.0769999999999999E-2</v>
      </c>
      <c r="BO25" s="12">
        <f>HLOOKUP(BO$2,Interest_Rate_Stresses_Setup!$C$6:$BC$47,Interest_Rate_Stresses_Setup!$A29,FALSE)</f>
        <v>4.07E-2</v>
      </c>
      <c r="BP25" s="12">
        <f>HLOOKUP(BP$2,Interest_Rate_Stresses_Setup!$C$6:$BC$47,Interest_Rate_Stresses_Setup!$A29,FALSE)</f>
        <v>9.8330000000000001E-2</v>
      </c>
      <c r="BQ25" s="12">
        <f>HLOOKUP(BQ$2,Interest_Rate_Stresses_Setup!$C$6:$BC$47,Interest_Rate_Stresses_Setup!$A29,FALSE)</f>
        <v>3.5310000000000001E-2</v>
      </c>
      <c r="BR25" s="127">
        <f t="shared" si="1"/>
        <v>2.2940000000000002E-2</v>
      </c>
      <c r="BS25" s="16">
        <v>22</v>
      </c>
      <c r="BT25" s="12">
        <f>HLOOKUP(BT$2,Interest_Rate_Stresses_Setup!$C$50:$BC$91,Interest_Rate_Stresses_Setup!$A73,FALSE)</f>
        <v>9.6559999999999997E-3</v>
      </c>
      <c r="BU25" s="12">
        <f>HLOOKUP(BU$2,Interest_Rate_Stresses_Setup!$C$50:$BC$91,Interest_Rate_Stresses_Setup!$A73,FALSE)</f>
        <v>9.293899999999999E-3</v>
      </c>
      <c r="BV25" s="12">
        <f>HLOOKUP(BV$2,Interest_Rate_Stresses_Setup!$C$50:$BC$91,Interest_Rate_Stresses_Setup!$A73,FALSE)</f>
        <v>2.42607E-2</v>
      </c>
      <c r="BW25" s="12">
        <f>HLOOKUP(BW$2,Interest_Rate_Stresses_Setup!$C$50:$BC$91,Interest_Rate_Stresses_Setup!$A73,FALSE)</f>
        <v>1.2858100000000001E-2</v>
      </c>
      <c r="BX25" s="12">
        <f>HLOOKUP(BX$2,Interest_Rate_Stresses_Setup!$C$50:$BC$91,Interest_Rate_Stresses_Setup!$A73,FALSE)</f>
        <v>9.5849999999999998E-3</v>
      </c>
      <c r="BY25" s="12">
        <f>HLOOKUP(BY$2,Interest_Rate_Stresses_Setup!$C$50:$BC$91,Interest_Rate_Stresses_Setup!$A73,FALSE)</f>
        <v>3.0103999999999999E-2</v>
      </c>
      <c r="BZ25" s="12">
        <f>HLOOKUP(BZ$2,Interest_Rate_Stresses_Setup!$C$50:$BC$91,Interest_Rate_Stresses_Setup!$A73,FALSE)</f>
        <v>3.2794900000000002E-2</v>
      </c>
      <c r="CA25" s="12">
        <f>HLOOKUP(CA$2,Interest_Rate_Stresses_Setup!$C$50:$BC$91,Interest_Rate_Stresses_Setup!$A73,FALSE)</f>
        <v>3.1168999999999997E-3</v>
      </c>
      <c r="CB25" s="12">
        <f>HLOOKUP(CB$2,Interest_Rate_Stresses_Setup!$C$50:$BC$91,Interest_Rate_Stresses_Setup!$A73,FALSE)</f>
        <v>1.8523899999999999E-2</v>
      </c>
      <c r="CC25" s="12">
        <f>HLOOKUP(CC$2,Interest_Rate_Stresses_Setup!$C$50:$BC$91,Interest_Rate_Stresses_Setup!$A73,FALSE)</f>
        <v>2.7810700000000001E-2</v>
      </c>
      <c r="CD25" s="12">
        <f>HLOOKUP(CD$2,Interest_Rate_Stresses_Setup!$C$50:$BC$91,Interest_Rate_Stresses_Setup!$A73,FALSE)</f>
        <v>3.1076700000000002E-2</v>
      </c>
      <c r="CE25" s="12">
        <f>HLOOKUP(CE$2,Interest_Rate_Stresses_Setup!$C$50:$BC$91,Interest_Rate_Stresses_Setup!$A73,FALSE)</f>
        <v>4.6838699999999997E-2</v>
      </c>
      <c r="CF25" s="12">
        <f>HLOOKUP(CF$2,Interest_Rate_Stresses_Setup!$C$50:$BC$91,Interest_Rate_Stresses_Setup!$A73,FALSE)</f>
        <v>1.8396099999999999E-2</v>
      </c>
      <c r="CG25" s="12">
        <f>HLOOKUP(CG$2,Interest_Rate_Stresses_Setup!$C$50:$BC$91,Interest_Rate_Stresses_Setup!$A73,FALSE)</f>
        <v>9.1874000000000001E-3</v>
      </c>
      <c r="CH25" s="12">
        <f>HLOOKUP(CH$2,Interest_Rate_Stresses_Setup!$C$50:$BC$91,Interest_Rate_Stresses_Setup!$A73,FALSE)</f>
        <v>2.3344799999999999E-2</v>
      </c>
      <c r="CI25" s="12">
        <f>HLOOKUP(CI$2,Interest_Rate_Stresses_Setup!$C$50:$BC$91,Interest_Rate_Stresses_Setup!$A73,FALSE)</f>
        <v>5.9725199999999999E-2</v>
      </c>
      <c r="CJ25" s="12">
        <f>HLOOKUP(CJ$2,Interest_Rate_Stresses_Setup!$C$50:$BC$91,Interest_Rate_Stresses_Setup!$A73,FALSE)</f>
        <v>1.60673E-2</v>
      </c>
      <c r="CK25" s="12">
        <f>HLOOKUP(CK$2,Interest_Rate_Stresses_Setup!$C$50:$BC$91,Interest_Rate_Stresses_Setup!$A73,FALSE)</f>
        <v>3.0018799999999998E-2</v>
      </c>
      <c r="CL25" s="12">
        <f>HLOOKUP(CL$2,Interest_Rate_Stresses_Setup!$C$50:$BC$91,Interest_Rate_Stresses_Setup!$A73,FALSE)</f>
        <v>3.1452999999999995E-2</v>
      </c>
      <c r="CM25" s="12">
        <f>HLOOKUP(CM$2,Interest_Rate_Stresses_Setup!$C$50:$BC$91,Interest_Rate_Stresses_Setup!$A73,FALSE)</f>
        <v>4.2415399999999999E-2</v>
      </c>
      <c r="CN25" s="12">
        <f>HLOOKUP(CN$2,Interest_Rate_Stresses_Setup!$C$50:$BC$91,Interest_Rate_Stresses_Setup!$A73,FALSE)</f>
        <v>1.9255199999999997E-2</v>
      </c>
      <c r="CO25" s="12">
        <f>HLOOKUP(CO$2,Interest_Rate_Stresses_Setup!$C$50:$BC$91,Interest_Rate_Stresses_Setup!$A73,FALSE)</f>
        <v>4.71653E-2</v>
      </c>
      <c r="CP25" s="12">
        <f>HLOOKUP(CP$2,Interest_Rate_Stresses_Setup!$C$50:$BC$91,Interest_Rate_Stresses_Setup!$A73,FALSE)</f>
        <v>4.6363000000000003E-3</v>
      </c>
      <c r="CQ25" s="12">
        <f>HLOOKUP(CQ$2,Interest_Rate_Stresses_Setup!$C$50:$BC$91,Interest_Rate_Stresses_Setup!$A73,FALSE)</f>
        <v>3.0920499999999997E-2</v>
      </c>
      <c r="CR25" s="12">
        <f>HLOOKUP(CR$2,Interest_Rate_Stresses_Setup!$C$50:$BC$91,Interest_Rate_Stresses_Setup!$A73,FALSE)</f>
        <v>5.62391E-2</v>
      </c>
      <c r="CS25" s="12">
        <f>HLOOKUP(CS$2,Interest_Rate_Stresses_Setup!$C$50:$BC$91,Interest_Rate_Stresses_Setup!$A73,FALSE)</f>
        <v>2.8556199999999997E-2</v>
      </c>
      <c r="CT25" s="12">
        <f>HLOOKUP(CT$2,Interest_Rate_Stresses_Setup!$C$50:$BC$91,Interest_Rate_Stresses_Setup!$A73,FALSE)</f>
        <v>1.94398E-2</v>
      </c>
      <c r="CU25" s="12">
        <f>HLOOKUP(CU$2,Interest_Rate_Stresses_Setup!$C$50:$BC$91,Interest_Rate_Stresses_Setup!$A73,FALSE)</f>
        <v>5.7460299999999999E-2</v>
      </c>
      <c r="CV25" s="12">
        <f>HLOOKUP(CV$2,Interest_Rate_Stresses_Setup!$C$50:$BC$91,Interest_Rate_Stresses_Setup!$A73,FALSE)</f>
        <v>1.3489999999999999E-2</v>
      </c>
      <c r="CW25" s="12">
        <f>HLOOKUP(CW$2,Interest_Rate_Stresses_Setup!$C$50:$BC$91,Interest_Rate_Stresses_Setup!$A73,FALSE)</f>
        <v>1.47467E-2</v>
      </c>
      <c r="CX25" s="12">
        <f>HLOOKUP(CX$2,Interest_Rate_Stresses_Setup!$C$50:$BC$91,Interest_Rate_Stresses_Setup!$A73,FALSE)</f>
        <v>2.1797E-2</v>
      </c>
      <c r="CY25" s="12">
        <f>HLOOKUP(CY$2,Interest_Rate_Stresses_Setup!$C$50:$BC$91,Interest_Rate_Stresses_Setup!$A73,FALSE)</f>
        <v>6.2714300000000001E-2</v>
      </c>
      <c r="CZ25" s="12">
        <f>HLOOKUP(CZ$2,Interest_Rate_Stresses_Setup!$C$50:$BC$91,Interest_Rate_Stresses_Setup!$A73,FALSE)</f>
        <v>1.7970099999999999E-2</v>
      </c>
      <c r="DA25" s="127">
        <f t="shared" si="2"/>
        <v>9.1874000000000001E-3</v>
      </c>
    </row>
    <row r="26" spans="1:105" x14ac:dyDescent="0.25">
      <c r="A26" s="11">
        <v>23</v>
      </c>
      <c r="B26" s="12">
        <f>HLOOKUP(B$2,EIOPA_Spot_Rates,EIOPA_RFR!$A35,FALSE)</f>
        <v>1.422E-2</v>
      </c>
      <c r="C26" s="12">
        <f>HLOOKUP(C$2,EIOPA_Spot_Rates,EIOPA_RFR!$A35,FALSE)</f>
        <v>1.372E-2</v>
      </c>
      <c r="D26" s="12">
        <f>HLOOKUP(D$2,EIOPA_Spot_Rates,EIOPA_RFR!$A35,FALSE)</f>
        <v>3.4419999999999999E-2</v>
      </c>
      <c r="E26" s="12">
        <f>HLOOKUP(E$2,EIOPA_Spot_Rates,EIOPA_RFR!$A35,FALSE)</f>
        <v>1.8800000000000001E-2</v>
      </c>
      <c r="F26" s="12">
        <f>HLOOKUP(F$2,EIOPA_Spot_Rates,EIOPA_RFR!$A35,FALSE)</f>
        <v>1.4120000000000001E-2</v>
      </c>
      <c r="G26" s="12">
        <f>HLOOKUP(G$2,EIOPA_Spot_Rates,EIOPA_RFR!$A35,FALSE)</f>
        <v>4.2630000000000001E-2</v>
      </c>
      <c r="H26" s="12">
        <f>HLOOKUP(H$2,EIOPA_Spot_Rates,EIOPA_RFR!$A35,FALSE)</f>
        <v>4.6089999999999999E-2</v>
      </c>
      <c r="I26" s="12">
        <f>HLOOKUP(I$2,EIOPA_Spot_Rates,EIOPA_RFR!$A35,FALSE)</f>
        <v>4.4999999999999997E-3</v>
      </c>
      <c r="J26" s="12">
        <f>HLOOKUP(J$2,EIOPA_Spot_Rates,EIOPA_RFR!$A35,FALSE)</f>
        <v>2.6589999999999999E-2</v>
      </c>
      <c r="K26" s="12">
        <f>HLOOKUP(K$2,EIOPA_Spot_Rates,EIOPA_RFR!$A35,FALSE)</f>
        <v>3.9350000000000003E-2</v>
      </c>
      <c r="L26" s="12">
        <f>HLOOKUP(L$2,EIOPA_Spot_Rates,EIOPA_RFR!$A35,FALSE)</f>
        <v>4.3839999999999997E-2</v>
      </c>
      <c r="M26" s="12">
        <f>HLOOKUP(M$2,EIOPA_Spot_Rates,EIOPA_RFR!$A35,FALSE)</f>
        <v>6.5240000000000006E-2</v>
      </c>
      <c r="N26" s="12">
        <f>HLOOKUP(N$2,EIOPA_Spot_Rates,EIOPA_RFR!$A35,FALSE)</f>
        <v>2.6610000000000002E-2</v>
      </c>
      <c r="O26" s="12">
        <f>HLOOKUP(O$2,EIOPA_Spot_Rates,EIOPA_RFR!$A35,FALSE)</f>
        <v>1.2919999999999999E-2</v>
      </c>
      <c r="P26" s="12">
        <f>HLOOKUP(P$2,EIOPA_Spot_Rates,EIOPA_RFR!$A35,FALSE)</f>
        <v>3.3059999999999999E-2</v>
      </c>
      <c r="Q26" s="12">
        <f>HLOOKUP(Q$2,EIOPA_Spot_Rates,EIOPA_RFR!$A35,FALSE)</f>
        <v>8.319E-2</v>
      </c>
      <c r="R26" s="12">
        <f>HLOOKUP(R$2,EIOPA_Spot_Rates,EIOPA_RFR!$A35,FALSE)</f>
        <v>2.2509999999999999E-2</v>
      </c>
      <c r="S26" s="12">
        <f>HLOOKUP(S$2,EIOPA_Spot_Rates,EIOPA_RFR!$A35,FALSE)</f>
        <v>4.2340000000000003E-2</v>
      </c>
      <c r="T26" s="12">
        <f>HLOOKUP(T$2,EIOPA_Spot_Rates,EIOPA_RFR!$A35,FALSE)</f>
        <v>4.4299999999999999E-2</v>
      </c>
      <c r="U26" s="12">
        <f>HLOOKUP(U$2,EIOPA_Spot_Rates,EIOPA_RFR!$A35,FALSE)</f>
        <v>5.9290000000000002E-2</v>
      </c>
      <c r="V26" s="12">
        <f>HLOOKUP(V$2,EIOPA_Spot_Rates,EIOPA_RFR!$A35,FALSE)</f>
        <v>2.7539999999999999E-2</v>
      </c>
      <c r="W26" s="12">
        <f>HLOOKUP(W$2,EIOPA_Spot_Rates,EIOPA_RFR!$A35,FALSE)</f>
        <v>6.608E-2</v>
      </c>
      <c r="X26" s="12">
        <f>HLOOKUP(X$2,EIOPA_Spot_Rates,EIOPA_RFR!$A35,FALSE)</f>
        <v>6.7400000000000003E-3</v>
      </c>
      <c r="Y26" s="12">
        <f>HLOOKUP(Y$2,EIOPA_Spot_Rates,EIOPA_RFR!$A35,FALSE)</f>
        <v>4.3580000000000001E-2</v>
      </c>
      <c r="Z26" s="12">
        <f>HLOOKUP(Z$2,EIOPA_Spot_Rates,EIOPA_RFR!$A35,FALSE)</f>
        <v>7.8939999999999996E-2</v>
      </c>
      <c r="AA26" s="12">
        <f>HLOOKUP(AA$2,EIOPA_Spot_Rates,EIOPA_RFR!$A35,FALSE)</f>
        <v>4.0469999999999999E-2</v>
      </c>
      <c r="AB26" s="12">
        <f>HLOOKUP(AB$2,EIOPA_Spot_Rates,EIOPA_RFR!$A35,FALSE)</f>
        <v>2.768E-2</v>
      </c>
      <c r="AC26" s="12">
        <f>HLOOKUP(AC$2,EIOPA_Spot_Rates,EIOPA_RFR!$A35,FALSE)</f>
        <v>8.0250000000000002E-2</v>
      </c>
      <c r="AD26" s="12">
        <f>HLOOKUP(AD$2,EIOPA_Spot_Rates,EIOPA_RFR!$A35,FALSE)</f>
        <v>1.941E-2</v>
      </c>
      <c r="AE26" s="12">
        <f>HLOOKUP(AE$2,EIOPA_Spot_Rates,EIOPA_RFR!$A35,FALSE)</f>
        <v>2.1440000000000001E-2</v>
      </c>
      <c r="AF26" s="12">
        <f>HLOOKUP(AF$2,EIOPA_Spot_Rates,EIOPA_RFR!$A35,FALSE)</f>
        <v>3.1040000000000002E-2</v>
      </c>
      <c r="AG26" s="12">
        <f>HLOOKUP(AG$2,EIOPA_Spot_Rates,EIOPA_RFR!$A35,FALSE)</f>
        <v>8.7179999999999994E-2</v>
      </c>
      <c r="AH26" s="12">
        <f>HLOOKUP(AH$2,EIOPA_Spot_Rates,EIOPA_RFR!$A35,FALSE)</f>
        <v>2.5350000000000001E-2</v>
      </c>
      <c r="AI26" s="127">
        <f t="shared" si="0"/>
        <v>1.2919999999999999E-2</v>
      </c>
      <c r="AJ26" s="16">
        <v>23</v>
      </c>
      <c r="AK26" s="12">
        <f>HLOOKUP(AK$2,Interest_Rate_Stresses_Setup!$C$6:$BC$47,Interest_Rate_Stresses_Setup!$A30,FALSE)</f>
        <v>2.4219999999999998E-2</v>
      </c>
      <c r="AL26" s="12">
        <f>HLOOKUP(AL$2,Interest_Rate_Stresses_Setup!$C$6:$BC$47,Interest_Rate_Stresses_Setup!$A30,FALSE)</f>
        <v>2.3719999999999998E-2</v>
      </c>
      <c r="AM26" s="12">
        <f>HLOOKUP(AM$2,Interest_Rate_Stresses_Setup!$C$6:$BC$47,Interest_Rate_Stresses_Setup!$A30,FALSE)</f>
        <v>4.4420000000000001E-2</v>
      </c>
      <c r="AN26" s="12">
        <f>HLOOKUP(AN$2,Interest_Rate_Stresses_Setup!$C$6:$BC$47,Interest_Rate_Stresses_Setup!$A30,FALSE)</f>
        <v>2.8799999999999999E-2</v>
      </c>
      <c r="AO26" s="12">
        <f>HLOOKUP(AO$2,Interest_Rate_Stresses_Setup!$C$6:$BC$47,Interest_Rate_Stresses_Setup!$A30,FALSE)</f>
        <v>2.4120000000000003E-2</v>
      </c>
      <c r="AP26" s="12">
        <f>HLOOKUP(AP$2,Interest_Rate_Stresses_Setup!$C$6:$BC$47,Interest_Rate_Stresses_Setup!$A30,FALSE)</f>
        <v>5.2630000000000003E-2</v>
      </c>
      <c r="AQ26" s="12">
        <f>HLOOKUP(AQ$2,Interest_Rate_Stresses_Setup!$C$6:$BC$47,Interest_Rate_Stresses_Setup!$A30,FALSE)</f>
        <v>5.6090000000000001E-2</v>
      </c>
      <c r="AR26" s="12">
        <f>HLOOKUP(AR$2,Interest_Rate_Stresses_Setup!$C$6:$BC$47,Interest_Rate_Stresses_Setup!$A30,FALSE)</f>
        <v>1.4499999999999999E-2</v>
      </c>
      <c r="AS26" s="12">
        <f>HLOOKUP(AS$2,Interest_Rate_Stresses_Setup!$C$6:$BC$47,Interest_Rate_Stresses_Setup!$A30,FALSE)</f>
        <v>3.6589999999999998E-2</v>
      </c>
      <c r="AT26" s="12">
        <f>HLOOKUP(AT$2,Interest_Rate_Stresses_Setup!$C$6:$BC$47,Interest_Rate_Stresses_Setup!$A30,FALSE)</f>
        <v>4.9350000000000005E-2</v>
      </c>
      <c r="AU26" s="12">
        <f>HLOOKUP(AU$2,Interest_Rate_Stresses_Setup!$C$6:$BC$47,Interest_Rate_Stresses_Setup!$A30,FALSE)</f>
        <v>5.3839999999999999E-2</v>
      </c>
      <c r="AV26" s="12">
        <f>HLOOKUP(AV$2,Interest_Rate_Stresses_Setup!$C$6:$BC$47,Interest_Rate_Stresses_Setup!$A30,FALSE)</f>
        <v>7.5240000000000001E-2</v>
      </c>
      <c r="AW26" s="12">
        <f>HLOOKUP(AW$2,Interest_Rate_Stresses_Setup!$C$6:$BC$47,Interest_Rate_Stresses_Setup!$A30,FALSE)</f>
        <v>3.6610000000000004E-2</v>
      </c>
      <c r="AX26" s="12">
        <f>HLOOKUP(AX$2,Interest_Rate_Stresses_Setup!$C$6:$BC$47,Interest_Rate_Stresses_Setup!$A30,FALSE)</f>
        <v>2.2919999999999999E-2</v>
      </c>
      <c r="AY26" s="12">
        <f>HLOOKUP(AY$2,Interest_Rate_Stresses_Setup!$C$6:$BC$47,Interest_Rate_Stresses_Setup!$A30,FALSE)</f>
        <v>4.3060000000000001E-2</v>
      </c>
      <c r="AZ26" s="12">
        <f>HLOOKUP(AZ$2,Interest_Rate_Stresses_Setup!$C$6:$BC$47,Interest_Rate_Stresses_Setup!$A30,FALSE)</f>
        <v>9.3189999999999995E-2</v>
      </c>
      <c r="BA26" s="12">
        <f>HLOOKUP(BA$2,Interest_Rate_Stresses_Setup!$C$6:$BC$47,Interest_Rate_Stresses_Setup!$A30,FALSE)</f>
        <v>3.2509999999999997E-2</v>
      </c>
      <c r="BB26" s="12">
        <f>HLOOKUP(BB$2,Interest_Rate_Stresses_Setup!$C$6:$BC$47,Interest_Rate_Stresses_Setup!$A30,FALSE)</f>
        <v>5.2340000000000005E-2</v>
      </c>
      <c r="BC26" s="12">
        <f>HLOOKUP(BC$2,Interest_Rate_Stresses_Setup!$C$6:$BC$47,Interest_Rate_Stresses_Setup!$A30,FALSE)</f>
        <v>5.4300000000000001E-2</v>
      </c>
      <c r="BD26" s="12">
        <f>HLOOKUP(BD$2,Interest_Rate_Stresses_Setup!$C$6:$BC$47,Interest_Rate_Stresses_Setup!$A30,FALSE)</f>
        <v>6.9290000000000004E-2</v>
      </c>
      <c r="BE26" s="12">
        <f>HLOOKUP(BE$2,Interest_Rate_Stresses_Setup!$C$6:$BC$47,Interest_Rate_Stresses_Setup!$A30,FALSE)</f>
        <v>3.7539999999999997E-2</v>
      </c>
      <c r="BF26" s="12">
        <f>HLOOKUP(BF$2,Interest_Rate_Stresses_Setup!$C$6:$BC$47,Interest_Rate_Stresses_Setup!$A30,FALSE)</f>
        <v>7.6079999999999995E-2</v>
      </c>
      <c r="BG26" s="12">
        <f>HLOOKUP(BG$2,Interest_Rate_Stresses_Setup!$C$6:$BC$47,Interest_Rate_Stresses_Setup!$A30,FALSE)</f>
        <v>1.6740000000000001E-2</v>
      </c>
      <c r="BH26" s="12">
        <f>HLOOKUP(BH$2,Interest_Rate_Stresses_Setup!$C$6:$BC$47,Interest_Rate_Stresses_Setup!$A30,FALSE)</f>
        <v>5.3580000000000003E-2</v>
      </c>
      <c r="BI26" s="12">
        <f>HLOOKUP(BI$2,Interest_Rate_Stresses_Setup!$C$6:$BC$47,Interest_Rate_Stresses_Setup!$A30,FALSE)</f>
        <v>8.8939999999999991E-2</v>
      </c>
      <c r="BJ26" s="12">
        <f>HLOOKUP(BJ$2,Interest_Rate_Stresses_Setup!$C$6:$BC$47,Interest_Rate_Stresses_Setup!$A30,FALSE)</f>
        <v>5.0470000000000001E-2</v>
      </c>
      <c r="BK26" s="12">
        <f>HLOOKUP(BK$2,Interest_Rate_Stresses_Setup!$C$6:$BC$47,Interest_Rate_Stresses_Setup!$A30,FALSE)</f>
        <v>3.7679999999999998E-2</v>
      </c>
      <c r="BL26" s="12">
        <f>HLOOKUP(BL$2,Interest_Rate_Stresses_Setup!$C$6:$BC$47,Interest_Rate_Stresses_Setup!$A30,FALSE)</f>
        <v>9.0249999999999997E-2</v>
      </c>
      <c r="BM26" s="12">
        <f>HLOOKUP(BM$2,Interest_Rate_Stresses_Setup!$C$6:$BC$47,Interest_Rate_Stresses_Setup!$A30,FALSE)</f>
        <v>2.9409999999999999E-2</v>
      </c>
      <c r="BN26" s="12">
        <f>HLOOKUP(BN$2,Interest_Rate_Stresses_Setup!$C$6:$BC$47,Interest_Rate_Stresses_Setup!$A30,FALSE)</f>
        <v>3.1440000000000003E-2</v>
      </c>
      <c r="BO26" s="12">
        <f>HLOOKUP(BO$2,Interest_Rate_Stresses_Setup!$C$6:$BC$47,Interest_Rate_Stresses_Setup!$A30,FALSE)</f>
        <v>4.104E-2</v>
      </c>
      <c r="BP26" s="12">
        <f>HLOOKUP(BP$2,Interest_Rate_Stresses_Setup!$C$6:$BC$47,Interest_Rate_Stresses_Setup!$A30,FALSE)</f>
        <v>9.7179999999999989E-2</v>
      </c>
      <c r="BQ26" s="12">
        <f>HLOOKUP(BQ$2,Interest_Rate_Stresses_Setup!$C$6:$BC$47,Interest_Rate_Stresses_Setup!$A30,FALSE)</f>
        <v>3.5349999999999999E-2</v>
      </c>
      <c r="BR26" s="127">
        <f t="shared" si="1"/>
        <v>2.2919999999999999E-2</v>
      </c>
      <c r="BS26" s="16">
        <v>23</v>
      </c>
      <c r="BT26" s="12">
        <f>HLOOKUP(BT$2,Interest_Rate_Stresses_Setup!$C$50:$BC$91,Interest_Rate_Stresses_Setup!$A74,FALSE)</f>
        <v>1.00962E-2</v>
      </c>
      <c r="BU26" s="12">
        <f>HLOOKUP(BU$2,Interest_Rate_Stresses_Setup!$C$50:$BC$91,Interest_Rate_Stresses_Setup!$A74,FALSE)</f>
        <v>9.7411999999999985E-3</v>
      </c>
      <c r="BV26" s="12">
        <f>HLOOKUP(BV$2,Interest_Rate_Stresses_Setup!$C$50:$BC$91,Interest_Rate_Stresses_Setup!$A74,FALSE)</f>
        <v>2.4438199999999997E-2</v>
      </c>
      <c r="BW26" s="12">
        <f>HLOOKUP(BW$2,Interest_Rate_Stresses_Setup!$C$50:$BC$91,Interest_Rate_Stresses_Setup!$A74,FALSE)</f>
        <v>1.3348E-2</v>
      </c>
      <c r="BX26" s="12">
        <f>HLOOKUP(BX$2,Interest_Rate_Stresses_Setup!$C$50:$BC$91,Interest_Rate_Stresses_Setup!$A74,FALSE)</f>
        <v>1.00252E-2</v>
      </c>
      <c r="BY26" s="12">
        <f>HLOOKUP(BY$2,Interest_Rate_Stresses_Setup!$C$50:$BC$91,Interest_Rate_Stresses_Setup!$A74,FALSE)</f>
        <v>3.02673E-2</v>
      </c>
      <c r="BZ26" s="12">
        <f>HLOOKUP(BZ$2,Interest_Rate_Stresses_Setup!$C$50:$BC$91,Interest_Rate_Stresses_Setup!$A74,FALSE)</f>
        <v>3.27239E-2</v>
      </c>
      <c r="CA26" s="12">
        <f>HLOOKUP(CA$2,Interest_Rate_Stresses_Setup!$C$50:$BC$91,Interest_Rate_Stresses_Setup!$A74,FALSE)</f>
        <v>3.1949999999999995E-3</v>
      </c>
      <c r="CB26" s="12">
        <f>HLOOKUP(CB$2,Interest_Rate_Stresses_Setup!$C$50:$BC$91,Interest_Rate_Stresses_Setup!$A74,FALSE)</f>
        <v>1.8878899999999997E-2</v>
      </c>
      <c r="CC26" s="12">
        <f>HLOOKUP(CC$2,Interest_Rate_Stresses_Setup!$C$50:$BC$91,Interest_Rate_Stresses_Setup!$A74,FALSE)</f>
        <v>2.7938500000000002E-2</v>
      </c>
      <c r="CD26" s="12">
        <f>HLOOKUP(CD$2,Interest_Rate_Stresses_Setup!$C$50:$BC$91,Interest_Rate_Stresses_Setup!$A74,FALSE)</f>
        <v>3.1126399999999995E-2</v>
      </c>
      <c r="CE26" s="12">
        <f>HLOOKUP(CE$2,Interest_Rate_Stresses_Setup!$C$50:$BC$91,Interest_Rate_Stresses_Setup!$A74,FALSE)</f>
        <v>4.6320400000000005E-2</v>
      </c>
      <c r="CF26" s="12">
        <f>HLOOKUP(CF$2,Interest_Rate_Stresses_Setup!$C$50:$BC$91,Interest_Rate_Stresses_Setup!$A74,FALSE)</f>
        <v>1.8893099999999999E-2</v>
      </c>
      <c r="CG26" s="12">
        <f>HLOOKUP(CG$2,Interest_Rate_Stresses_Setup!$C$50:$BC$91,Interest_Rate_Stresses_Setup!$A74,FALSE)</f>
        <v>9.1731999999999994E-3</v>
      </c>
      <c r="CH26" s="12">
        <f>HLOOKUP(CH$2,Interest_Rate_Stresses_Setup!$C$50:$BC$91,Interest_Rate_Stresses_Setup!$A74,FALSE)</f>
        <v>2.34726E-2</v>
      </c>
      <c r="CI26" s="12">
        <f>HLOOKUP(CI$2,Interest_Rate_Stresses_Setup!$C$50:$BC$91,Interest_Rate_Stresses_Setup!$A74,FALSE)</f>
        <v>5.9064899999999997E-2</v>
      </c>
      <c r="CJ26" s="12">
        <f>HLOOKUP(CJ$2,Interest_Rate_Stresses_Setup!$C$50:$BC$91,Interest_Rate_Stresses_Setup!$A74,FALSE)</f>
        <v>1.5982099999999999E-2</v>
      </c>
      <c r="CK26" s="12">
        <f>HLOOKUP(CK$2,Interest_Rate_Stresses_Setup!$C$50:$BC$91,Interest_Rate_Stresses_Setup!$A74,FALSE)</f>
        <v>3.0061400000000002E-2</v>
      </c>
      <c r="CL26" s="12">
        <f>HLOOKUP(CL$2,Interest_Rate_Stresses_Setup!$C$50:$BC$91,Interest_Rate_Stresses_Setup!$A74,FALSE)</f>
        <v>3.1452999999999995E-2</v>
      </c>
      <c r="CM26" s="12">
        <f>HLOOKUP(CM$2,Interest_Rate_Stresses_Setup!$C$50:$BC$91,Interest_Rate_Stresses_Setup!$A74,FALSE)</f>
        <v>4.2095899999999999E-2</v>
      </c>
      <c r="CN26" s="12">
        <f>HLOOKUP(CN$2,Interest_Rate_Stresses_Setup!$C$50:$BC$91,Interest_Rate_Stresses_Setup!$A74,FALSE)</f>
        <v>1.9553399999999999E-2</v>
      </c>
      <c r="CO26" s="12">
        <f>HLOOKUP(CO$2,Interest_Rate_Stresses_Setup!$C$50:$BC$91,Interest_Rate_Stresses_Setup!$A74,FALSE)</f>
        <v>4.6916799999999995E-2</v>
      </c>
      <c r="CP26" s="12">
        <f>HLOOKUP(CP$2,Interest_Rate_Stresses_Setup!$C$50:$BC$91,Interest_Rate_Stresses_Setup!$A74,FALSE)</f>
        <v>4.7854000000000004E-3</v>
      </c>
      <c r="CQ26" s="12">
        <f>HLOOKUP(CQ$2,Interest_Rate_Stresses_Setup!$C$50:$BC$91,Interest_Rate_Stresses_Setup!$A74,FALSE)</f>
        <v>3.0941799999999998E-2</v>
      </c>
      <c r="CR26" s="12">
        <f>HLOOKUP(CR$2,Interest_Rate_Stresses_Setup!$C$50:$BC$91,Interest_Rate_Stresses_Setup!$A74,FALSE)</f>
        <v>5.6047399999999997E-2</v>
      </c>
      <c r="CS26" s="12">
        <f>HLOOKUP(CS$2,Interest_Rate_Stresses_Setup!$C$50:$BC$91,Interest_Rate_Stresses_Setup!$A74,FALSE)</f>
        <v>2.8733699999999997E-2</v>
      </c>
      <c r="CT26" s="12">
        <f>HLOOKUP(CT$2,Interest_Rate_Stresses_Setup!$C$50:$BC$91,Interest_Rate_Stresses_Setup!$A74,FALSE)</f>
        <v>1.9652799999999998E-2</v>
      </c>
      <c r="CU26" s="12">
        <f>HLOOKUP(CU$2,Interest_Rate_Stresses_Setup!$C$50:$BC$91,Interest_Rate_Stresses_Setup!$A74,FALSE)</f>
        <v>5.69775E-2</v>
      </c>
      <c r="CV26" s="12">
        <f>HLOOKUP(CV$2,Interest_Rate_Stresses_Setup!$C$50:$BC$91,Interest_Rate_Stresses_Setup!$A74,FALSE)</f>
        <v>1.3781099999999999E-2</v>
      </c>
      <c r="CW26" s="12">
        <f>HLOOKUP(CW$2,Interest_Rate_Stresses_Setup!$C$50:$BC$91,Interest_Rate_Stresses_Setup!$A74,FALSE)</f>
        <v>1.5222400000000001E-2</v>
      </c>
      <c r="CX26" s="12">
        <f>HLOOKUP(CX$2,Interest_Rate_Stresses_Setup!$C$50:$BC$91,Interest_Rate_Stresses_Setup!$A74,FALSE)</f>
        <v>2.20384E-2</v>
      </c>
      <c r="CY26" s="12">
        <f>HLOOKUP(CY$2,Interest_Rate_Stresses_Setup!$C$50:$BC$91,Interest_Rate_Stresses_Setup!$A74,FALSE)</f>
        <v>6.1897799999999989E-2</v>
      </c>
      <c r="CZ26" s="12">
        <f>HLOOKUP(CZ$2,Interest_Rate_Stresses_Setup!$C$50:$BC$91,Interest_Rate_Stresses_Setup!$A74,FALSE)</f>
        <v>1.7998500000000001E-2</v>
      </c>
      <c r="DA26" s="127">
        <f t="shared" si="2"/>
        <v>9.1731999999999994E-3</v>
      </c>
    </row>
    <row r="27" spans="1:105" x14ac:dyDescent="0.25">
      <c r="A27" s="11">
        <v>24</v>
      </c>
      <c r="B27" s="12">
        <f>HLOOKUP(B$2,EIOPA_Spot_Rates,EIOPA_RFR!$A36,FALSE)</f>
        <v>1.486E-2</v>
      </c>
      <c r="C27" s="12">
        <f>HLOOKUP(C$2,EIOPA_Spot_Rates,EIOPA_RFR!$A36,FALSE)</f>
        <v>1.4370000000000001E-2</v>
      </c>
      <c r="D27" s="12">
        <f>HLOOKUP(D$2,EIOPA_Spot_Rates,EIOPA_RFR!$A36,FALSE)</f>
        <v>3.4660000000000003E-2</v>
      </c>
      <c r="E27" s="12">
        <f>HLOOKUP(E$2,EIOPA_Spot_Rates,EIOPA_RFR!$A36,FALSE)</f>
        <v>1.9480000000000001E-2</v>
      </c>
      <c r="F27" s="12">
        <f>HLOOKUP(F$2,EIOPA_Spot_Rates,EIOPA_RFR!$A36,FALSE)</f>
        <v>1.4760000000000001E-2</v>
      </c>
      <c r="G27" s="12">
        <f>HLOOKUP(G$2,EIOPA_Spot_Rates,EIOPA_RFR!$A36,FALSE)</f>
        <v>4.2819999999999997E-2</v>
      </c>
      <c r="H27" s="12">
        <f>HLOOKUP(H$2,EIOPA_Spot_Rates,EIOPA_RFR!$A36,FALSE)</f>
        <v>4.5990000000000003E-2</v>
      </c>
      <c r="I27" s="12">
        <f>HLOOKUP(I$2,EIOPA_Spot_Rates,EIOPA_RFR!$A36,FALSE)</f>
        <v>4.6499999999999996E-3</v>
      </c>
      <c r="J27" s="12">
        <f>HLOOKUP(J$2,EIOPA_Spot_Rates,EIOPA_RFR!$A36,FALSE)</f>
        <v>2.7060000000000001E-2</v>
      </c>
      <c r="K27" s="12">
        <f>HLOOKUP(K$2,EIOPA_Spot_Rates,EIOPA_RFR!$A36,FALSE)</f>
        <v>3.9510000000000003E-2</v>
      </c>
      <c r="L27" s="12">
        <f>HLOOKUP(L$2,EIOPA_Spot_Rates,EIOPA_RFR!$A36,FALSE)</f>
        <v>4.3880000000000002E-2</v>
      </c>
      <c r="M27" s="12">
        <f>HLOOKUP(M$2,EIOPA_Spot_Rates,EIOPA_RFR!$A36,FALSE)</f>
        <v>6.454E-2</v>
      </c>
      <c r="N27" s="12">
        <f>HLOOKUP(N$2,EIOPA_Spot_Rates,EIOPA_RFR!$A36,FALSE)</f>
        <v>2.724E-2</v>
      </c>
      <c r="O27" s="12">
        <f>HLOOKUP(O$2,EIOPA_Spot_Rates,EIOPA_RFR!$A36,FALSE)</f>
        <v>1.289E-2</v>
      </c>
      <c r="P27" s="12">
        <f>HLOOKUP(P$2,EIOPA_Spot_Rates,EIOPA_RFR!$A36,FALSE)</f>
        <v>3.3189999999999997E-2</v>
      </c>
      <c r="Q27" s="12">
        <f>HLOOKUP(Q$2,EIOPA_Spot_Rates,EIOPA_RFR!$A36,FALSE)</f>
        <v>8.2299999999999998E-2</v>
      </c>
      <c r="R27" s="12">
        <f>HLOOKUP(R$2,EIOPA_Spot_Rates,EIOPA_RFR!$A36,FALSE)</f>
        <v>2.2380000000000001E-2</v>
      </c>
      <c r="S27" s="12">
        <f>HLOOKUP(S$2,EIOPA_Spot_Rates,EIOPA_RFR!$A36,FALSE)</f>
        <v>4.2380000000000001E-2</v>
      </c>
      <c r="T27" s="12">
        <f>HLOOKUP(T$2,EIOPA_Spot_Rates,EIOPA_RFR!$A36,FALSE)</f>
        <v>4.4290000000000003E-2</v>
      </c>
      <c r="U27" s="12">
        <f>HLOOKUP(U$2,EIOPA_Spot_Rates,EIOPA_RFR!$A36,FALSE)</f>
        <v>5.8840000000000003E-2</v>
      </c>
      <c r="V27" s="12">
        <f>HLOOKUP(V$2,EIOPA_Spot_Rates,EIOPA_RFR!$A36,FALSE)</f>
        <v>2.794E-2</v>
      </c>
      <c r="W27" s="12">
        <f>HLOOKUP(W$2,EIOPA_Spot_Rates,EIOPA_RFR!$A36,FALSE)</f>
        <v>6.5729999999999997E-2</v>
      </c>
      <c r="X27" s="12">
        <f>HLOOKUP(X$2,EIOPA_Spot_Rates,EIOPA_RFR!$A36,FALSE)</f>
        <v>6.9100000000000003E-3</v>
      </c>
      <c r="Y27" s="12">
        <f>HLOOKUP(Y$2,EIOPA_Spot_Rates,EIOPA_RFR!$A36,FALSE)</f>
        <v>4.36E-2</v>
      </c>
      <c r="Z27" s="12">
        <f>HLOOKUP(Z$2,EIOPA_Spot_Rates,EIOPA_RFR!$A36,FALSE)</f>
        <v>7.8589999999999993E-2</v>
      </c>
      <c r="AA27" s="12">
        <f>HLOOKUP(AA$2,EIOPA_Spot_Rates,EIOPA_RFR!$A36,FALSE)</f>
        <v>4.0689999999999997E-2</v>
      </c>
      <c r="AB27" s="12">
        <f>HLOOKUP(AB$2,EIOPA_Spot_Rates,EIOPA_RFR!$A36,FALSE)</f>
        <v>2.7990000000000001E-2</v>
      </c>
      <c r="AC27" s="12">
        <f>HLOOKUP(AC$2,EIOPA_Spot_Rates,EIOPA_RFR!$A36,FALSE)</f>
        <v>7.9560000000000006E-2</v>
      </c>
      <c r="AD27" s="12">
        <f>HLOOKUP(AD$2,EIOPA_Spot_Rates,EIOPA_RFR!$A36,FALSE)</f>
        <v>1.9859999999999999E-2</v>
      </c>
      <c r="AE27" s="12">
        <f>HLOOKUP(AE$2,EIOPA_Spot_Rates,EIOPA_RFR!$A36,FALSE)</f>
        <v>2.2079999999999999E-2</v>
      </c>
      <c r="AF27" s="12">
        <f>HLOOKUP(AF$2,EIOPA_Spot_Rates,EIOPA_RFR!$A36,FALSE)</f>
        <v>3.1359999999999999E-2</v>
      </c>
      <c r="AG27" s="12">
        <f>HLOOKUP(AG$2,EIOPA_Spot_Rates,EIOPA_RFR!$A36,FALSE)</f>
        <v>8.6080000000000004E-2</v>
      </c>
      <c r="AH27" s="12">
        <f>HLOOKUP(AH$2,EIOPA_Spot_Rates,EIOPA_RFR!$A36,FALSE)</f>
        <v>2.538E-2</v>
      </c>
      <c r="AI27" s="127">
        <f t="shared" si="0"/>
        <v>1.289E-2</v>
      </c>
      <c r="AJ27" s="16">
        <v>24</v>
      </c>
      <c r="AK27" s="12">
        <f>HLOOKUP(AK$2,Interest_Rate_Stresses_Setup!$C$6:$BC$47,Interest_Rate_Stresses_Setup!$A31,FALSE)</f>
        <v>2.486E-2</v>
      </c>
      <c r="AL27" s="12">
        <f>HLOOKUP(AL$2,Interest_Rate_Stresses_Setup!$C$6:$BC$47,Interest_Rate_Stresses_Setup!$A31,FALSE)</f>
        <v>2.4370000000000003E-2</v>
      </c>
      <c r="AM27" s="12">
        <f>HLOOKUP(AM$2,Interest_Rate_Stresses_Setup!$C$6:$BC$47,Interest_Rate_Stresses_Setup!$A31,FALSE)</f>
        <v>4.4660000000000005E-2</v>
      </c>
      <c r="AN27" s="12">
        <f>HLOOKUP(AN$2,Interest_Rate_Stresses_Setup!$C$6:$BC$47,Interest_Rate_Stresses_Setup!$A31,FALSE)</f>
        <v>2.9479999999999999E-2</v>
      </c>
      <c r="AO27" s="12">
        <f>HLOOKUP(AO$2,Interest_Rate_Stresses_Setup!$C$6:$BC$47,Interest_Rate_Stresses_Setup!$A31,FALSE)</f>
        <v>2.4760000000000001E-2</v>
      </c>
      <c r="AP27" s="12">
        <f>HLOOKUP(AP$2,Interest_Rate_Stresses_Setup!$C$6:$BC$47,Interest_Rate_Stresses_Setup!$A31,FALSE)</f>
        <v>5.2819999999999999E-2</v>
      </c>
      <c r="AQ27" s="12">
        <f>HLOOKUP(AQ$2,Interest_Rate_Stresses_Setup!$C$6:$BC$47,Interest_Rate_Stresses_Setup!$A31,FALSE)</f>
        <v>5.5990000000000005E-2</v>
      </c>
      <c r="AR27" s="12">
        <f>HLOOKUP(AR$2,Interest_Rate_Stresses_Setup!$C$6:$BC$47,Interest_Rate_Stresses_Setup!$A31,FALSE)</f>
        <v>1.465E-2</v>
      </c>
      <c r="AS27" s="12">
        <f>HLOOKUP(AS$2,Interest_Rate_Stresses_Setup!$C$6:$BC$47,Interest_Rate_Stresses_Setup!$A31,FALSE)</f>
        <v>3.7060000000000003E-2</v>
      </c>
      <c r="AT27" s="12">
        <f>HLOOKUP(AT$2,Interest_Rate_Stresses_Setup!$C$6:$BC$47,Interest_Rate_Stresses_Setup!$A31,FALSE)</f>
        <v>4.9510000000000005E-2</v>
      </c>
      <c r="AU27" s="12">
        <f>HLOOKUP(AU$2,Interest_Rate_Stresses_Setup!$C$6:$BC$47,Interest_Rate_Stresses_Setup!$A31,FALSE)</f>
        <v>5.3880000000000004E-2</v>
      </c>
      <c r="AV27" s="12">
        <f>HLOOKUP(AV$2,Interest_Rate_Stresses_Setup!$C$6:$BC$47,Interest_Rate_Stresses_Setup!$A31,FALSE)</f>
        <v>7.4539999999999995E-2</v>
      </c>
      <c r="AW27" s="12">
        <f>HLOOKUP(AW$2,Interest_Rate_Stresses_Setup!$C$6:$BC$47,Interest_Rate_Stresses_Setup!$A31,FALSE)</f>
        <v>3.7240000000000002E-2</v>
      </c>
      <c r="AX27" s="12">
        <f>HLOOKUP(AX$2,Interest_Rate_Stresses_Setup!$C$6:$BC$47,Interest_Rate_Stresses_Setup!$A31,FALSE)</f>
        <v>2.2890000000000001E-2</v>
      </c>
      <c r="AY27" s="12">
        <f>HLOOKUP(AY$2,Interest_Rate_Stresses_Setup!$C$6:$BC$47,Interest_Rate_Stresses_Setup!$A31,FALSE)</f>
        <v>4.3189999999999999E-2</v>
      </c>
      <c r="AZ27" s="12">
        <f>HLOOKUP(AZ$2,Interest_Rate_Stresses_Setup!$C$6:$BC$47,Interest_Rate_Stresses_Setup!$A31,FALSE)</f>
        <v>9.2299999999999993E-2</v>
      </c>
      <c r="BA27" s="12">
        <f>HLOOKUP(BA$2,Interest_Rate_Stresses_Setup!$C$6:$BC$47,Interest_Rate_Stresses_Setup!$A31,FALSE)</f>
        <v>3.2379999999999999E-2</v>
      </c>
      <c r="BB27" s="12">
        <f>HLOOKUP(BB$2,Interest_Rate_Stresses_Setup!$C$6:$BC$47,Interest_Rate_Stresses_Setup!$A31,FALSE)</f>
        <v>5.2380000000000003E-2</v>
      </c>
      <c r="BC27" s="12">
        <f>HLOOKUP(BC$2,Interest_Rate_Stresses_Setup!$C$6:$BC$47,Interest_Rate_Stresses_Setup!$A31,FALSE)</f>
        <v>5.4290000000000005E-2</v>
      </c>
      <c r="BD27" s="12">
        <f>HLOOKUP(BD$2,Interest_Rate_Stresses_Setup!$C$6:$BC$47,Interest_Rate_Stresses_Setup!$A31,FALSE)</f>
        <v>6.8839999999999998E-2</v>
      </c>
      <c r="BE27" s="12">
        <f>HLOOKUP(BE$2,Interest_Rate_Stresses_Setup!$C$6:$BC$47,Interest_Rate_Stresses_Setup!$A31,FALSE)</f>
        <v>3.7940000000000002E-2</v>
      </c>
      <c r="BF27" s="12">
        <f>HLOOKUP(BF$2,Interest_Rate_Stresses_Setup!$C$6:$BC$47,Interest_Rate_Stresses_Setup!$A31,FALSE)</f>
        <v>7.5729999999999992E-2</v>
      </c>
      <c r="BG27" s="12">
        <f>HLOOKUP(BG$2,Interest_Rate_Stresses_Setup!$C$6:$BC$47,Interest_Rate_Stresses_Setup!$A31,FALSE)</f>
        <v>1.6910000000000001E-2</v>
      </c>
      <c r="BH27" s="12">
        <f>HLOOKUP(BH$2,Interest_Rate_Stresses_Setup!$C$6:$BC$47,Interest_Rate_Stresses_Setup!$A31,FALSE)</f>
        <v>5.3600000000000002E-2</v>
      </c>
      <c r="BI27" s="12">
        <f>HLOOKUP(BI$2,Interest_Rate_Stresses_Setup!$C$6:$BC$47,Interest_Rate_Stresses_Setup!$A31,FALSE)</f>
        <v>8.8589999999999988E-2</v>
      </c>
      <c r="BJ27" s="12">
        <f>HLOOKUP(BJ$2,Interest_Rate_Stresses_Setup!$C$6:$BC$47,Interest_Rate_Stresses_Setup!$A31,FALSE)</f>
        <v>5.0689999999999999E-2</v>
      </c>
      <c r="BK27" s="12">
        <f>HLOOKUP(BK$2,Interest_Rate_Stresses_Setup!$C$6:$BC$47,Interest_Rate_Stresses_Setup!$A31,FALSE)</f>
        <v>3.7990000000000003E-2</v>
      </c>
      <c r="BL27" s="12">
        <f>HLOOKUP(BL$2,Interest_Rate_Stresses_Setup!$C$6:$BC$47,Interest_Rate_Stresses_Setup!$A31,FALSE)</f>
        <v>8.9560000000000001E-2</v>
      </c>
      <c r="BM27" s="12">
        <f>HLOOKUP(BM$2,Interest_Rate_Stresses_Setup!$C$6:$BC$47,Interest_Rate_Stresses_Setup!$A31,FALSE)</f>
        <v>2.9859999999999998E-2</v>
      </c>
      <c r="BN27" s="12">
        <f>HLOOKUP(BN$2,Interest_Rate_Stresses_Setup!$C$6:$BC$47,Interest_Rate_Stresses_Setup!$A31,FALSE)</f>
        <v>3.2079999999999997E-2</v>
      </c>
      <c r="BO27" s="12">
        <f>HLOOKUP(BO$2,Interest_Rate_Stresses_Setup!$C$6:$BC$47,Interest_Rate_Stresses_Setup!$A31,FALSE)</f>
        <v>4.1360000000000001E-2</v>
      </c>
      <c r="BP27" s="12">
        <f>HLOOKUP(BP$2,Interest_Rate_Stresses_Setup!$C$6:$BC$47,Interest_Rate_Stresses_Setup!$A31,FALSE)</f>
        <v>9.6079999999999999E-2</v>
      </c>
      <c r="BQ27" s="12">
        <f>HLOOKUP(BQ$2,Interest_Rate_Stresses_Setup!$C$6:$BC$47,Interest_Rate_Stresses_Setup!$A31,FALSE)</f>
        <v>3.5380000000000002E-2</v>
      </c>
      <c r="BR27" s="127">
        <f t="shared" si="1"/>
        <v>2.2890000000000001E-2</v>
      </c>
      <c r="BS27" s="16">
        <v>24</v>
      </c>
      <c r="BT27" s="12">
        <f>HLOOKUP(BT$2,Interest_Rate_Stresses_Setup!$C$50:$BC$91,Interest_Rate_Stresses_Setup!$A75,FALSE)</f>
        <v>1.05506E-2</v>
      </c>
      <c r="BU27" s="12">
        <f>HLOOKUP(BU$2,Interest_Rate_Stresses_Setup!$C$50:$BC$91,Interest_Rate_Stresses_Setup!$A75,FALSE)</f>
        <v>1.02027E-2</v>
      </c>
      <c r="BV27" s="12">
        <f>HLOOKUP(BV$2,Interest_Rate_Stresses_Setup!$C$50:$BC$91,Interest_Rate_Stresses_Setup!$A75,FALSE)</f>
        <v>2.4608600000000001E-2</v>
      </c>
      <c r="BW27" s="12">
        <f>HLOOKUP(BW$2,Interest_Rate_Stresses_Setup!$C$50:$BC$91,Interest_Rate_Stresses_Setup!$A75,FALSE)</f>
        <v>1.3830800000000001E-2</v>
      </c>
      <c r="BX27" s="12">
        <f>HLOOKUP(BX$2,Interest_Rate_Stresses_Setup!$C$50:$BC$91,Interest_Rate_Stresses_Setup!$A75,FALSE)</f>
        <v>1.04796E-2</v>
      </c>
      <c r="BY27" s="12">
        <f>HLOOKUP(BY$2,Interest_Rate_Stresses_Setup!$C$50:$BC$91,Interest_Rate_Stresses_Setup!$A75,FALSE)</f>
        <v>3.0402199999999997E-2</v>
      </c>
      <c r="BZ27" s="12">
        <f>HLOOKUP(BZ$2,Interest_Rate_Stresses_Setup!$C$50:$BC$91,Interest_Rate_Stresses_Setup!$A75,FALSE)</f>
        <v>3.2652899999999999E-2</v>
      </c>
      <c r="CA27" s="12">
        <f>HLOOKUP(CA$2,Interest_Rate_Stresses_Setup!$C$50:$BC$91,Interest_Rate_Stresses_Setup!$A75,FALSE)</f>
        <v>3.3014999999999997E-3</v>
      </c>
      <c r="CB27" s="12">
        <f>HLOOKUP(CB$2,Interest_Rate_Stresses_Setup!$C$50:$BC$91,Interest_Rate_Stresses_Setup!$A75,FALSE)</f>
        <v>1.92126E-2</v>
      </c>
      <c r="CC27" s="12">
        <f>HLOOKUP(CC$2,Interest_Rate_Stresses_Setup!$C$50:$BC$91,Interest_Rate_Stresses_Setup!$A75,FALSE)</f>
        <v>2.80521E-2</v>
      </c>
      <c r="CD27" s="12">
        <f>HLOOKUP(CD$2,Interest_Rate_Stresses_Setup!$C$50:$BC$91,Interest_Rate_Stresses_Setup!$A75,FALSE)</f>
        <v>3.11548E-2</v>
      </c>
      <c r="CE27" s="12">
        <f>HLOOKUP(CE$2,Interest_Rate_Stresses_Setup!$C$50:$BC$91,Interest_Rate_Stresses_Setup!$A75,FALSE)</f>
        <v>4.58234E-2</v>
      </c>
      <c r="CF27" s="12">
        <f>HLOOKUP(CF$2,Interest_Rate_Stresses_Setup!$C$50:$BC$91,Interest_Rate_Stresses_Setup!$A75,FALSE)</f>
        <v>1.9340400000000001E-2</v>
      </c>
      <c r="CG27" s="12">
        <f>HLOOKUP(CG$2,Interest_Rate_Stresses_Setup!$C$50:$BC$91,Interest_Rate_Stresses_Setup!$A75,FALSE)</f>
        <v>9.1518999999999993E-3</v>
      </c>
      <c r="CH27" s="12">
        <f>HLOOKUP(CH$2,Interest_Rate_Stresses_Setup!$C$50:$BC$91,Interest_Rate_Stresses_Setup!$A75,FALSE)</f>
        <v>2.3564899999999996E-2</v>
      </c>
      <c r="CI27" s="12">
        <f>HLOOKUP(CI$2,Interest_Rate_Stresses_Setup!$C$50:$BC$91,Interest_Rate_Stresses_Setup!$A75,FALSE)</f>
        <v>5.8432999999999999E-2</v>
      </c>
      <c r="CJ27" s="12">
        <f>HLOOKUP(CJ$2,Interest_Rate_Stresses_Setup!$C$50:$BC$91,Interest_Rate_Stresses_Setup!$A75,FALSE)</f>
        <v>1.5889799999999999E-2</v>
      </c>
      <c r="CK27" s="12">
        <f>HLOOKUP(CK$2,Interest_Rate_Stresses_Setup!$C$50:$BC$91,Interest_Rate_Stresses_Setup!$A75,FALSE)</f>
        <v>3.00898E-2</v>
      </c>
      <c r="CL27" s="12">
        <f>HLOOKUP(CL$2,Interest_Rate_Stresses_Setup!$C$50:$BC$91,Interest_Rate_Stresses_Setup!$A75,FALSE)</f>
        <v>3.1445899999999999E-2</v>
      </c>
      <c r="CM27" s="12">
        <f>HLOOKUP(CM$2,Interest_Rate_Stresses_Setup!$C$50:$BC$91,Interest_Rate_Stresses_Setup!$A75,FALSE)</f>
        <v>4.1776399999999998E-2</v>
      </c>
      <c r="CN27" s="12">
        <f>HLOOKUP(CN$2,Interest_Rate_Stresses_Setup!$C$50:$BC$91,Interest_Rate_Stresses_Setup!$A75,FALSE)</f>
        <v>1.9837399999999998E-2</v>
      </c>
      <c r="CO27" s="12">
        <f>HLOOKUP(CO$2,Interest_Rate_Stresses_Setup!$C$50:$BC$91,Interest_Rate_Stresses_Setup!$A75,FALSE)</f>
        <v>4.6668299999999996E-2</v>
      </c>
      <c r="CP27" s="12">
        <f>HLOOKUP(CP$2,Interest_Rate_Stresses_Setup!$C$50:$BC$91,Interest_Rate_Stresses_Setup!$A75,FALSE)</f>
        <v>4.9061E-3</v>
      </c>
      <c r="CQ27" s="12">
        <f>HLOOKUP(CQ$2,Interest_Rate_Stresses_Setup!$C$50:$BC$91,Interest_Rate_Stresses_Setup!$A75,FALSE)</f>
        <v>3.0955999999999997E-2</v>
      </c>
      <c r="CR27" s="12">
        <f>HLOOKUP(CR$2,Interest_Rate_Stresses_Setup!$C$50:$BC$91,Interest_Rate_Stresses_Setup!$A75,FALSE)</f>
        <v>5.5798899999999992E-2</v>
      </c>
      <c r="CS27" s="12">
        <f>HLOOKUP(CS$2,Interest_Rate_Stresses_Setup!$C$50:$BC$91,Interest_Rate_Stresses_Setup!$A75,FALSE)</f>
        <v>2.8889899999999996E-2</v>
      </c>
      <c r="CT27" s="12">
        <f>HLOOKUP(CT$2,Interest_Rate_Stresses_Setup!$C$50:$BC$91,Interest_Rate_Stresses_Setup!$A75,FALSE)</f>
        <v>1.9872899999999999E-2</v>
      </c>
      <c r="CU27" s="12">
        <f>HLOOKUP(CU$2,Interest_Rate_Stresses_Setup!$C$50:$BC$91,Interest_Rate_Stresses_Setup!$A75,FALSE)</f>
        <v>5.6487599999999999E-2</v>
      </c>
      <c r="CV27" s="12">
        <f>HLOOKUP(CV$2,Interest_Rate_Stresses_Setup!$C$50:$BC$91,Interest_Rate_Stresses_Setup!$A75,FALSE)</f>
        <v>1.4100599999999998E-2</v>
      </c>
      <c r="CW27" s="12">
        <f>HLOOKUP(CW$2,Interest_Rate_Stresses_Setup!$C$50:$BC$91,Interest_Rate_Stresses_Setup!$A75,FALSE)</f>
        <v>1.5676799999999998E-2</v>
      </c>
      <c r="CX27" s="12">
        <f>HLOOKUP(CX$2,Interest_Rate_Stresses_Setup!$C$50:$BC$91,Interest_Rate_Stresses_Setup!$A75,FALSE)</f>
        <v>2.2265599999999997E-2</v>
      </c>
      <c r="CY27" s="12">
        <f>HLOOKUP(CY$2,Interest_Rate_Stresses_Setup!$C$50:$BC$91,Interest_Rate_Stresses_Setup!$A75,FALSE)</f>
        <v>6.1116799999999999E-2</v>
      </c>
      <c r="CZ27" s="12">
        <f>HLOOKUP(CZ$2,Interest_Rate_Stresses_Setup!$C$50:$BC$91,Interest_Rate_Stresses_Setup!$A75,FALSE)</f>
        <v>1.8019799999999999E-2</v>
      </c>
      <c r="DA27" s="127">
        <f t="shared" si="2"/>
        <v>9.1518999999999993E-3</v>
      </c>
    </row>
    <row r="28" spans="1:105" x14ac:dyDescent="0.25">
      <c r="A28" s="11">
        <v>25</v>
      </c>
      <c r="B28" s="12">
        <f>HLOOKUP(B$2,EIOPA_Spot_Rates,EIOPA_RFR!$A37,FALSE)</f>
        <v>1.5509999999999999E-2</v>
      </c>
      <c r="C28" s="12">
        <f>HLOOKUP(C$2,EIOPA_Spot_Rates,EIOPA_RFR!$A37,FALSE)</f>
        <v>1.504E-2</v>
      </c>
      <c r="D28" s="12">
        <f>HLOOKUP(D$2,EIOPA_Spot_Rates,EIOPA_RFR!$A37,FALSE)</f>
        <v>3.4880000000000001E-2</v>
      </c>
      <c r="E28" s="12">
        <f>HLOOKUP(E$2,EIOPA_Spot_Rates,EIOPA_RFR!$A37,FALSE)</f>
        <v>2.0129999999999999E-2</v>
      </c>
      <c r="F28" s="12">
        <f>HLOOKUP(F$2,EIOPA_Spot_Rates,EIOPA_RFR!$A37,FALSE)</f>
        <v>1.542E-2</v>
      </c>
      <c r="G28" s="12">
        <f>HLOOKUP(G$2,EIOPA_Spot_Rates,EIOPA_RFR!$A37,FALSE)</f>
        <v>4.2970000000000001E-2</v>
      </c>
      <c r="H28" s="12">
        <f>HLOOKUP(H$2,EIOPA_Spot_Rates,EIOPA_RFR!$A37,FALSE)</f>
        <v>4.589E-2</v>
      </c>
      <c r="I28" s="12">
        <f>HLOOKUP(I$2,EIOPA_Spot_Rates,EIOPA_RFR!$A37,FALSE)</f>
        <v>4.8900000000000002E-3</v>
      </c>
      <c r="J28" s="12">
        <f>HLOOKUP(J$2,EIOPA_Spot_Rates,EIOPA_RFR!$A37,FALSE)</f>
        <v>2.751E-2</v>
      </c>
      <c r="K28" s="12">
        <f>HLOOKUP(K$2,EIOPA_Spot_Rates,EIOPA_RFR!$A37,FALSE)</f>
        <v>3.9649999999999998E-2</v>
      </c>
      <c r="L28" s="12">
        <f>HLOOKUP(L$2,EIOPA_Spot_Rates,EIOPA_RFR!$A37,FALSE)</f>
        <v>4.3920000000000001E-2</v>
      </c>
      <c r="M28" s="12">
        <f>HLOOKUP(M$2,EIOPA_Spot_Rates,EIOPA_RFR!$A37,FALSE)</f>
        <v>6.386E-2</v>
      </c>
      <c r="N28" s="12">
        <f>HLOOKUP(N$2,EIOPA_Spot_Rates,EIOPA_RFR!$A37,FALSE)</f>
        <v>2.7830000000000001E-2</v>
      </c>
      <c r="O28" s="12">
        <f>HLOOKUP(O$2,EIOPA_Spot_Rates,EIOPA_RFR!$A37,FALSE)</f>
        <v>1.286E-2</v>
      </c>
      <c r="P28" s="12">
        <f>HLOOKUP(P$2,EIOPA_Spot_Rates,EIOPA_RFR!$A37,FALSE)</f>
        <v>3.3270000000000001E-2</v>
      </c>
      <c r="Q28" s="12">
        <f>HLOOKUP(Q$2,EIOPA_Spot_Rates,EIOPA_RFR!$A37,FALSE)</f>
        <v>8.1430000000000002E-2</v>
      </c>
      <c r="R28" s="12">
        <f>HLOOKUP(R$2,EIOPA_Spot_Rates,EIOPA_RFR!$A37,FALSE)</f>
        <v>2.2270000000000002E-2</v>
      </c>
      <c r="S28" s="12">
        <f>HLOOKUP(S$2,EIOPA_Spot_Rates,EIOPA_RFR!$A37,FALSE)</f>
        <v>4.2419999999999999E-2</v>
      </c>
      <c r="T28" s="12">
        <f>HLOOKUP(T$2,EIOPA_Spot_Rates,EIOPA_RFR!$A37,FALSE)</f>
        <v>4.428E-2</v>
      </c>
      <c r="U28" s="12">
        <f>HLOOKUP(U$2,EIOPA_Spot_Rates,EIOPA_RFR!$A37,FALSE)</f>
        <v>5.8400000000000001E-2</v>
      </c>
      <c r="V28" s="12">
        <f>HLOOKUP(V$2,EIOPA_Spot_Rates,EIOPA_RFR!$A37,FALSE)</f>
        <v>2.8330000000000001E-2</v>
      </c>
      <c r="W28" s="12">
        <f>HLOOKUP(W$2,EIOPA_Spot_Rates,EIOPA_RFR!$A37,FALSE)</f>
        <v>6.5390000000000004E-2</v>
      </c>
      <c r="X28" s="12">
        <f>HLOOKUP(X$2,EIOPA_Spot_Rates,EIOPA_RFR!$A37,FALSE)</f>
        <v>7.0400000000000003E-3</v>
      </c>
      <c r="Y28" s="12">
        <f>HLOOKUP(Y$2,EIOPA_Spot_Rates,EIOPA_RFR!$A37,FALSE)</f>
        <v>4.3610000000000003E-2</v>
      </c>
      <c r="Z28" s="12">
        <f>HLOOKUP(Z$2,EIOPA_Spot_Rates,EIOPA_RFR!$A37,FALSE)</f>
        <v>7.8179999999999999E-2</v>
      </c>
      <c r="AA28" s="12">
        <f>HLOOKUP(AA$2,EIOPA_Spot_Rates,EIOPA_RFR!$A37,FALSE)</f>
        <v>4.088E-2</v>
      </c>
      <c r="AB28" s="12">
        <f>HLOOKUP(AB$2,EIOPA_Spot_Rates,EIOPA_RFR!$A37,FALSE)</f>
        <v>2.8309999999999998E-2</v>
      </c>
      <c r="AC28" s="12">
        <f>HLOOKUP(AC$2,EIOPA_Spot_Rates,EIOPA_RFR!$A37,FALSE)</f>
        <v>7.8869999999999996E-2</v>
      </c>
      <c r="AD28" s="12">
        <f>HLOOKUP(AD$2,EIOPA_Spot_Rates,EIOPA_RFR!$A37,FALSE)</f>
        <v>2.034E-2</v>
      </c>
      <c r="AE28" s="12">
        <f>HLOOKUP(AE$2,EIOPA_Spot_Rates,EIOPA_RFR!$A37,FALSE)</f>
        <v>2.2689999999999998E-2</v>
      </c>
      <c r="AF28" s="12">
        <f>HLOOKUP(AF$2,EIOPA_Spot_Rates,EIOPA_RFR!$A37,FALSE)</f>
        <v>3.1669999999999997E-2</v>
      </c>
      <c r="AG28" s="12">
        <f>HLOOKUP(AG$2,EIOPA_Spot_Rates,EIOPA_RFR!$A37,FALSE)</f>
        <v>8.5029999999999994E-2</v>
      </c>
      <c r="AH28" s="12">
        <f>HLOOKUP(AH$2,EIOPA_Spot_Rates,EIOPA_RFR!$A37,FALSE)</f>
        <v>2.5389999999999999E-2</v>
      </c>
      <c r="AI28" s="127">
        <f t="shared" si="0"/>
        <v>1.286E-2</v>
      </c>
      <c r="AJ28" s="16">
        <v>25</v>
      </c>
      <c r="AK28" s="12">
        <f>HLOOKUP(AK$2,Interest_Rate_Stresses_Setup!$C$6:$BC$47,Interest_Rate_Stresses_Setup!$A32,FALSE)</f>
        <v>2.5509999999999998E-2</v>
      </c>
      <c r="AL28" s="12">
        <f>HLOOKUP(AL$2,Interest_Rate_Stresses_Setup!$C$6:$BC$47,Interest_Rate_Stresses_Setup!$A32,FALSE)</f>
        <v>2.504E-2</v>
      </c>
      <c r="AM28" s="12">
        <f>HLOOKUP(AM$2,Interest_Rate_Stresses_Setup!$C$6:$BC$47,Interest_Rate_Stresses_Setup!$A32,FALSE)</f>
        <v>4.4880000000000003E-2</v>
      </c>
      <c r="AN28" s="12">
        <f>HLOOKUP(AN$2,Interest_Rate_Stresses_Setup!$C$6:$BC$47,Interest_Rate_Stresses_Setup!$A32,FALSE)</f>
        <v>3.0129999999999997E-2</v>
      </c>
      <c r="AO28" s="12">
        <f>HLOOKUP(AO$2,Interest_Rate_Stresses_Setup!$C$6:$BC$47,Interest_Rate_Stresses_Setup!$A32,FALSE)</f>
        <v>2.5419999999999998E-2</v>
      </c>
      <c r="AP28" s="12">
        <f>HLOOKUP(AP$2,Interest_Rate_Stresses_Setup!$C$6:$BC$47,Interest_Rate_Stresses_Setup!$A32,FALSE)</f>
        <v>5.2970000000000003E-2</v>
      </c>
      <c r="AQ28" s="12">
        <f>HLOOKUP(AQ$2,Interest_Rate_Stresses_Setup!$C$6:$BC$47,Interest_Rate_Stresses_Setup!$A32,FALSE)</f>
        <v>5.5890000000000002E-2</v>
      </c>
      <c r="AR28" s="12">
        <f>HLOOKUP(AR$2,Interest_Rate_Stresses_Setup!$C$6:$BC$47,Interest_Rate_Stresses_Setup!$A32,FALSE)</f>
        <v>1.489E-2</v>
      </c>
      <c r="AS28" s="12">
        <f>HLOOKUP(AS$2,Interest_Rate_Stresses_Setup!$C$6:$BC$47,Interest_Rate_Stresses_Setup!$A32,FALSE)</f>
        <v>3.7510000000000002E-2</v>
      </c>
      <c r="AT28" s="12">
        <f>HLOOKUP(AT$2,Interest_Rate_Stresses_Setup!$C$6:$BC$47,Interest_Rate_Stresses_Setup!$A32,FALSE)</f>
        <v>4.965E-2</v>
      </c>
      <c r="AU28" s="12">
        <f>HLOOKUP(AU$2,Interest_Rate_Stresses_Setup!$C$6:$BC$47,Interest_Rate_Stresses_Setup!$A32,FALSE)</f>
        <v>5.3920000000000003E-2</v>
      </c>
      <c r="AV28" s="12">
        <f>HLOOKUP(AV$2,Interest_Rate_Stresses_Setup!$C$6:$BC$47,Interest_Rate_Stresses_Setup!$A32,FALSE)</f>
        <v>7.3859999999999995E-2</v>
      </c>
      <c r="AW28" s="12">
        <f>HLOOKUP(AW$2,Interest_Rate_Stresses_Setup!$C$6:$BC$47,Interest_Rate_Stresses_Setup!$A32,FALSE)</f>
        <v>3.7830000000000003E-2</v>
      </c>
      <c r="AX28" s="12">
        <f>HLOOKUP(AX$2,Interest_Rate_Stresses_Setup!$C$6:$BC$47,Interest_Rate_Stresses_Setup!$A32,FALSE)</f>
        <v>2.2859999999999998E-2</v>
      </c>
      <c r="AY28" s="12">
        <f>HLOOKUP(AY$2,Interest_Rate_Stresses_Setup!$C$6:$BC$47,Interest_Rate_Stresses_Setup!$A32,FALSE)</f>
        <v>4.3270000000000003E-2</v>
      </c>
      <c r="AZ28" s="12">
        <f>HLOOKUP(AZ$2,Interest_Rate_Stresses_Setup!$C$6:$BC$47,Interest_Rate_Stresses_Setup!$A32,FALSE)</f>
        <v>9.1429999999999997E-2</v>
      </c>
      <c r="BA28" s="12">
        <f>HLOOKUP(BA$2,Interest_Rate_Stresses_Setup!$C$6:$BC$47,Interest_Rate_Stresses_Setup!$A32,FALSE)</f>
        <v>3.227E-2</v>
      </c>
      <c r="BB28" s="12">
        <f>HLOOKUP(BB$2,Interest_Rate_Stresses_Setup!$C$6:$BC$47,Interest_Rate_Stresses_Setup!$A32,FALSE)</f>
        <v>5.2420000000000001E-2</v>
      </c>
      <c r="BC28" s="12">
        <f>HLOOKUP(BC$2,Interest_Rate_Stresses_Setup!$C$6:$BC$47,Interest_Rate_Stresses_Setup!$A32,FALSE)</f>
        <v>5.4280000000000002E-2</v>
      </c>
      <c r="BD28" s="12">
        <f>HLOOKUP(BD$2,Interest_Rate_Stresses_Setup!$C$6:$BC$47,Interest_Rate_Stresses_Setup!$A32,FALSE)</f>
        <v>6.8400000000000002E-2</v>
      </c>
      <c r="BE28" s="12">
        <f>HLOOKUP(BE$2,Interest_Rate_Stresses_Setup!$C$6:$BC$47,Interest_Rate_Stresses_Setup!$A32,FALSE)</f>
        <v>3.8330000000000003E-2</v>
      </c>
      <c r="BF28" s="12">
        <f>HLOOKUP(BF$2,Interest_Rate_Stresses_Setup!$C$6:$BC$47,Interest_Rate_Stresses_Setup!$A32,FALSE)</f>
        <v>7.5389999999999999E-2</v>
      </c>
      <c r="BG28" s="12">
        <f>HLOOKUP(BG$2,Interest_Rate_Stresses_Setup!$C$6:$BC$47,Interest_Rate_Stresses_Setup!$A32,FALSE)</f>
        <v>1.704E-2</v>
      </c>
      <c r="BH28" s="12">
        <f>HLOOKUP(BH$2,Interest_Rate_Stresses_Setup!$C$6:$BC$47,Interest_Rate_Stresses_Setup!$A32,FALSE)</f>
        <v>5.3610000000000005E-2</v>
      </c>
      <c r="BI28" s="12">
        <f>HLOOKUP(BI$2,Interest_Rate_Stresses_Setup!$C$6:$BC$47,Interest_Rate_Stresses_Setup!$A32,FALSE)</f>
        <v>8.8179999999999994E-2</v>
      </c>
      <c r="BJ28" s="12">
        <f>HLOOKUP(BJ$2,Interest_Rate_Stresses_Setup!$C$6:$BC$47,Interest_Rate_Stresses_Setup!$A32,FALSE)</f>
        <v>5.0880000000000002E-2</v>
      </c>
      <c r="BK28" s="12">
        <f>HLOOKUP(BK$2,Interest_Rate_Stresses_Setup!$C$6:$BC$47,Interest_Rate_Stresses_Setup!$A32,FALSE)</f>
        <v>3.8309999999999997E-2</v>
      </c>
      <c r="BL28" s="12">
        <f>HLOOKUP(BL$2,Interest_Rate_Stresses_Setup!$C$6:$BC$47,Interest_Rate_Stresses_Setup!$A32,FALSE)</f>
        <v>8.8869999999999991E-2</v>
      </c>
      <c r="BM28" s="12">
        <f>HLOOKUP(BM$2,Interest_Rate_Stresses_Setup!$C$6:$BC$47,Interest_Rate_Stresses_Setup!$A32,FALSE)</f>
        <v>3.0339999999999999E-2</v>
      </c>
      <c r="BN28" s="12">
        <f>HLOOKUP(BN$2,Interest_Rate_Stresses_Setup!$C$6:$BC$47,Interest_Rate_Stresses_Setup!$A32,FALSE)</f>
        <v>3.2689999999999997E-2</v>
      </c>
      <c r="BO28" s="12">
        <f>HLOOKUP(BO$2,Interest_Rate_Stresses_Setup!$C$6:$BC$47,Interest_Rate_Stresses_Setup!$A32,FALSE)</f>
        <v>4.1669999999999999E-2</v>
      </c>
      <c r="BP28" s="12">
        <f>HLOOKUP(BP$2,Interest_Rate_Stresses_Setup!$C$6:$BC$47,Interest_Rate_Stresses_Setup!$A32,FALSE)</f>
        <v>9.5029999999999989E-2</v>
      </c>
      <c r="BQ28" s="12">
        <f>HLOOKUP(BQ$2,Interest_Rate_Stresses_Setup!$C$6:$BC$47,Interest_Rate_Stresses_Setup!$A32,FALSE)</f>
        <v>3.5389999999999998E-2</v>
      </c>
      <c r="BR28" s="127">
        <f t="shared" si="1"/>
        <v>2.2859999999999998E-2</v>
      </c>
      <c r="BS28" s="16">
        <v>25</v>
      </c>
      <c r="BT28" s="12">
        <f>HLOOKUP(BT$2,Interest_Rate_Stresses_Setup!$C$50:$BC$91,Interest_Rate_Stresses_Setup!$A76,FALSE)</f>
        <v>1.1012099999999999E-2</v>
      </c>
      <c r="BU28" s="12">
        <f>HLOOKUP(BU$2,Interest_Rate_Stresses_Setup!$C$50:$BC$91,Interest_Rate_Stresses_Setup!$A76,FALSE)</f>
        <v>1.0678399999999999E-2</v>
      </c>
      <c r="BV28" s="12">
        <f>HLOOKUP(BV$2,Interest_Rate_Stresses_Setup!$C$50:$BC$91,Interest_Rate_Stresses_Setup!$A76,FALSE)</f>
        <v>2.47648E-2</v>
      </c>
      <c r="BW28" s="12">
        <f>HLOOKUP(BW$2,Interest_Rate_Stresses_Setup!$C$50:$BC$91,Interest_Rate_Stresses_Setup!$A76,FALSE)</f>
        <v>1.4292299999999999E-2</v>
      </c>
      <c r="BX28" s="12">
        <f>HLOOKUP(BX$2,Interest_Rate_Stresses_Setup!$C$50:$BC$91,Interest_Rate_Stresses_Setup!$A76,FALSE)</f>
        <v>1.09482E-2</v>
      </c>
      <c r="BY28" s="12">
        <f>HLOOKUP(BY$2,Interest_Rate_Stresses_Setup!$C$50:$BC$91,Interest_Rate_Stresses_Setup!$A76,FALSE)</f>
        <v>3.05087E-2</v>
      </c>
      <c r="BZ28" s="12">
        <f>HLOOKUP(BZ$2,Interest_Rate_Stresses_Setup!$C$50:$BC$91,Interest_Rate_Stresses_Setup!$A76,FALSE)</f>
        <v>3.2581899999999997E-2</v>
      </c>
      <c r="CA28" s="12">
        <f>HLOOKUP(CA$2,Interest_Rate_Stresses_Setup!$C$50:$BC$91,Interest_Rate_Stresses_Setup!$A76,FALSE)</f>
        <v>3.4719E-3</v>
      </c>
      <c r="CB28" s="12">
        <f>HLOOKUP(CB$2,Interest_Rate_Stresses_Setup!$C$50:$BC$91,Interest_Rate_Stresses_Setup!$A76,FALSE)</f>
        <v>1.95321E-2</v>
      </c>
      <c r="CC28" s="12">
        <f>HLOOKUP(CC$2,Interest_Rate_Stresses_Setup!$C$50:$BC$91,Interest_Rate_Stresses_Setup!$A76,FALSE)</f>
        <v>2.8151499999999996E-2</v>
      </c>
      <c r="CD28" s="12">
        <f>HLOOKUP(CD$2,Interest_Rate_Stresses_Setup!$C$50:$BC$91,Interest_Rate_Stresses_Setup!$A76,FALSE)</f>
        <v>3.1183199999999998E-2</v>
      </c>
      <c r="CE28" s="12">
        <f>HLOOKUP(CE$2,Interest_Rate_Stresses_Setup!$C$50:$BC$91,Interest_Rate_Stresses_Setup!$A76,FALSE)</f>
        <v>4.5340599999999995E-2</v>
      </c>
      <c r="CF28" s="12">
        <f>HLOOKUP(CF$2,Interest_Rate_Stresses_Setup!$C$50:$BC$91,Interest_Rate_Stresses_Setup!$A76,FALSE)</f>
        <v>1.97593E-2</v>
      </c>
      <c r="CG28" s="12">
        <f>HLOOKUP(CG$2,Interest_Rate_Stresses_Setup!$C$50:$BC$91,Interest_Rate_Stresses_Setup!$A76,FALSE)</f>
        <v>9.1305999999999991E-3</v>
      </c>
      <c r="CH28" s="12">
        <f>HLOOKUP(CH$2,Interest_Rate_Stresses_Setup!$C$50:$BC$91,Interest_Rate_Stresses_Setup!$A76,FALSE)</f>
        <v>2.3621699999999999E-2</v>
      </c>
      <c r="CI28" s="12">
        <f>HLOOKUP(CI$2,Interest_Rate_Stresses_Setup!$C$50:$BC$91,Interest_Rate_Stresses_Setup!$A76,FALSE)</f>
        <v>5.78153E-2</v>
      </c>
      <c r="CJ28" s="12">
        <f>HLOOKUP(CJ$2,Interest_Rate_Stresses_Setup!$C$50:$BC$91,Interest_Rate_Stresses_Setup!$A76,FALSE)</f>
        <v>1.5811700000000001E-2</v>
      </c>
      <c r="CK28" s="12">
        <f>HLOOKUP(CK$2,Interest_Rate_Stresses_Setup!$C$50:$BC$91,Interest_Rate_Stresses_Setup!$A76,FALSE)</f>
        <v>3.0118199999999998E-2</v>
      </c>
      <c r="CL28" s="12">
        <f>HLOOKUP(CL$2,Interest_Rate_Stresses_Setup!$C$50:$BC$91,Interest_Rate_Stresses_Setup!$A76,FALSE)</f>
        <v>3.1438799999999996E-2</v>
      </c>
      <c r="CM28" s="12">
        <f>HLOOKUP(CM$2,Interest_Rate_Stresses_Setup!$C$50:$BC$91,Interest_Rate_Stresses_Setup!$A76,FALSE)</f>
        <v>4.1464000000000001E-2</v>
      </c>
      <c r="CN28" s="12">
        <f>HLOOKUP(CN$2,Interest_Rate_Stresses_Setup!$C$50:$BC$91,Interest_Rate_Stresses_Setup!$A76,FALSE)</f>
        <v>2.0114299999999998E-2</v>
      </c>
      <c r="CO28" s="12">
        <f>HLOOKUP(CO$2,Interest_Rate_Stresses_Setup!$C$50:$BC$91,Interest_Rate_Stresses_Setup!$A76,FALSE)</f>
        <v>4.64269E-2</v>
      </c>
      <c r="CP28" s="12">
        <f>HLOOKUP(CP$2,Interest_Rate_Stresses_Setup!$C$50:$BC$91,Interest_Rate_Stresses_Setup!$A76,FALSE)</f>
        <v>4.9984000000000001E-3</v>
      </c>
      <c r="CQ28" s="12">
        <f>HLOOKUP(CQ$2,Interest_Rate_Stresses_Setup!$C$50:$BC$91,Interest_Rate_Stresses_Setup!$A76,FALSE)</f>
        <v>3.09631E-2</v>
      </c>
      <c r="CR28" s="12">
        <f>HLOOKUP(CR$2,Interest_Rate_Stresses_Setup!$C$50:$BC$91,Interest_Rate_Stresses_Setup!$A76,FALSE)</f>
        <v>5.5507799999999996E-2</v>
      </c>
      <c r="CS28" s="12">
        <f>HLOOKUP(CS$2,Interest_Rate_Stresses_Setup!$C$50:$BC$91,Interest_Rate_Stresses_Setup!$A76,FALSE)</f>
        <v>2.90248E-2</v>
      </c>
      <c r="CT28" s="12">
        <f>HLOOKUP(CT$2,Interest_Rate_Stresses_Setup!$C$50:$BC$91,Interest_Rate_Stresses_Setup!$A76,FALSE)</f>
        <v>2.0100099999999999E-2</v>
      </c>
      <c r="CU28" s="12">
        <f>HLOOKUP(CU$2,Interest_Rate_Stresses_Setup!$C$50:$BC$91,Interest_Rate_Stresses_Setup!$A76,FALSE)</f>
        <v>5.5997699999999997E-2</v>
      </c>
      <c r="CV28" s="12">
        <f>HLOOKUP(CV$2,Interest_Rate_Stresses_Setup!$C$50:$BC$91,Interest_Rate_Stresses_Setup!$A76,FALSE)</f>
        <v>1.44414E-2</v>
      </c>
      <c r="CW28" s="12">
        <f>HLOOKUP(CW$2,Interest_Rate_Stresses_Setup!$C$50:$BC$91,Interest_Rate_Stresses_Setup!$A76,FALSE)</f>
        <v>1.6109899999999996E-2</v>
      </c>
      <c r="CX28" s="12">
        <f>HLOOKUP(CX$2,Interest_Rate_Stresses_Setup!$C$50:$BC$91,Interest_Rate_Stresses_Setup!$A76,FALSE)</f>
        <v>2.2485699999999997E-2</v>
      </c>
      <c r="CY28" s="12">
        <f>HLOOKUP(CY$2,Interest_Rate_Stresses_Setup!$C$50:$BC$91,Interest_Rate_Stresses_Setup!$A76,FALSE)</f>
        <v>6.0371299999999996E-2</v>
      </c>
      <c r="CZ28" s="12">
        <f>HLOOKUP(CZ$2,Interest_Rate_Stresses_Setup!$C$50:$BC$91,Interest_Rate_Stresses_Setup!$A76,FALSE)</f>
        <v>1.8026899999999998E-2</v>
      </c>
      <c r="DA28" s="127">
        <f t="shared" si="2"/>
        <v>9.1305999999999991E-3</v>
      </c>
    </row>
    <row r="29" spans="1:105" x14ac:dyDescent="0.25">
      <c r="A29" s="11">
        <v>26</v>
      </c>
      <c r="B29" s="12">
        <f>HLOOKUP(B$2,EIOPA_Spot_Rates,EIOPA_RFR!$A38,FALSE)</f>
        <v>1.6160000000000001E-2</v>
      </c>
      <c r="C29" s="12">
        <f>HLOOKUP(C$2,EIOPA_Spot_Rates,EIOPA_RFR!$A38,FALSE)</f>
        <v>1.5709999999999998E-2</v>
      </c>
      <c r="D29" s="12">
        <f>HLOOKUP(D$2,EIOPA_Spot_Rates,EIOPA_RFR!$A38,FALSE)</f>
        <v>3.5090000000000003E-2</v>
      </c>
      <c r="E29" s="12">
        <f>HLOOKUP(E$2,EIOPA_Spot_Rates,EIOPA_RFR!$A38,FALSE)</f>
        <v>2.0760000000000001E-2</v>
      </c>
      <c r="F29" s="12">
        <f>HLOOKUP(F$2,EIOPA_Spot_Rates,EIOPA_RFR!$A38,FALSE)</f>
        <v>1.6070000000000001E-2</v>
      </c>
      <c r="G29" s="12">
        <f>HLOOKUP(G$2,EIOPA_Spot_Rates,EIOPA_RFR!$A38,FALSE)</f>
        <v>4.3090000000000003E-2</v>
      </c>
      <c r="H29" s="12">
        <f>HLOOKUP(H$2,EIOPA_Spot_Rates,EIOPA_RFR!$A38,FALSE)</f>
        <v>4.58E-2</v>
      </c>
      <c r="I29" s="12">
        <f>HLOOKUP(I$2,EIOPA_Spot_Rates,EIOPA_RFR!$A38,FALSE)</f>
        <v>5.2100000000000002E-3</v>
      </c>
      <c r="J29" s="12">
        <f>HLOOKUP(J$2,EIOPA_Spot_Rates,EIOPA_RFR!$A38,FALSE)</f>
        <v>2.794E-2</v>
      </c>
      <c r="K29" s="12">
        <f>HLOOKUP(K$2,EIOPA_Spot_Rates,EIOPA_RFR!$A38,FALSE)</f>
        <v>3.9780000000000003E-2</v>
      </c>
      <c r="L29" s="12">
        <f>HLOOKUP(L$2,EIOPA_Spot_Rates,EIOPA_RFR!$A38,FALSE)</f>
        <v>4.394E-2</v>
      </c>
      <c r="M29" s="12">
        <f>HLOOKUP(M$2,EIOPA_Spot_Rates,EIOPA_RFR!$A38,FALSE)</f>
        <v>6.3219999999999998E-2</v>
      </c>
      <c r="N29" s="12">
        <f>HLOOKUP(N$2,EIOPA_Spot_Rates,EIOPA_RFR!$A38,FALSE)</f>
        <v>2.8369999999999999E-2</v>
      </c>
      <c r="O29" s="12">
        <f>HLOOKUP(O$2,EIOPA_Spot_Rates,EIOPA_RFR!$A38,FALSE)</f>
        <v>1.281E-2</v>
      </c>
      <c r="P29" s="12">
        <f>HLOOKUP(P$2,EIOPA_Spot_Rates,EIOPA_RFR!$A38,FALSE)</f>
        <v>3.329E-2</v>
      </c>
      <c r="Q29" s="12">
        <f>HLOOKUP(Q$2,EIOPA_Spot_Rates,EIOPA_RFR!$A38,FALSE)</f>
        <v>8.0589999999999995E-2</v>
      </c>
      <c r="R29" s="12">
        <f>HLOOKUP(R$2,EIOPA_Spot_Rates,EIOPA_RFR!$A38,FALSE)</f>
        <v>2.2190000000000001E-2</v>
      </c>
      <c r="S29" s="12">
        <f>HLOOKUP(S$2,EIOPA_Spot_Rates,EIOPA_RFR!$A38,FALSE)</f>
        <v>4.2459999999999998E-2</v>
      </c>
      <c r="T29" s="12">
        <f>HLOOKUP(T$2,EIOPA_Spot_Rates,EIOPA_RFR!$A38,FALSE)</f>
        <v>4.4260000000000001E-2</v>
      </c>
      <c r="U29" s="12">
        <f>HLOOKUP(U$2,EIOPA_Spot_Rates,EIOPA_RFR!$A38,FALSE)</f>
        <v>5.7970000000000001E-2</v>
      </c>
      <c r="V29" s="12">
        <f>HLOOKUP(V$2,EIOPA_Spot_Rates,EIOPA_RFR!$A38,FALSE)</f>
        <v>2.8709999999999999E-2</v>
      </c>
      <c r="W29" s="12">
        <f>HLOOKUP(W$2,EIOPA_Spot_Rates,EIOPA_RFR!$A38,FALSE)</f>
        <v>6.5049999999999997E-2</v>
      </c>
      <c r="X29" s="12">
        <f>HLOOKUP(X$2,EIOPA_Spot_Rates,EIOPA_RFR!$A38,FALSE)</f>
        <v>7.1199999999999996E-3</v>
      </c>
      <c r="Y29" s="12">
        <f>HLOOKUP(Y$2,EIOPA_Spot_Rates,EIOPA_RFR!$A38,FALSE)</f>
        <v>4.3619999999999999E-2</v>
      </c>
      <c r="Z29" s="12">
        <f>HLOOKUP(Z$2,EIOPA_Spot_Rates,EIOPA_RFR!$A38,FALSE)</f>
        <v>7.7719999999999997E-2</v>
      </c>
      <c r="AA29" s="12">
        <f>HLOOKUP(AA$2,EIOPA_Spot_Rates,EIOPA_RFR!$A38,FALSE)</f>
        <v>4.104E-2</v>
      </c>
      <c r="AB29" s="12">
        <f>HLOOKUP(AB$2,EIOPA_Spot_Rates,EIOPA_RFR!$A38,FALSE)</f>
        <v>2.862E-2</v>
      </c>
      <c r="AC29" s="12">
        <f>HLOOKUP(AC$2,EIOPA_Spot_Rates,EIOPA_RFR!$A38,FALSE)</f>
        <v>7.8189999999999996E-2</v>
      </c>
      <c r="AD29" s="12">
        <f>HLOOKUP(AD$2,EIOPA_Spot_Rates,EIOPA_RFR!$A38,FALSE)</f>
        <v>2.0820000000000002E-2</v>
      </c>
      <c r="AE29" s="12">
        <f>HLOOKUP(AE$2,EIOPA_Spot_Rates,EIOPA_RFR!$A38,FALSE)</f>
        <v>2.3269999999999999E-2</v>
      </c>
      <c r="AF29" s="12">
        <f>HLOOKUP(AF$2,EIOPA_Spot_Rates,EIOPA_RFR!$A38,FALSE)</f>
        <v>3.1960000000000002E-2</v>
      </c>
      <c r="AG29" s="12">
        <f>HLOOKUP(AG$2,EIOPA_Spot_Rates,EIOPA_RFR!$A38,FALSE)</f>
        <v>8.4029999999999994E-2</v>
      </c>
      <c r="AH29" s="12">
        <f>HLOOKUP(AH$2,EIOPA_Spot_Rates,EIOPA_RFR!$A38,FALSE)</f>
        <v>2.5399999999999999E-2</v>
      </c>
      <c r="AI29" s="127">
        <f t="shared" si="0"/>
        <v>1.281E-2</v>
      </c>
      <c r="AJ29" s="16">
        <v>26</v>
      </c>
      <c r="AK29" s="12">
        <f>HLOOKUP(AK$2,Interest_Rate_Stresses_Setup!$C$6:$BC$47,Interest_Rate_Stresses_Setup!$A33,FALSE)</f>
        <v>2.6160000000000003E-2</v>
      </c>
      <c r="AL29" s="12">
        <f>HLOOKUP(AL$2,Interest_Rate_Stresses_Setup!$C$6:$BC$47,Interest_Rate_Stresses_Setup!$A33,FALSE)</f>
        <v>2.5709999999999997E-2</v>
      </c>
      <c r="AM29" s="12">
        <f>HLOOKUP(AM$2,Interest_Rate_Stresses_Setup!$C$6:$BC$47,Interest_Rate_Stresses_Setup!$A33,FALSE)</f>
        <v>4.5090000000000005E-2</v>
      </c>
      <c r="AN29" s="12">
        <f>HLOOKUP(AN$2,Interest_Rate_Stresses_Setup!$C$6:$BC$47,Interest_Rate_Stresses_Setup!$A33,FALSE)</f>
        <v>3.0760000000000003E-2</v>
      </c>
      <c r="AO29" s="12">
        <f>HLOOKUP(AO$2,Interest_Rate_Stresses_Setup!$C$6:$BC$47,Interest_Rate_Stresses_Setup!$A33,FALSE)</f>
        <v>2.6070000000000003E-2</v>
      </c>
      <c r="AP29" s="12">
        <f>HLOOKUP(AP$2,Interest_Rate_Stresses_Setup!$C$6:$BC$47,Interest_Rate_Stresses_Setup!$A33,FALSE)</f>
        <v>5.3090000000000005E-2</v>
      </c>
      <c r="AQ29" s="12">
        <f>HLOOKUP(AQ$2,Interest_Rate_Stresses_Setup!$C$6:$BC$47,Interest_Rate_Stresses_Setup!$A33,FALSE)</f>
        <v>5.5800000000000002E-2</v>
      </c>
      <c r="AR29" s="12">
        <f>HLOOKUP(AR$2,Interest_Rate_Stresses_Setup!$C$6:$BC$47,Interest_Rate_Stresses_Setup!$A33,FALSE)</f>
        <v>1.5210000000000001E-2</v>
      </c>
      <c r="AS29" s="12">
        <f>HLOOKUP(AS$2,Interest_Rate_Stresses_Setup!$C$6:$BC$47,Interest_Rate_Stresses_Setup!$A33,FALSE)</f>
        <v>3.7940000000000002E-2</v>
      </c>
      <c r="AT29" s="12">
        <f>HLOOKUP(AT$2,Interest_Rate_Stresses_Setup!$C$6:$BC$47,Interest_Rate_Stresses_Setup!$A33,FALSE)</f>
        <v>4.9780000000000005E-2</v>
      </c>
      <c r="AU29" s="12">
        <f>HLOOKUP(AU$2,Interest_Rate_Stresses_Setup!$C$6:$BC$47,Interest_Rate_Stresses_Setup!$A33,FALSE)</f>
        <v>5.3940000000000002E-2</v>
      </c>
      <c r="AV29" s="12">
        <f>HLOOKUP(AV$2,Interest_Rate_Stresses_Setup!$C$6:$BC$47,Interest_Rate_Stresses_Setup!$A33,FALSE)</f>
        <v>7.3219999999999993E-2</v>
      </c>
      <c r="AW29" s="12">
        <f>HLOOKUP(AW$2,Interest_Rate_Stresses_Setup!$C$6:$BC$47,Interest_Rate_Stresses_Setup!$A33,FALSE)</f>
        <v>3.8370000000000001E-2</v>
      </c>
      <c r="AX29" s="12">
        <f>HLOOKUP(AX$2,Interest_Rate_Stresses_Setup!$C$6:$BC$47,Interest_Rate_Stresses_Setup!$A33,FALSE)</f>
        <v>2.281E-2</v>
      </c>
      <c r="AY29" s="12">
        <f>HLOOKUP(AY$2,Interest_Rate_Stresses_Setup!$C$6:$BC$47,Interest_Rate_Stresses_Setup!$A33,FALSE)</f>
        <v>4.3290000000000002E-2</v>
      </c>
      <c r="AZ29" s="12">
        <f>HLOOKUP(AZ$2,Interest_Rate_Stresses_Setup!$C$6:$BC$47,Interest_Rate_Stresses_Setup!$A33,FALSE)</f>
        <v>9.058999999999999E-2</v>
      </c>
      <c r="BA29" s="12">
        <f>HLOOKUP(BA$2,Interest_Rate_Stresses_Setup!$C$6:$BC$47,Interest_Rate_Stresses_Setup!$A33,FALSE)</f>
        <v>3.2190000000000003E-2</v>
      </c>
      <c r="BB29" s="12">
        <f>HLOOKUP(BB$2,Interest_Rate_Stresses_Setup!$C$6:$BC$47,Interest_Rate_Stresses_Setup!$A33,FALSE)</f>
        <v>5.246E-2</v>
      </c>
      <c r="BC29" s="12">
        <f>HLOOKUP(BC$2,Interest_Rate_Stresses_Setup!$C$6:$BC$47,Interest_Rate_Stresses_Setup!$A33,FALSE)</f>
        <v>5.4260000000000003E-2</v>
      </c>
      <c r="BD29" s="12">
        <f>HLOOKUP(BD$2,Interest_Rate_Stresses_Setup!$C$6:$BC$47,Interest_Rate_Stresses_Setup!$A33,FALSE)</f>
        <v>6.7970000000000003E-2</v>
      </c>
      <c r="BE29" s="12">
        <f>HLOOKUP(BE$2,Interest_Rate_Stresses_Setup!$C$6:$BC$47,Interest_Rate_Stresses_Setup!$A33,FALSE)</f>
        <v>3.8710000000000001E-2</v>
      </c>
      <c r="BF29" s="12">
        <f>HLOOKUP(BF$2,Interest_Rate_Stresses_Setup!$C$6:$BC$47,Interest_Rate_Stresses_Setup!$A33,FALSE)</f>
        <v>7.5049999999999992E-2</v>
      </c>
      <c r="BG29" s="12">
        <f>HLOOKUP(BG$2,Interest_Rate_Stresses_Setup!$C$6:$BC$47,Interest_Rate_Stresses_Setup!$A33,FALSE)</f>
        <v>1.712E-2</v>
      </c>
      <c r="BH29" s="12">
        <f>HLOOKUP(BH$2,Interest_Rate_Stresses_Setup!$C$6:$BC$47,Interest_Rate_Stresses_Setup!$A33,FALSE)</f>
        <v>5.3620000000000001E-2</v>
      </c>
      <c r="BI29" s="12">
        <f>HLOOKUP(BI$2,Interest_Rate_Stresses_Setup!$C$6:$BC$47,Interest_Rate_Stresses_Setup!$A33,FALSE)</f>
        <v>8.7719999999999992E-2</v>
      </c>
      <c r="BJ29" s="12">
        <f>HLOOKUP(BJ$2,Interest_Rate_Stresses_Setup!$C$6:$BC$47,Interest_Rate_Stresses_Setup!$A33,FALSE)</f>
        <v>5.1040000000000002E-2</v>
      </c>
      <c r="BK29" s="12">
        <f>HLOOKUP(BK$2,Interest_Rate_Stresses_Setup!$C$6:$BC$47,Interest_Rate_Stresses_Setup!$A33,FALSE)</f>
        <v>3.8620000000000002E-2</v>
      </c>
      <c r="BL29" s="12">
        <f>HLOOKUP(BL$2,Interest_Rate_Stresses_Setup!$C$6:$BC$47,Interest_Rate_Stresses_Setup!$A33,FALSE)</f>
        <v>8.8189999999999991E-2</v>
      </c>
      <c r="BM29" s="12">
        <f>HLOOKUP(BM$2,Interest_Rate_Stresses_Setup!$C$6:$BC$47,Interest_Rate_Stresses_Setup!$A33,FALSE)</f>
        <v>3.082E-2</v>
      </c>
      <c r="BN29" s="12">
        <f>HLOOKUP(BN$2,Interest_Rate_Stresses_Setup!$C$6:$BC$47,Interest_Rate_Stresses_Setup!$A33,FALSE)</f>
        <v>3.3270000000000001E-2</v>
      </c>
      <c r="BO29" s="12">
        <f>HLOOKUP(BO$2,Interest_Rate_Stresses_Setup!$C$6:$BC$47,Interest_Rate_Stresses_Setup!$A33,FALSE)</f>
        <v>4.1960000000000004E-2</v>
      </c>
      <c r="BP29" s="12">
        <f>HLOOKUP(BP$2,Interest_Rate_Stresses_Setup!$C$6:$BC$47,Interest_Rate_Stresses_Setup!$A33,FALSE)</f>
        <v>9.4029999999999989E-2</v>
      </c>
      <c r="BQ29" s="12">
        <f>HLOOKUP(BQ$2,Interest_Rate_Stresses_Setup!$C$6:$BC$47,Interest_Rate_Stresses_Setup!$A33,FALSE)</f>
        <v>3.5400000000000001E-2</v>
      </c>
      <c r="BR29" s="127">
        <f t="shared" si="1"/>
        <v>2.281E-2</v>
      </c>
      <c r="BS29" s="16">
        <v>26</v>
      </c>
      <c r="BT29" s="12">
        <f>HLOOKUP(BT$2,Interest_Rate_Stresses_Setup!$C$50:$BC$91,Interest_Rate_Stresses_Setup!$A77,FALSE)</f>
        <v>1.14736E-2</v>
      </c>
      <c r="BU29" s="12">
        <f>HLOOKUP(BU$2,Interest_Rate_Stresses_Setup!$C$50:$BC$91,Interest_Rate_Stresses_Setup!$A77,FALSE)</f>
        <v>1.1154099999999998E-2</v>
      </c>
      <c r="BV29" s="12">
        <f>HLOOKUP(BV$2,Interest_Rate_Stresses_Setup!$C$50:$BC$91,Interest_Rate_Stresses_Setup!$A77,FALSE)</f>
        <v>2.4913900000000003E-2</v>
      </c>
      <c r="BW29" s="12">
        <f>HLOOKUP(BW$2,Interest_Rate_Stresses_Setup!$C$50:$BC$91,Interest_Rate_Stresses_Setup!$A77,FALSE)</f>
        <v>1.47396E-2</v>
      </c>
      <c r="BX29" s="12">
        <f>HLOOKUP(BX$2,Interest_Rate_Stresses_Setup!$C$50:$BC$91,Interest_Rate_Stresses_Setup!$A77,FALSE)</f>
        <v>1.14097E-2</v>
      </c>
      <c r="BY29" s="12">
        <f>HLOOKUP(BY$2,Interest_Rate_Stresses_Setup!$C$50:$BC$91,Interest_Rate_Stresses_Setup!$A77,FALSE)</f>
        <v>3.05939E-2</v>
      </c>
      <c r="BZ29" s="12">
        <f>HLOOKUP(BZ$2,Interest_Rate_Stresses_Setup!$C$50:$BC$91,Interest_Rate_Stresses_Setup!$A77,FALSE)</f>
        <v>3.2517999999999998E-2</v>
      </c>
      <c r="CA29" s="12">
        <f>HLOOKUP(CA$2,Interest_Rate_Stresses_Setup!$C$50:$BC$91,Interest_Rate_Stresses_Setup!$A77,FALSE)</f>
        <v>3.6990999999999999E-3</v>
      </c>
      <c r="CB29" s="12">
        <f>HLOOKUP(CB$2,Interest_Rate_Stresses_Setup!$C$50:$BC$91,Interest_Rate_Stresses_Setup!$A77,FALSE)</f>
        <v>1.9837399999999998E-2</v>
      </c>
      <c r="CC29" s="12">
        <f>HLOOKUP(CC$2,Interest_Rate_Stresses_Setup!$C$50:$BC$91,Interest_Rate_Stresses_Setup!$A77,FALSE)</f>
        <v>2.8243799999999999E-2</v>
      </c>
      <c r="CD29" s="12">
        <f>HLOOKUP(CD$2,Interest_Rate_Stresses_Setup!$C$50:$BC$91,Interest_Rate_Stresses_Setup!$A77,FALSE)</f>
        <v>3.1197399999999997E-2</v>
      </c>
      <c r="CE29" s="12">
        <f>HLOOKUP(CE$2,Interest_Rate_Stresses_Setup!$C$50:$BC$91,Interest_Rate_Stresses_Setup!$A77,FALSE)</f>
        <v>4.4886199999999994E-2</v>
      </c>
      <c r="CF29" s="12">
        <f>HLOOKUP(CF$2,Interest_Rate_Stresses_Setup!$C$50:$BC$91,Interest_Rate_Stresses_Setup!$A77,FALSE)</f>
        <v>2.0142699999999999E-2</v>
      </c>
      <c r="CG29" s="12">
        <f>HLOOKUP(CG$2,Interest_Rate_Stresses_Setup!$C$50:$BC$91,Interest_Rate_Stresses_Setup!$A77,FALSE)</f>
        <v>9.0951000000000001E-3</v>
      </c>
      <c r="CH29" s="12">
        <f>HLOOKUP(CH$2,Interest_Rate_Stresses_Setup!$C$50:$BC$91,Interest_Rate_Stresses_Setup!$A77,FALSE)</f>
        <v>2.3635899999999998E-2</v>
      </c>
      <c r="CI29" s="12">
        <f>HLOOKUP(CI$2,Interest_Rate_Stresses_Setup!$C$50:$BC$91,Interest_Rate_Stresses_Setup!$A77,FALSE)</f>
        <v>5.7218899999999996E-2</v>
      </c>
      <c r="CJ29" s="12">
        <f>HLOOKUP(CJ$2,Interest_Rate_Stresses_Setup!$C$50:$BC$91,Interest_Rate_Stresses_Setup!$A77,FALSE)</f>
        <v>1.5754899999999999E-2</v>
      </c>
      <c r="CK29" s="12">
        <f>HLOOKUP(CK$2,Interest_Rate_Stresses_Setup!$C$50:$BC$91,Interest_Rate_Stresses_Setup!$A77,FALSE)</f>
        <v>3.0146599999999996E-2</v>
      </c>
      <c r="CL29" s="12">
        <f>HLOOKUP(CL$2,Interest_Rate_Stresses_Setup!$C$50:$BC$91,Interest_Rate_Stresses_Setup!$A77,FALSE)</f>
        <v>3.1424599999999997E-2</v>
      </c>
      <c r="CM29" s="12">
        <f>HLOOKUP(CM$2,Interest_Rate_Stresses_Setup!$C$50:$BC$91,Interest_Rate_Stresses_Setup!$A77,FALSE)</f>
        <v>4.1158699999999999E-2</v>
      </c>
      <c r="CN29" s="12">
        <f>HLOOKUP(CN$2,Interest_Rate_Stresses_Setup!$C$50:$BC$91,Interest_Rate_Stresses_Setup!$A77,FALSE)</f>
        <v>2.0384099999999999E-2</v>
      </c>
      <c r="CO29" s="12">
        <f>HLOOKUP(CO$2,Interest_Rate_Stresses_Setup!$C$50:$BC$91,Interest_Rate_Stresses_Setup!$A77,FALSE)</f>
        <v>4.6185499999999997E-2</v>
      </c>
      <c r="CP29" s="12">
        <f>HLOOKUP(CP$2,Interest_Rate_Stresses_Setup!$C$50:$BC$91,Interest_Rate_Stresses_Setup!$A77,FALSE)</f>
        <v>5.0551999999999993E-3</v>
      </c>
      <c r="CQ29" s="12">
        <f>HLOOKUP(CQ$2,Interest_Rate_Stresses_Setup!$C$50:$BC$91,Interest_Rate_Stresses_Setup!$A77,FALSE)</f>
        <v>3.0970199999999996E-2</v>
      </c>
      <c r="CR29" s="12">
        <f>HLOOKUP(CR$2,Interest_Rate_Stresses_Setup!$C$50:$BC$91,Interest_Rate_Stresses_Setup!$A77,FALSE)</f>
        <v>5.5181199999999993E-2</v>
      </c>
      <c r="CS29" s="12">
        <f>HLOOKUP(CS$2,Interest_Rate_Stresses_Setup!$C$50:$BC$91,Interest_Rate_Stresses_Setup!$A77,FALSE)</f>
        <v>2.9138399999999998E-2</v>
      </c>
      <c r="CT29" s="12">
        <f>HLOOKUP(CT$2,Interest_Rate_Stresses_Setup!$C$50:$BC$91,Interest_Rate_Stresses_Setup!$A77,FALSE)</f>
        <v>2.03202E-2</v>
      </c>
      <c r="CU29" s="12">
        <f>HLOOKUP(CU$2,Interest_Rate_Stresses_Setup!$C$50:$BC$91,Interest_Rate_Stresses_Setup!$A77,FALSE)</f>
        <v>5.5514899999999992E-2</v>
      </c>
      <c r="CV29" s="12">
        <f>HLOOKUP(CV$2,Interest_Rate_Stresses_Setup!$C$50:$BC$91,Interest_Rate_Stresses_Setup!$A77,FALSE)</f>
        <v>1.4782200000000001E-2</v>
      </c>
      <c r="CW29" s="12">
        <f>HLOOKUP(CW$2,Interest_Rate_Stresses_Setup!$C$50:$BC$91,Interest_Rate_Stresses_Setup!$A77,FALSE)</f>
        <v>1.6521699999999997E-2</v>
      </c>
      <c r="CX29" s="12">
        <f>HLOOKUP(CX$2,Interest_Rate_Stresses_Setup!$C$50:$BC$91,Interest_Rate_Stresses_Setup!$A77,FALSE)</f>
        <v>2.2691599999999999E-2</v>
      </c>
      <c r="CY29" s="12">
        <f>HLOOKUP(CY$2,Interest_Rate_Stresses_Setup!$C$50:$BC$91,Interest_Rate_Stresses_Setup!$A77,FALSE)</f>
        <v>5.9661299999999994E-2</v>
      </c>
      <c r="CZ29" s="12">
        <f>HLOOKUP(CZ$2,Interest_Rate_Stresses_Setup!$C$50:$BC$91,Interest_Rate_Stresses_Setup!$A77,FALSE)</f>
        <v>1.8033999999999998E-2</v>
      </c>
      <c r="DA29" s="127">
        <f t="shared" si="2"/>
        <v>9.0951000000000001E-3</v>
      </c>
    </row>
    <row r="30" spans="1:105" x14ac:dyDescent="0.25">
      <c r="A30" s="11">
        <v>27</v>
      </c>
      <c r="B30" s="12">
        <f>HLOOKUP(B$2,EIOPA_Spot_Rates,EIOPA_RFR!$A39,FALSE)</f>
        <v>1.6809999999999999E-2</v>
      </c>
      <c r="C30" s="12">
        <f>HLOOKUP(C$2,EIOPA_Spot_Rates,EIOPA_RFR!$A39,FALSE)</f>
        <v>1.6369999999999999E-2</v>
      </c>
      <c r="D30" s="12">
        <f>HLOOKUP(D$2,EIOPA_Spot_Rates,EIOPA_RFR!$A39,FALSE)</f>
        <v>3.5290000000000002E-2</v>
      </c>
      <c r="E30" s="12">
        <f>HLOOKUP(E$2,EIOPA_Spot_Rates,EIOPA_RFR!$A39,FALSE)</f>
        <v>2.1360000000000001E-2</v>
      </c>
      <c r="F30" s="12">
        <f>HLOOKUP(F$2,EIOPA_Spot_Rates,EIOPA_RFR!$A39,FALSE)</f>
        <v>1.6729999999999998E-2</v>
      </c>
      <c r="G30" s="12">
        <f>HLOOKUP(G$2,EIOPA_Spot_Rates,EIOPA_RFR!$A39,FALSE)</f>
        <v>4.3189999999999999E-2</v>
      </c>
      <c r="H30" s="12">
        <f>HLOOKUP(H$2,EIOPA_Spot_Rates,EIOPA_RFR!$A39,FALSE)</f>
        <v>4.5710000000000001E-2</v>
      </c>
      <c r="I30" s="12">
        <f>HLOOKUP(I$2,EIOPA_Spot_Rates,EIOPA_RFR!$A39,FALSE)</f>
        <v>5.5999999999999999E-3</v>
      </c>
      <c r="J30" s="12">
        <f>HLOOKUP(J$2,EIOPA_Spot_Rates,EIOPA_RFR!$A39,FALSE)</f>
        <v>2.835E-2</v>
      </c>
      <c r="K30" s="12">
        <f>HLOOKUP(K$2,EIOPA_Spot_Rates,EIOPA_RFR!$A39,FALSE)</f>
        <v>3.9899999999999998E-2</v>
      </c>
      <c r="L30" s="12">
        <f>HLOOKUP(L$2,EIOPA_Spot_Rates,EIOPA_RFR!$A39,FALSE)</f>
        <v>4.3950000000000003E-2</v>
      </c>
      <c r="M30" s="12">
        <f>HLOOKUP(M$2,EIOPA_Spot_Rates,EIOPA_RFR!$A39,FALSE)</f>
        <v>6.2600000000000003E-2</v>
      </c>
      <c r="N30" s="12">
        <f>HLOOKUP(N$2,EIOPA_Spot_Rates,EIOPA_RFR!$A39,FALSE)</f>
        <v>2.887E-2</v>
      </c>
      <c r="O30" s="12">
        <f>HLOOKUP(O$2,EIOPA_Spot_Rates,EIOPA_RFR!$A39,FALSE)</f>
        <v>1.2749999999999999E-2</v>
      </c>
      <c r="P30" s="12">
        <f>HLOOKUP(P$2,EIOPA_Spot_Rates,EIOPA_RFR!$A39,FALSE)</f>
        <v>3.3279999999999997E-2</v>
      </c>
      <c r="Q30" s="12">
        <f>HLOOKUP(Q$2,EIOPA_Spot_Rates,EIOPA_RFR!$A39,FALSE)</f>
        <v>7.9780000000000004E-2</v>
      </c>
      <c r="R30" s="12">
        <f>HLOOKUP(R$2,EIOPA_Spot_Rates,EIOPA_RFR!$A39,FALSE)</f>
        <v>2.214E-2</v>
      </c>
      <c r="S30" s="12">
        <f>HLOOKUP(S$2,EIOPA_Spot_Rates,EIOPA_RFR!$A39,FALSE)</f>
        <v>4.2479999999999997E-2</v>
      </c>
      <c r="T30" s="12">
        <f>HLOOKUP(T$2,EIOPA_Spot_Rates,EIOPA_RFR!$A39,FALSE)</f>
        <v>4.4240000000000002E-2</v>
      </c>
      <c r="U30" s="12">
        <f>HLOOKUP(U$2,EIOPA_Spot_Rates,EIOPA_RFR!$A39,FALSE)</f>
        <v>5.7549999999999997E-2</v>
      </c>
      <c r="V30" s="12">
        <f>HLOOKUP(V$2,EIOPA_Spot_Rates,EIOPA_RFR!$A39,FALSE)</f>
        <v>2.9069999999999999E-2</v>
      </c>
      <c r="W30" s="12">
        <f>HLOOKUP(W$2,EIOPA_Spot_Rates,EIOPA_RFR!$A39,FALSE)</f>
        <v>6.472E-2</v>
      </c>
      <c r="X30" s="12">
        <f>HLOOKUP(X$2,EIOPA_Spot_Rates,EIOPA_RFR!$A39,FALSE)</f>
        <v>7.1799999999999998E-3</v>
      </c>
      <c r="Y30" s="12">
        <f>HLOOKUP(Y$2,EIOPA_Spot_Rates,EIOPA_RFR!$A39,FALSE)</f>
        <v>4.3619999999999999E-2</v>
      </c>
      <c r="Z30" s="12">
        <f>HLOOKUP(Z$2,EIOPA_Spot_Rates,EIOPA_RFR!$A39,FALSE)</f>
        <v>7.7229999999999993E-2</v>
      </c>
      <c r="AA30" s="12">
        <f>HLOOKUP(AA$2,EIOPA_Spot_Rates,EIOPA_RFR!$A39,FALSE)</f>
        <v>4.1169999999999998E-2</v>
      </c>
      <c r="AB30" s="12">
        <f>HLOOKUP(AB$2,EIOPA_Spot_Rates,EIOPA_RFR!$A39,FALSE)</f>
        <v>2.894E-2</v>
      </c>
      <c r="AC30" s="12">
        <f>HLOOKUP(AC$2,EIOPA_Spot_Rates,EIOPA_RFR!$A39,FALSE)</f>
        <v>7.7509999999999996E-2</v>
      </c>
      <c r="AD30" s="12">
        <f>HLOOKUP(AD$2,EIOPA_Spot_Rates,EIOPA_RFR!$A39,FALSE)</f>
        <v>2.1319999999999999E-2</v>
      </c>
      <c r="AE30" s="12">
        <f>HLOOKUP(AE$2,EIOPA_Spot_Rates,EIOPA_RFR!$A39,FALSE)</f>
        <v>2.383E-2</v>
      </c>
      <c r="AF30" s="12">
        <f>HLOOKUP(AF$2,EIOPA_Spot_Rates,EIOPA_RFR!$A39,FALSE)</f>
        <v>3.2239999999999998E-2</v>
      </c>
      <c r="AG30" s="12">
        <f>HLOOKUP(AG$2,EIOPA_Spot_Rates,EIOPA_RFR!$A39,FALSE)</f>
        <v>8.3070000000000005E-2</v>
      </c>
      <c r="AH30" s="12">
        <f>HLOOKUP(AH$2,EIOPA_Spot_Rates,EIOPA_RFR!$A39,FALSE)</f>
        <v>2.5409999999999999E-2</v>
      </c>
      <c r="AI30" s="127">
        <f t="shared" si="0"/>
        <v>1.2749999999999999E-2</v>
      </c>
      <c r="AJ30" s="16">
        <v>27</v>
      </c>
      <c r="AK30" s="12">
        <f>HLOOKUP(AK$2,Interest_Rate_Stresses_Setup!$C$6:$BC$47,Interest_Rate_Stresses_Setup!$A34,FALSE)</f>
        <v>2.681E-2</v>
      </c>
      <c r="AL30" s="12">
        <f>HLOOKUP(AL$2,Interest_Rate_Stresses_Setup!$C$6:$BC$47,Interest_Rate_Stresses_Setup!$A34,FALSE)</f>
        <v>2.6369999999999998E-2</v>
      </c>
      <c r="AM30" s="12">
        <f>HLOOKUP(AM$2,Interest_Rate_Stresses_Setup!$C$6:$BC$47,Interest_Rate_Stresses_Setup!$A34,FALSE)</f>
        <v>4.5290000000000004E-2</v>
      </c>
      <c r="AN30" s="12">
        <f>HLOOKUP(AN$2,Interest_Rate_Stresses_Setup!$C$6:$BC$47,Interest_Rate_Stresses_Setup!$A34,FALSE)</f>
        <v>3.1359999999999999E-2</v>
      </c>
      <c r="AO30" s="12">
        <f>HLOOKUP(AO$2,Interest_Rate_Stresses_Setup!$C$6:$BC$47,Interest_Rate_Stresses_Setup!$A34,FALSE)</f>
        <v>2.6729999999999997E-2</v>
      </c>
      <c r="AP30" s="12">
        <f>HLOOKUP(AP$2,Interest_Rate_Stresses_Setup!$C$6:$BC$47,Interest_Rate_Stresses_Setup!$A34,FALSE)</f>
        <v>5.3190000000000001E-2</v>
      </c>
      <c r="AQ30" s="12">
        <f>HLOOKUP(AQ$2,Interest_Rate_Stresses_Setup!$C$6:$BC$47,Interest_Rate_Stresses_Setup!$A34,FALSE)</f>
        <v>5.5710000000000003E-2</v>
      </c>
      <c r="AR30" s="12">
        <f>HLOOKUP(AR$2,Interest_Rate_Stresses_Setup!$C$6:$BC$47,Interest_Rate_Stresses_Setup!$A34,FALSE)</f>
        <v>1.5599999999999999E-2</v>
      </c>
      <c r="AS30" s="12">
        <f>HLOOKUP(AS$2,Interest_Rate_Stresses_Setup!$C$6:$BC$47,Interest_Rate_Stresses_Setup!$A34,FALSE)</f>
        <v>3.8350000000000002E-2</v>
      </c>
      <c r="AT30" s="12">
        <f>HLOOKUP(AT$2,Interest_Rate_Stresses_Setup!$C$6:$BC$47,Interest_Rate_Stresses_Setup!$A34,FALSE)</f>
        <v>4.99E-2</v>
      </c>
      <c r="AU30" s="12">
        <f>HLOOKUP(AU$2,Interest_Rate_Stresses_Setup!$C$6:$BC$47,Interest_Rate_Stresses_Setup!$A34,FALSE)</f>
        <v>5.3950000000000005E-2</v>
      </c>
      <c r="AV30" s="12">
        <f>HLOOKUP(AV$2,Interest_Rate_Stresses_Setup!$C$6:$BC$47,Interest_Rate_Stresses_Setup!$A34,FALSE)</f>
        <v>7.2599999999999998E-2</v>
      </c>
      <c r="AW30" s="12">
        <f>HLOOKUP(AW$2,Interest_Rate_Stresses_Setup!$C$6:$BC$47,Interest_Rate_Stresses_Setup!$A34,FALSE)</f>
        <v>3.8870000000000002E-2</v>
      </c>
      <c r="AX30" s="12">
        <f>HLOOKUP(AX$2,Interest_Rate_Stresses_Setup!$C$6:$BC$47,Interest_Rate_Stresses_Setup!$A34,FALSE)</f>
        <v>2.2749999999999999E-2</v>
      </c>
      <c r="AY30" s="12">
        <f>HLOOKUP(AY$2,Interest_Rate_Stresses_Setup!$C$6:$BC$47,Interest_Rate_Stresses_Setup!$A34,FALSE)</f>
        <v>4.3279999999999999E-2</v>
      </c>
      <c r="AZ30" s="12">
        <f>HLOOKUP(AZ$2,Interest_Rate_Stresses_Setup!$C$6:$BC$47,Interest_Rate_Stresses_Setup!$A34,FALSE)</f>
        <v>8.9779999999999999E-2</v>
      </c>
      <c r="BA30" s="12">
        <f>HLOOKUP(BA$2,Interest_Rate_Stresses_Setup!$C$6:$BC$47,Interest_Rate_Stresses_Setup!$A34,FALSE)</f>
        <v>3.2140000000000002E-2</v>
      </c>
      <c r="BB30" s="12">
        <f>HLOOKUP(BB$2,Interest_Rate_Stresses_Setup!$C$6:$BC$47,Interest_Rate_Stresses_Setup!$A34,FALSE)</f>
        <v>5.2479999999999999E-2</v>
      </c>
      <c r="BC30" s="12">
        <f>HLOOKUP(BC$2,Interest_Rate_Stresses_Setup!$C$6:$BC$47,Interest_Rate_Stresses_Setup!$A34,FALSE)</f>
        <v>5.4240000000000003E-2</v>
      </c>
      <c r="BD30" s="12">
        <f>HLOOKUP(BD$2,Interest_Rate_Stresses_Setup!$C$6:$BC$47,Interest_Rate_Stresses_Setup!$A34,FALSE)</f>
        <v>6.7549999999999999E-2</v>
      </c>
      <c r="BE30" s="12">
        <f>HLOOKUP(BE$2,Interest_Rate_Stresses_Setup!$C$6:$BC$47,Interest_Rate_Stresses_Setup!$A34,FALSE)</f>
        <v>3.9070000000000001E-2</v>
      </c>
      <c r="BF30" s="12">
        <f>HLOOKUP(BF$2,Interest_Rate_Stresses_Setup!$C$6:$BC$47,Interest_Rate_Stresses_Setup!$A34,FALSE)</f>
        <v>7.4719999999999995E-2</v>
      </c>
      <c r="BG30" s="12">
        <f>HLOOKUP(BG$2,Interest_Rate_Stresses_Setup!$C$6:$BC$47,Interest_Rate_Stresses_Setup!$A34,FALSE)</f>
        <v>1.7180000000000001E-2</v>
      </c>
      <c r="BH30" s="12">
        <f>HLOOKUP(BH$2,Interest_Rate_Stresses_Setup!$C$6:$BC$47,Interest_Rate_Stresses_Setup!$A34,FALSE)</f>
        <v>5.3620000000000001E-2</v>
      </c>
      <c r="BI30" s="12">
        <f>HLOOKUP(BI$2,Interest_Rate_Stresses_Setup!$C$6:$BC$47,Interest_Rate_Stresses_Setup!$A34,FALSE)</f>
        <v>8.7229999999999988E-2</v>
      </c>
      <c r="BJ30" s="12">
        <f>HLOOKUP(BJ$2,Interest_Rate_Stresses_Setup!$C$6:$BC$47,Interest_Rate_Stresses_Setup!$A34,FALSE)</f>
        <v>5.117E-2</v>
      </c>
      <c r="BK30" s="12">
        <f>HLOOKUP(BK$2,Interest_Rate_Stresses_Setup!$C$6:$BC$47,Interest_Rate_Stresses_Setup!$A34,FALSE)</f>
        <v>3.8940000000000002E-2</v>
      </c>
      <c r="BL30" s="12">
        <f>HLOOKUP(BL$2,Interest_Rate_Stresses_Setup!$C$6:$BC$47,Interest_Rate_Stresses_Setup!$A34,FALSE)</f>
        <v>8.7509999999999991E-2</v>
      </c>
      <c r="BM30" s="12">
        <f>HLOOKUP(BM$2,Interest_Rate_Stresses_Setup!$C$6:$BC$47,Interest_Rate_Stresses_Setup!$A34,FALSE)</f>
        <v>3.1320000000000001E-2</v>
      </c>
      <c r="BN30" s="12">
        <f>HLOOKUP(BN$2,Interest_Rate_Stresses_Setup!$C$6:$BC$47,Interest_Rate_Stresses_Setup!$A34,FALSE)</f>
        <v>3.3829999999999999E-2</v>
      </c>
      <c r="BO30" s="12">
        <f>HLOOKUP(BO$2,Interest_Rate_Stresses_Setup!$C$6:$BC$47,Interest_Rate_Stresses_Setup!$A34,FALSE)</f>
        <v>4.224E-2</v>
      </c>
      <c r="BP30" s="12">
        <f>HLOOKUP(BP$2,Interest_Rate_Stresses_Setup!$C$6:$BC$47,Interest_Rate_Stresses_Setup!$A34,FALSE)</f>
        <v>9.307E-2</v>
      </c>
      <c r="BQ30" s="12">
        <f>HLOOKUP(BQ$2,Interest_Rate_Stresses_Setup!$C$6:$BC$47,Interest_Rate_Stresses_Setup!$A34,FALSE)</f>
        <v>3.5409999999999997E-2</v>
      </c>
      <c r="BR30" s="127">
        <f t="shared" si="1"/>
        <v>2.2749999999999999E-2</v>
      </c>
      <c r="BS30" s="16">
        <v>27</v>
      </c>
      <c r="BT30" s="12">
        <f>HLOOKUP(BT$2,Interest_Rate_Stresses_Setup!$C$50:$BC$91,Interest_Rate_Stresses_Setup!$A78,FALSE)</f>
        <v>1.1935099999999999E-2</v>
      </c>
      <c r="BU30" s="12">
        <f>HLOOKUP(BU$2,Interest_Rate_Stresses_Setup!$C$50:$BC$91,Interest_Rate_Stresses_Setup!$A78,FALSE)</f>
        <v>1.1622699999999998E-2</v>
      </c>
      <c r="BV30" s="12">
        <f>HLOOKUP(BV$2,Interest_Rate_Stresses_Setup!$C$50:$BC$91,Interest_Rate_Stresses_Setup!$A78,FALSE)</f>
        <v>2.5055899999999999E-2</v>
      </c>
      <c r="BW30" s="12">
        <f>HLOOKUP(BW$2,Interest_Rate_Stresses_Setup!$C$50:$BC$91,Interest_Rate_Stresses_Setup!$A78,FALSE)</f>
        <v>1.51656E-2</v>
      </c>
      <c r="BX30" s="12">
        <f>HLOOKUP(BX$2,Interest_Rate_Stresses_Setup!$C$50:$BC$91,Interest_Rate_Stresses_Setup!$A78,FALSE)</f>
        <v>1.1878299999999998E-2</v>
      </c>
      <c r="BY30" s="12">
        <f>HLOOKUP(BY$2,Interest_Rate_Stresses_Setup!$C$50:$BC$91,Interest_Rate_Stresses_Setup!$A78,FALSE)</f>
        <v>3.0664899999999998E-2</v>
      </c>
      <c r="BZ30" s="12">
        <f>HLOOKUP(BZ$2,Interest_Rate_Stresses_Setup!$C$50:$BC$91,Interest_Rate_Stresses_Setup!$A78,FALSE)</f>
        <v>3.24541E-2</v>
      </c>
      <c r="CA30" s="12">
        <f>HLOOKUP(CA$2,Interest_Rate_Stresses_Setup!$C$50:$BC$91,Interest_Rate_Stresses_Setup!$A78,FALSE)</f>
        <v>3.9759999999999995E-3</v>
      </c>
      <c r="CB30" s="12">
        <f>HLOOKUP(CB$2,Interest_Rate_Stresses_Setup!$C$50:$BC$91,Interest_Rate_Stresses_Setup!$A78,FALSE)</f>
        <v>2.0128500000000001E-2</v>
      </c>
      <c r="CC30" s="12">
        <f>HLOOKUP(CC$2,Interest_Rate_Stresses_Setup!$C$50:$BC$91,Interest_Rate_Stresses_Setup!$A78,FALSE)</f>
        <v>2.8328999999999997E-2</v>
      </c>
      <c r="CD30" s="12">
        <f>HLOOKUP(CD$2,Interest_Rate_Stresses_Setup!$C$50:$BC$91,Interest_Rate_Stresses_Setup!$A78,FALSE)</f>
        <v>3.12045E-2</v>
      </c>
      <c r="CE30" s="12">
        <f>HLOOKUP(CE$2,Interest_Rate_Stresses_Setup!$C$50:$BC$91,Interest_Rate_Stresses_Setup!$A78,FALSE)</f>
        <v>4.4445999999999999E-2</v>
      </c>
      <c r="CF30" s="12">
        <f>HLOOKUP(CF$2,Interest_Rate_Stresses_Setup!$C$50:$BC$91,Interest_Rate_Stresses_Setup!$A78,FALSE)</f>
        <v>2.0497699999999997E-2</v>
      </c>
      <c r="CG30" s="12">
        <f>HLOOKUP(CG$2,Interest_Rate_Stresses_Setup!$C$50:$BC$91,Interest_Rate_Stresses_Setup!$A78,FALSE)</f>
        <v>9.0524999999999998E-3</v>
      </c>
      <c r="CH30" s="12">
        <f>HLOOKUP(CH$2,Interest_Rate_Stresses_Setup!$C$50:$BC$91,Interest_Rate_Stresses_Setup!$A78,FALSE)</f>
        <v>2.3628799999999998E-2</v>
      </c>
      <c r="CI30" s="12">
        <f>HLOOKUP(CI$2,Interest_Rate_Stresses_Setup!$C$50:$BC$91,Interest_Rate_Stresses_Setup!$A78,FALSE)</f>
        <v>5.6643800000000001E-2</v>
      </c>
      <c r="CJ30" s="12">
        <f>HLOOKUP(CJ$2,Interest_Rate_Stresses_Setup!$C$50:$BC$91,Interest_Rate_Stresses_Setup!$A78,FALSE)</f>
        <v>1.5719399999999998E-2</v>
      </c>
      <c r="CK30" s="12">
        <f>HLOOKUP(CK$2,Interest_Rate_Stresses_Setup!$C$50:$BC$91,Interest_Rate_Stresses_Setup!$A78,FALSE)</f>
        <v>3.0160799999999998E-2</v>
      </c>
      <c r="CL30" s="12">
        <f>HLOOKUP(CL$2,Interest_Rate_Stresses_Setup!$C$50:$BC$91,Interest_Rate_Stresses_Setup!$A78,FALSE)</f>
        <v>3.1410399999999998E-2</v>
      </c>
      <c r="CM30" s="12">
        <f>HLOOKUP(CM$2,Interest_Rate_Stresses_Setup!$C$50:$BC$91,Interest_Rate_Stresses_Setup!$A78,FALSE)</f>
        <v>4.0860499999999994E-2</v>
      </c>
      <c r="CN30" s="12">
        <f>HLOOKUP(CN$2,Interest_Rate_Stresses_Setup!$C$50:$BC$91,Interest_Rate_Stresses_Setup!$A78,FALSE)</f>
        <v>2.0639699999999997E-2</v>
      </c>
      <c r="CO30" s="12">
        <f>HLOOKUP(CO$2,Interest_Rate_Stresses_Setup!$C$50:$BC$91,Interest_Rate_Stresses_Setup!$A78,FALSE)</f>
        <v>4.5951199999999998E-2</v>
      </c>
      <c r="CP30" s="12">
        <f>HLOOKUP(CP$2,Interest_Rate_Stresses_Setup!$C$50:$BC$91,Interest_Rate_Stresses_Setup!$A78,FALSE)</f>
        <v>5.0977999999999996E-3</v>
      </c>
      <c r="CQ30" s="12">
        <f>HLOOKUP(CQ$2,Interest_Rate_Stresses_Setup!$C$50:$BC$91,Interest_Rate_Stresses_Setup!$A78,FALSE)</f>
        <v>3.0970199999999996E-2</v>
      </c>
      <c r="CR30" s="12">
        <f>HLOOKUP(CR$2,Interest_Rate_Stresses_Setup!$C$50:$BC$91,Interest_Rate_Stresses_Setup!$A78,FALSE)</f>
        <v>5.4833299999999995E-2</v>
      </c>
      <c r="CS30" s="12">
        <f>HLOOKUP(CS$2,Interest_Rate_Stresses_Setup!$C$50:$BC$91,Interest_Rate_Stresses_Setup!$A78,FALSE)</f>
        <v>2.9230699999999998E-2</v>
      </c>
      <c r="CT30" s="12">
        <f>HLOOKUP(CT$2,Interest_Rate_Stresses_Setup!$C$50:$BC$91,Interest_Rate_Stresses_Setup!$A78,FALSE)</f>
        <v>2.05474E-2</v>
      </c>
      <c r="CU30" s="12">
        <f>HLOOKUP(CU$2,Interest_Rate_Stresses_Setup!$C$50:$BC$91,Interest_Rate_Stresses_Setup!$A78,FALSE)</f>
        <v>5.5032099999999994E-2</v>
      </c>
      <c r="CV30" s="12">
        <f>HLOOKUP(CV$2,Interest_Rate_Stresses_Setup!$C$50:$BC$91,Interest_Rate_Stresses_Setup!$A78,FALSE)</f>
        <v>1.5137199999999998E-2</v>
      </c>
      <c r="CW30" s="12">
        <f>HLOOKUP(CW$2,Interest_Rate_Stresses_Setup!$C$50:$BC$91,Interest_Rate_Stresses_Setup!$A78,FALSE)</f>
        <v>1.6919299999999998E-2</v>
      </c>
      <c r="CX30" s="12">
        <f>HLOOKUP(CX$2,Interest_Rate_Stresses_Setup!$C$50:$BC$91,Interest_Rate_Stresses_Setup!$A78,FALSE)</f>
        <v>2.2890399999999998E-2</v>
      </c>
      <c r="CY30" s="12">
        <f>HLOOKUP(CY$2,Interest_Rate_Stresses_Setup!$C$50:$BC$91,Interest_Rate_Stresses_Setup!$A78,FALSE)</f>
        <v>5.8979700000000003E-2</v>
      </c>
      <c r="CZ30" s="12">
        <f>HLOOKUP(CZ$2,Interest_Rate_Stresses_Setup!$C$50:$BC$91,Interest_Rate_Stresses_Setup!$A78,FALSE)</f>
        <v>1.8041099999999997E-2</v>
      </c>
      <c r="DA30" s="127">
        <f t="shared" si="2"/>
        <v>9.0524999999999998E-3</v>
      </c>
    </row>
    <row r="31" spans="1:105" x14ac:dyDescent="0.25">
      <c r="A31" s="11">
        <v>28</v>
      </c>
      <c r="B31" s="12">
        <f>HLOOKUP(B$2,EIOPA_Spot_Rates,EIOPA_RFR!$A40,FALSE)</f>
        <v>1.745E-2</v>
      </c>
      <c r="C31" s="12">
        <f>HLOOKUP(C$2,EIOPA_Spot_Rates,EIOPA_RFR!$A40,FALSE)</f>
        <v>1.702E-2</v>
      </c>
      <c r="D31" s="12">
        <f>HLOOKUP(D$2,EIOPA_Spot_Rates,EIOPA_RFR!$A40,FALSE)</f>
        <v>3.5490000000000001E-2</v>
      </c>
      <c r="E31" s="12">
        <f>HLOOKUP(E$2,EIOPA_Spot_Rates,EIOPA_RFR!$A40,FALSE)</f>
        <v>2.1940000000000001E-2</v>
      </c>
      <c r="F31" s="12">
        <f>HLOOKUP(F$2,EIOPA_Spot_Rates,EIOPA_RFR!$A40,FALSE)</f>
        <v>1.737E-2</v>
      </c>
      <c r="G31" s="12">
        <f>HLOOKUP(G$2,EIOPA_Spot_Rates,EIOPA_RFR!$A40,FALSE)</f>
        <v>4.326E-2</v>
      </c>
      <c r="H31" s="12">
        <f>HLOOKUP(H$2,EIOPA_Spot_Rates,EIOPA_RFR!$A40,FALSE)</f>
        <v>4.5620000000000001E-2</v>
      </c>
      <c r="I31" s="12">
        <f>HLOOKUP(I$2,EIOPA_Spot_Rates,EIOPA_RFR!$A40,FALSE)</f>
        <v>6.0400000000000002E-3</v>
      </c>
      <c r="J31" s="12">
        <f>HLOOKUP(J$2,EIOPA_Spot_Rates,EIOPA_RFR!$A40,FALSE)</f>
        <v>2.8740000000000002E-2</v>
      </c>
      <c r="K31" s="12">
        <f>HLOOKUP(K$2,EIOPA_Spot_Rates,EIOPA_RFR!$A40,FALSE)</f>
        <v>4.0009999999999997E-2</v>
      </c>
      <c r="L31" s="12">
        <f>HLOOKUP(L$2,EIOPA_Spot_Rates,EIOPA_RFR!$A40,FALSE)</f>
        <v>4.3950000000000003E-2</v>
      </c>
      <c r="M31" s="12">
        <f>HLOOKUP(M$2,EIOPA_Spot_Rates,EIOPA_RFR!$A40,FALSE)</f>
        <v>6.2010000000000003E-2</v>
      </c>
      <c r="N31" s="12">
        <f>HLOOKUP(N$2,EIOPA_Spot_Rates,EIOPA_RFR!$A40,FALSE)</f>
        <v>2.9340000000000001E-2</v>
      </c>
      <c r="O31" s="12">
        <f>HLOOKUP(O$2,EIOPA_Spot_Rates,EIOPA_RFR!$A40,FALSE)</f>
        <v>1.269E-2</v>
      </c>
      <c r="P31" s="12">
        <f>HLOOKUP(P$2,EIOPA_Spot_Rates,EIOPA_RFR!$A40,FALSE)</f>
        <v>3.3250000000000002E-2</v>
      </c>
      <c r="Q31" s="12">
        <f>HLOOKUP(Q$2,EIOPA_Spot_Rates,EIOPA_RFR!$A40,FALSE)</f>
        <v>7.9000000000000001E-2</v>
      </c>
      <c r="R31" s="12">
        <f>HLOOKUP(R$2,EIOPA_Spot_Rates,EIOPA_RFR!$A40,FALSE)</f>
        <v>2.214E-2</v>
      </c>
      <c r="S31" s="12">
        <f>HLOOKUP(S$2,EIOPA_Spot_Rates,EIOPA_RFR!$A40,FALSE)</f>
        <v>4.2500000000000003E-2</v>
      </c>
      <c r="T31" s="12">
        <f>HLOOKUP(T$2,EIOPA_Spot_Rates,EIOPA_RFR!$A40,FALSE)</f>
        <v>4.4209999999999999E-2</v>
      </c>
      <c r="U31" s="12">
        <f>HLOOKUP(U$2,EIOPA_Spot_Rates,EIOPA_RFR!$A40,FALSE)</f>
        <v>5.7149999999999999E-2</v>
      </c>
      <c r="V31" s="12">
        <f>HLOOKUP(V$2,EIOPA_Spot_Rates,EIOPA_RFR!$A40,FALSE)</f>
        <v>2.9420000000000002E-2</v>
      </c>
      <c r="W31" s="12">
        <f>HLOOKUP(W$2,EIOPA_Spot_Rates,EIOPA_RFR!$A40,FALSE)</f>
        <v>6.4399999999999999E-2</v>
      </c>
      <c r="X31" s="12">
        <f>HLOOKUP(X$2,EIOPA_Spot_Rates,EIOPA_RFR!$A40,FALSE)</f>
        <v>7.2700000000000004E-3</v>
      </c>
      <c r="Y31" s="12">
        <f>HLOOKUP(Y$2,EIOPA_Spot_Rates,EIOPA_RFR!$A40,FALSE)</f>
        <v>4.3610000000000003E-2</v>
      </c>
      <c r="Z31" s="12">
        <f>HLOOKUP(Z$2,EIOPA_Spot_Rates,EIOPA_RFR!$A40,FALSE)</f>
        <v>7.6719999999999997E-2</v>
      </c>
      <c r="AA31" s="12">
        <f>HLOOKUP(AA$2,EIOPA_Spot_Rates,EIOPA_RFR!$A40,FALSE)</f>
        <v>4.129E-2</v>
      </c>
      <c r="AB31" s="12">
        <f>HLOOKUP(AB$2,EIOPA_Spot_Rates,EIOPA_RFR!$A40,FALSE)</f>
        <v>2.9250000000000002E-2</v>
      </c>
      <c r="AC31" s="12">
        <f>HLOOKUP(AC$2,EIOPA_Spot_Rates,EIOPA_RFR!$A40,FALSE)</f>
        <v>7.6859999999999998E-2</v>
      </c>
      <c r="AD31" s="12">
        <f>HLOOKUP(AD$2,EIOPA_Spot_Rates,EIOPA_RFR!$A40,FALSE)</f>
        <v>2.181E-2</v>
      </c>
      <c r="AE31" s="12">
        <f>HLOOKUP(AE$2,EIOPA_Spot_Rates,EIOPA_RFR!$A40,FALSE)</f>
        <v>2.435E-2</v>
      </c>
      <c r="AF31" s="12">
        <f>HLOOKUP(AF$2,EIOPA_Spot_Rates,EIOPA_RFR!$A40,FALSE)</f>
        <v>3.2509999999999997E-2</v>
      </c>
      <c r="AG31" s="12">
        <f>HLOOKUP(AG$2,EIOPA_Spot_Rates,EIOPA_RFR!$A40,FALSE)</f>
        <v>8.2150000000000001E-2</v>
      </c>
      <c r="AH31" s="12">
        <f>HLOOKUP(AH$2,EIOPA_Spot_Rates,EIOPA_RFR!$A40,FALSE)</f>
        <v>2.5409999999999999E-2</v>
      </c>
      <c r="AI31" s="127">
        <f t="shared" si="0"/>
        <v>1.269E-2</v>
      </c>
      <c r="AJ31" s="16">
        <v>28</v>
      </c>
      <c r="AK31" s="12">
        <f>HLOOKUP(AK$2,Interest_Rate_Stresses_Setup!$C$6:$BC$47,Interest_Rate_Stresses_Setup!$A35,FALSE)</f>
        <v>2.7450000000000002E-2</v>
      </c>
      <c r="AL31" s="12">
        <f>HLOOKUP(AL$2,Interest_Rate_Stresses_Setup!$C$6:$BC$47,Interest_Rate_Stresses_Setup!$A35,FALSE)</f>
        <v>2.7020000000000002E-2</v>
      </c>
      <c r="AM31" s="12">
        <f>HLOOKUP(AM$2,Interest_Rate_Stresses_Setup!$C$6:$BC$47,Interest_Rate_Stresses_Setup!$A35,FALSE)</f>
        <v>4.5490000000000003E-2</v>
      </c>
      <c r="AN31" s="12">
        <f>HLOOKUP(AN$2,Interest_Rate_Stresses_Setup!$C$6:$BC$47,Interest_Rate_Stresses_Setup!$A35,FALSE)</f>
        <v>3.1940000000000003E-2</v>
      </c>
      <c r="AO31" s="12">
        <f>HLOOKUP(AO$2,Interest_Rate_Stresses_Setup!$C$6:$BC$47,Interest_Rate_Stresses_Setup!$A35,FALSE)</f>
        <v>2.7369999999999998E-2</v>
      </c>
      <c r="AP31" s="12">
        <f>HLOOKUP(AP$2,Interest_Rate_Stresses_Setup!$C$6:$BC$47,Interest_Rate_Stresses_Setup!$A35,FALSE)</f>
        <v>5.3260000000000002E-2</v>
      </c>
      <c r="AQ31" s="12">
        <f>HLOOKUP(AQ$2,Interest_Rate_Stresses_Setup!$C$6:$BC$47,Interest_Rate_Stresses_Setup!$A35,FALSE)</f>
        <v>5.5620000000000003E-2</v>
      </c>
      <c r="AR31" s="12">
        <f>HLOOKUP(AR$2,Interest_Rate_Stresses_Setup!$C$6:$BC$47,Interest_Rate_Stresses_Setup!$A35,FALSE)</f>
        <v>1.6039999999999999E-2</v>
      </c>
      <c r="AS31" s="12">
        <f>HLOOKUP(AS$2,Interest_Rate_Stresses_Setup!$C$6:$BC$47,Interest_Rate_Stresses_Setup!$A35,FALSE)</f>
        <v>3.8740000000000004E-2</v>
      </c>
      <c r="AT31" s="12">
        <f>HLOOKUP(AT$2,Interest_Rate_Stresses_Setup!$C$6:$BC$47,Interest_Rate_Stresses_Setup!$A35,FALSE)</f>
        <v>5.0009999999999999E-2</v>
      </c>
      <c r="AU31" s="12">
        <f>HLOOKUP(AU$2,Interest_Rate_Stresses_Setup!$C$6:$BC$47,Interest_Rate_Stresses_Setup!$A35,FALSE)</f>
        <v>5.3950000000000005E-2</v>
      </c>
      <c r="AV31" s="12">
        <f>HLOOKUP(AV$2,Interest_Rate_Stresses_Setup!$C$6:$BC$47,Interest_Rate_Stresses_Setup!$A35,FALSE)</f>
        <v>7.2010000000000005E-2</v>
      </c>
      <c r="AW31" s="12">
        <f>HLOOKUP(AW$2,Interest_Rate_Stresses_Setup!$C$6:$BC$47,Interest_Rate_Stresses_Setup!$A35,FALSE)</f>
        <v>3.934E-2</v>
      </c>
      <c r="AX31" s="12">
        <f>HLOOKUP(AX$2,Interest_Rate_Stresses_Setup!$C$6:$BC$47,Interest_Rate_Stresses_Setup!$A35,FALSE)</f>
        <v>2.2690000000000002E-2</v>
      </c>
      <c r="AY31" s="12">
        <f>HLOOKUP(AY$2,Interest_Rate_Stresses_Setup!$C$6:$BC$47,Interest_Rate_Stresses_Setup!$A35,FALSE)</f>
        <v>4.3250000000000004E-2</v>
      </c>
      <c r="AZ31" s="12">
        <f>HLOOKUP(AZ$2,Interest_Rate_Stresses_Setup!$C$6:$BC$47,Interest_Rate_Stresses_Setup!$A35,FALSE)</f>
        <v>8.8999999999999996E-2</v>
      </c>
      <c r="BA31" s="12">
        <f>HLOOKUP(BA$2,Interest_Rate_Stresses_Setup!$C$6:$BC$47,Interest_Rate_Stresses_Setup!$A35,FALSE)</f>
        <v>3.2140000000000002E-2</v>
      </c>
      <c r="BB31" s="12">
        <f>HLOOKUP(BB$2,Interest_Rate_Stresses_Setup!$C$6:$BC$47,Interest_Rate_Stresses_Setup!$A35,FALSE)</f>
        <v>5.2500000000000005E-2</v>
      </c>
      <c r="BC31" s="12">
        <f>HLOOKUP(BC$2,Interest_Rate_Stresses_Setup!$C$6:$BC$47,Interest_Rate_Stresses_Setup!$A35,FALSE)</f>
        <v>5.4210000000000001E-2</v>
      </c>
      <c r="BD31" s="12">
        <f>HLOOKUP(BD$2,Interest_Rate_Stresses_Setup!$C$6:$BC$47,Interest_Rate_Stresses_Setup!$A35,FALSE)</f>
        <v>6.7150000000000001E-2</v>
      </c>
      <c r="BE31" s="12">
        <f>HLOOKUP(BE$2,Interest_Rate_Stresses_Setup!$C$6:$BC$47,Interest_Rate_Stresses_Setup!$A35,FALSE)</f>
        <v>3.9420000000000004E-2</v>
      </c>
      <c r="BF31" s="12">
        <f>HLOOKUP(BF$2,Interest_Rate_Stresses_Setup!$C$6:$BC$47,Interest_Rate_Stresses_Setup!$A35,FALSE)</f>
        <v>7.4399999999999994E-2</v>
      </c>
      <c r="BG31" s="12">
        <f>HLOOKUP(BG$2,Interest_Rate_Stresses_Setup!$C$6:$BC$47,Interest_Rate_Stresses_Setup!$A35,FALSE)</f>
        <v>1.7270000000000001E-2</v>
      </c>
      <c r="BH31" s="12">
        <f>HLOOKUP(BH$2,Interest_Rate_Stresses_Setup!$C$6:$BC$47,Interest_Rate_Stresses_Setup!$A35,FALSE)</f>
        <v>5.3610000000000005E-2</v>
      </c>
      <c r="BI31" s="12">
        <f>HLOOKUP(BI$2,Interest_Rate_Stresses_Setup!$C$6:$BC$47,Interest_Rate_Stresses_Setup!$A35,FALSE)</f>
        <v>8.6719999999999992E-2</v>
      </c>
      <c r="BJ31" s="12">
        <f>HLOOKUP(BJ$2,Interest_Rate_Stresses_Setup!$C$6:$BC$47,Interest_Rate_Stresses_Setup!$A35,FALSE)</f>
        <v>5.1290000000000002E-2</v>
      </c>
      <c r="BK31" s="12">
        <f>HLOOKUP(BK$2,Interest_Rate_Stresses_Setup!$C$6:$BC$47,Interest_Rate_Stresses_Setup!$A35,FALSE)</f>
        <v>3.925E-2</v>
      </c>
      <c r="BL31" s="12">
        <f>HLOOKUP(BL$2,Interest_Rate_Stresses_Setup!$C$6:$BC$47,Interest_Rate_Stresses_Setup!$A35,FALSE)</f>
        <v>8.6859999999999993E-2</v>
      </c>
      <c r="BM31" s="12">
        <f>HLOOKUP(BM$2,Interest_Rate_Stresses_Setup!$C$6:$BC$47,Interest_Rate_Stresses_Setup!$A35,FALSE)</f>
        <v>3.1809999999999998E-2</v>
      </c>
      <c r="BN31" s="12">
        <f>HLOOKUP(BN$2,Interest_Rate_Stresses_Setup!$C$6:$BC$47,Interest_Rate_Stresses_Setup!$A35,FALSE)</f>
        <v>3.4349999999999999E-2</v>
      </c>
      <c r="BO31" s="12">
        <f>HLOOKUP(BO$2,Interest_Rate_Stresses_Setup!$C$6:$BC$47,Interest_Rate_Stresses_Setup!$A35,FALSE)</f>
        <v>4.2509999999999999E-2</v>
      </c>
      <c r="BP31" s="12">
        <f>HLOOKUP(BP$2,Interest_Rate_Stresses_Setup!$C$6:$BC$47,Interest_Rate_Stresses_Setup!$A35,FALSE)</f>
        <v>9.2149999999999996E-2</v>
      </c>
      <c r="BQ31" s="12">
        <f>HLOOKUP(BQ$2,Interest_Rate_Stresses_Setup!$C$6:$BC$47,Interest_Rate_Stresses_Setup!$A35,FALSE)</f>
        <v>3.5409999999999997E-2</v>
      </c>
      <c r="BR31" s="127">
        <f t="shared" si="1"/>
        <v>2.2690000000000002E-2</v>
      </c>
      <c r="BS31" s="16">
        <v>28</v>
      </c>
      <c r="BT31" s="12">
        <f>HLOOKUP(BT$2,Interest_Rate_Stresses_Setup!$C$50:$BC$91,Interest_Rate_Stresses_Setup!$A79,FALSE)</f>
        <v>1.2389499999999999E-2</v>
      </c>
      <c r="BU31" s="12">
        <f>HLOOKUP(BU$2,Interest_Rate_Stresses_Setup!$C$50:$BC$91,Interest_Rate_Stresses_Setup!$A79,FALSE)</f>
        <v>1.20842E-2</v>
      </c>
      <c r="BV31" s="12">
        <f>HLOOKUP(BV$2,Interest_Rate_Stresses_Setup!$C$50:$BC$91,Interest_Rate_Stresses_Setup!$A79,FALSE)</f>
        <v>2.5197899999999999E-2</v>
      </c>
      <c r="BW31" s="12">
        <f>HLOOKUP(BW$2,Interest_Rate_Stresses_Setup!$C$50:$BC$91,Interest_Rate_Stresses_Setup!$A79,FALSE)</f>
        <v>1.55774E-2</v>
      </c>
      <c r="BX31" s="12">
        <f>HLOOKUP(BX$2,Interest_Rate_Stresses_Setup!$C$50:$BC$91,Interest_Rate_Stresses_Setup!$A79,FALSE)</f>
        <v>1.23327E-2</v>
      </c>
      <c r="BY31" s="12">
        <f>HLOOKUP(BY$2,Interest_Rate_Stresses_Setup!$C$50:$BC$91,Interest_Rate_Stresses_Setup!$A79,FALSE)</f>
        <v>3.0714599999999998E-2</v>
      </c>
      <c r="BZ31" s="12">
        <f>HLOOKUP(BZ$2,Interest_Rate_Stresses_Setup!$C$50:$BC$91,Interest_Rate_Stresses_Setup!$A79,FALSE)</f>
        <v>3.2390200000000001E-2</v>
      </c>
      <c r="CA31" s="12">
        <f>HLOOKUP(CA$2,Interest_Rate_Stresses_Setup!$C$50:$BC$91,Interest_Rate_Stresses_Setup!$A79,FALSE)</f>
        <v>4.2884000000000004E-3</v>
      </c>
      <c r="CB31" s="12">
        <f>HLOOKUP(CB$2,Interest_Rate_Stresses_Setup!$C$50:$BC$91,Interest_Rate_Stresses_Setup!$A79,FALSE)</f>
        <v>2.0405400000000001E-2</v>
      </c>
      <c r="CC31" s="12">
        <f>HLOOKUP(CC$2,Interest_Rate_Stresses_Setup!$C$50:$BC$91,Interest_Rate_Stresses_Setup!$A79,FALSE)</f>
        <v>2.8407099999999998E-2</v>
      </c>
      <c r="CD31" s="12">
        <f>HLOOKUP(CD$2,Interest_Rate_Stresses_Setup!$C$50:$BC$91,Interest_Rate_Stresses_Setup!$A79,FALSE)</f>
        <v>3.12045E-2</v>
      </c>
      <c r="CE31" s="12">
        <f>HLOOKUP(CE$2,Interest_Rate_Stresses_Setup!$C$50:$BC$91,Interest_Rate_Stresses_Setup!$A79,FALSE)</f>
        <v>4.40271E-2</v>
      </c>
      <c r="CF31" s="12">
        <f>HLOOKUP(CF$2,Interest_Rate_Stresses_Setup!$C$50:$BC$91,Interest_Rate_Stresses_Setup!$A79,FALSE)</f>
        <v>2.08314E-2</v>
      </c>
      <c r="CG31" s="12">
        <f>HLOOKUP(CG$2,Interest_Rate_Stresses_Setup!$C$50:$BC$91,Interest_Rate_Stresses_Setup!$A79,FALSE)</f>
        <v>9.0098999999999995E-3</v>
      </c>
      <c r="CH31" s="12">
        <f>HLOOKUP(CH$2,Interest_Rate_Stresses_Setup!$C$50:$BC$91,Interest_Rate_Stresses_Setup!$A79,FALSE)</f>
        <v>2.36075E-2</v>
      </c>
      <c r="CI31" s="12">
        <f>HLOOKUP(CI$2,Interest_Rate_Stresses_Setup!$C$50:$BC$91,Interest_Rate_Stresses_Setup!$A79,FALSE)</f>
        <v>5.6090000000000001E-2</v>
      </c>
      <c r="CJ31" s="12">
        <f>HLOOKUP(CJ$2,Interest_Rate_Stresses_Setup!$C$50:$BC$91,Interest_Rate_Stresses_Setup!$A79,FALSE)</f>
        <v>1.5719399999999998E-2</v>
      </c>
      <c r="CK31" s="12">
        <f>HLOOKUP(CK$2,Interest_Rate_Stresses_Setup!$C$50:$BC$91,Interest_Rate_Stresses_Setup!$A79,FALSE)</f>
        <v>3.0175E-2</v>
      </c>
      <c r="CL31" s="12">
        <f>HLOOKUP(CL$2,Interest_Rate_Stresses_Setup!$C$50:$BC$91,Interest_Rate_Stresses_Setup!$A79,FALSE)</f>
        <v>3.1389099999999996E-2</v>
      </c>
      <c r="CM31" s="12">
        <f>HLOOKUP(CM$2,Interest_Rate_Stresses_Setup!$C$50:$BC$91,Interest_Rate_Stresses_Setup!$A79,FALSE)</f>
        <v>4.0576499999999995E-2</v>
      </c>
      <c r="CN31" s="12">
        <f>HLOOKUP(CN$2,Interest_Rate_Stresses_Setup!$C$50:$BC$91,Interest_Rate_Stresses_Setup!$A79,FALSE)</f>
        <v>2.0888199999999999E-2</v>
      </c>
      <c r="CO31" s="12">
        <f>HLOOKUP(CO$2,Interest_Rate_Stresses_Setup!$C$50:$BC$91,Interest_Rate_Stresses_Setup!$A79,FALSE)</f>
        <v>4.5723999999999994E-2</v>
      </c>
      <c r="CP31" s="12">
        <f>HLOOKUP(CP$2,Interest_Rate_Stresses_Setup!$C$50:$BC$91,Interest_Rate_Stresses_Setup!$A79,FALSE)</f>
        <v>5.1617E-3</v>
      </c>
      <c r="CQ31" s="12">
        <f>HLOOKUP(CQ$2,Interest_Rate_Stresses_Setup!$C$50:$BC$91,Interest_Rate_Stresses_Setup!$A79,FALSE)</f>
        <v>3.09631E-2</v>
      </c>
      <c r="CR31" s="12">
        <f>HLOOKUP(CR$2,Interest_Rate_Stresses_Setup!$C$50:$BC$91,Interest_Rate_Stresses_Setup!$A79,FALSE)</f>
        <v>5.4471199999999997E-2</v>
      </c>
      <c r="CS31" s="12">
        <f>HLOOKUP(CS$2,Interest_Rate_Stresses_Setup!$C$50:$BC$91,Interest_Rate_Stresses_Setup!$A79,FALSE)</f>
        <v>2.9315899999999999E-2</v>
      </c>
      <c r="CT31" s="12">
        <f>HLOOKUP(CT$2,Interest_Rate_Stresses_Setup!$C$50:$BC$91,Interest_Rate_Stresses_Setup!$A79,FALSE)</f>
        <v>2.0767500000000001E-2</v>
      </c>
      <c r="CU31" s="12">
        <f>HLOOKUP(CU$2,Interest_Rate_Stresses_Setup!$C$50:$BC$91,Interest_Rate_Stresses_Setup!$A79,FALSE)</f>
        <v>5.4570599999999997E-2</v>
      </c>
      <c r="CV31" s="12">
        <f>HLOOKUP(CV$2,Interest_Rate_Stresses_Setup!$C$50:$BC$91,Interest_Rate_Stresses_Setup!$A79,FALSE)</f>
        <v>1.5485099999999998E-2</v>
      </c>
      <c r="CW31" s="12">
        <f>HLOOKUP(CW$2,Interest_Rate_Stresses_Setup!$C$50:$BC$91,Interest_Rate_Stresses_Setup!$A79,FALSE)</f>
        <v>1.7288499999999998E-2</v>
      </c>
      <c r="CX31" s="12">
        <f>HLOOKUP(CX$2,Interest_Rate_Stresses_Setup!$C$50:$BC$91,Interest_Rate_Stresses_Setup!$A79,FALSE)</f>
        <v>2.3082099999999998E-2</v>
      </c>
      <c r="CY31" s="12">
        <f>HLOOKUP(CY$2,Interest_Rate_Stresses_Setup!$C$50:$BC$91,Interest_Rate_Stresses_Setup!$A79,FALSE)</f>
        <v>5.8326499999999996E-2</v>
      </c>
      <c r="CZ31" s="12">
        <f>HLOOKUP(CZ$2,Interest_Rate_Stresses_Setup!$C$50:$BC$91,Interest_Rate_Stresses_Setup!$A79,FALSE)</f>
        <v>1.8041099999999997E-2</v>
      </c>
      <c r="DA31" s="127">
        <f t="shared" si="2"/>
        <v>9.0098999999999995E-3</v>
      </c>
    </row>
    <row r="32" spans="1:105" x14ac:dyDescent="0.25">
      <c r="A32" s="11">
        <v>29</v>
      </c>
      <c r="B32" s="12">
        <f>HLOOKUP(B$2,EIOPA_Spot_Rates,EIOPA_RFR!$A41,FALSE)</f>
        <v>1.8079999999999999E-2</v>
      </c>
      <c r="C32" s="12">
        <f>HLOOKUP(C$2,EIOPA_Spot_Rates,EIOPA_RFR!$A41,FALSE)</f>
        <v>1.7659999999999999E-2</v>
      </c>
      <c r="D32" s="12">
        <f>HLOOKUP(D$2,EIOPA_Spot_Rates,EIOPA_RFR!$A41,FALSE)</f>
        <v>3.567E-2</v>
      </c>
      <c r="E32" s="12">
        <f>HLOOKUP(E$2,EIOPA_Spot_Rates,EIOPA_RFR!$A41,FALSE)</f>
        <v>2.2499999999999999E-2</v>
      </c>
      <c r="F32" s="12">
        <f>HLOOKUP(F$2,EIOPA_Spot_Rates,EIOPA_RFR!$A41,FALSE)</f>
        <v>1.7999999999999999E-2</v>
      </c>
      <c r="G32" s="12">
        <f>HLOOKUP(G$2,EIOPA_Spot_Rates,EIOPA_RFR!$A41,FALSE)</f>
        <v>4.3319999999999997E-2</v>
      </c>
      <c r="H32" s="12">
        <f>HLOOKUP(H$2,EIOPA_Spot_Rates,EIOPA_RFR!$A41,FALSE)</f>
        <v>4.5539999999999997E-2</v>
      </c>
      <c r="I32" s="12">
        <f>HLOOKUP(I$2,EIOPA_Spot_Rates,EIOPA_RFR!$A41,FALSE)</f>
        <v>6.5199999999999998E-3</v>
      </c>
      <c r="J32" s="12">
        <f>HLOOKUP(J$2,EIOPA_Spot_Rates,EIOPA_RFR!$A41,FALSE)</f>
        <v>2.911E-2</v>
      </c>
      <c r="K32" s="12">
        <f>HLOOKUP(K$2,EIOPA_Spot_Rates,EIOPA_RFR!$A41,FALSE)</f>
        <v>4.0099999999999997E-2</v>
      </c>
      <c r="L32" s="12">
        <f>HLOOKUP(L$2,EIOPA_Spot_Rates,EIOPA_RFR!$A41,FALSE)</f>
        <v>4.3950000000000003E-2</v>
      </c>
      <c r="M32" s="12">
        <f>HLOOKUP(M$2,EIOPA_Spot_Rates,EIOPA_RFR!$A41,FALSE)</f>
        <v>6.1449999999999998E-2</v>
      </c>
      <c r="N32" s="12">
        <f>HLOOKUP(N$2,EIOPA_Spot_Rates,EIOPA_RFR!$A41,FALSE)</f>
        <v>2.9770000000000001E-2</v>
      </c>
      <c r="O32" s="12">
        <f>HLOOKUP(O$2,EIOPA_Spot_Rates,EIOPA_RFR!$A41,FALSE)</f>
        <v>1.2630000000000001E-2</v>
      </c>
      <c r="P32" s="12">
        <f>HLOOKUP(P$2,EIOPA_Spot_Rates,EIOPA_RFR!$A41,FALSE)</f>
        <v>3.322E-2</v>
      </c>
      <c r="Q32" s="12">
        <f>HLOOKUP(Q$2,EIOPA_Spot_Rates,EIOPA_RFR!$A41,FALSE)</f>
        <v>7.825E-2</v>
      </c>
      <c r="R32" s="12">
        <f>HLOOKUP(R$2,EIOPA_Spot_Rates,EIOPA_RFR!$A41,FALSE)</f>
        <v>2.2190000000000001E-2</v>
      </c>
      <c r="S32" s="12">
        <f>HLOOKUP(S$2,EIOPA_Spot_Rates,EIOPA_RFR!$A41,FALSE)</f>
        <v>4.2520000000000002E-2</v>
      </c>
      <c r="T32" s="12">
        <f>HLOOKUP(T$2,EIOPA_Spot_Rates,EIOPA_RFR!$A41,FALSE)</f>
        <v>4.4179999999999997E-2</v>
      </c>
      <c r="U32" s="12">
        <f>HLOOKUP(U$2,EIOPA_Spot_Rates,EIOPA_RFR!$A41,FALSE)</f>
        <v>5.6759999999999998E-2</v>
      </c>
      <c r="V32" s="12">
        <f>HLOOKUP(V$2,EIOPA_Spot_Rates,EIOPA_RFR!$A41,FALSE)</f>
        <v>2.9749999999999999E-2</v>
      </c>
      <c r="W32" s="12">
        <f>HLOOKUP(W$2,EIOPA_Spot_Rates,EIOPA_RFR!$A41,FALSE)</f>
        <v>6.4089999999999994E-2</v>
      </c>
      <c r="X32" s="12">
        <f>HLOOKUP(X$2,EIOPA_Spot_Rates,EIOPA_RFR!$A41,FALSE)</f>
        <v>7.3899999999999999E-3</v>
      </c>
      <c r="Y32" s="12">
        <f>HLOOKUP(Y$2,EIOPA_Spot_Rates,EIOPA_RFR!$A41,FALSE)</f>
        <v>4.36E-2</v>
      </c>
      <c r="Z32" s="12">
        <f>HLOOKUP(Z$2,EIOPA_Spot_Rates,EIOPA_RFR!$A41,FALSE)</f>
        <v>7.6189999999999994E-2</v>
      </c>
      <c r="AA32" s="12">
        <f>HLOOKUP(AA$2,EIOPA_Spot_Rates,EIOPA_RFR!$A41,FALSE)</f>
        <v>4.1399999999999999E-2</v>
      </c>
      <c r="AB32" s="12">
        <f>HLOOKUP(AB$2,EIOPA_Spot_Rates,EIOPA_RFR!$A41,FALSE)</f>
        <v>2.9559999999999999E-2</v>
      </c>
      <c r="AC32" s="12">
        <f>HLOOKUP(AC$2,EIOPA_Spot_Rates,EIOPA_RFR!$A41,FALSE)</f>
        <v>7.621E-2</v>
      </c>
      <c r="AD32" s="12">
        <f>HLOOKUP(AD$2,EIOPA_Spot_Rates,EIOPA_RFR!$A41,FALSE)</f>
        <v>2.2290000000000001E-2</v>
      </c>
      <c r="AE32" s="12">
        <f>HLOOKUP(AE$2,EIOPA_Spot_Rates,EIOPA_RFR!$A41,FALSE)</f>
        <v>2.486E-2</v>
      </c>
      <c r="AF32" s="12">
        <f>HLOOKUP(AF$2,EIOPA_Spot_Rates,EIOPA_RFR!$A41,FALSE)</f>
        <v>3.2770000000000001E-2</v>
      </c>
      <c r="AG32" s="12">
        <f>HLOOKUP(AG$2,EIOPA_Spot_Rates,EIOPA_RFR!$A41,FALSE)</f>
        <v>8.1280000000000005E-2</v>
      </c>
      <c r="AH32" s="12">
        <f>HLOOKUP(AH$2,EIOPA_Spot_Rates,EIOPA_RFR!$A41,FALSE)</f>
        <v>2.5409999999999999E-2</v>
      </c>
      <c r="AI32" s="127">
        <f t="shared" si="0"/>
        <v>1.2630000000000001E-2</v>
      </c>
      <c r="AJ32" s="16">
        <v>29</v>
      </c>
      <c r="AK32" s="12">
        <f>HLOOKUP(AK$2,Interest_Rate_Stresses_Setup!$C$6:$BC$47,Interest_Rate_Stresses_Setup!$A36,FALSE)</f>
        <v>2.8080000000000001E-2</v>
      </c>
      <c r="AL32" s="12">
        <f>HLOOKUP(AL$2,Interest_Rate_Stresses_Setup!$C$6:$BC$47,Interest_Rate_Stresses_Setup!$A36,FALSE)</f>
        <v>2.7659999999999997E-2</v>
      </c>
      <c r="AM32" s="12">
        <f>HLOOKUP(AM$2,Interest_Rate_Stresses_Setup!$C$6:$BC$47,Interest_Rate_Stresses_Setup!$A36,FALSE)</f>
        <v>4.5670000000000002E-2</v>
      </c>
      <c r="AN32" s="12">
        <f>HLOOKUP(AN$2,Interest_Rate_Stresses_Setup!$C$6:$BC$47,Interest_Rate_Stresses_Setup!$A36,FALSE)</f>
        <v>3.2500000000000001E-2</v>
      </c>
      <c r="AO32" s="12">
        <f>HLOOKUP(AO$2,Interest_Rate_Stresses_Setup!$C$6:$BC$47,Interest_Rate_Stresses_Setup!$A36,FALSE)</f>
        <v>2.7999999999999997E-2</v>
      </c>
      <c r="AP32" s="12">
        <f>HLOOKUP(AP$2,Interest_Rate_Stresses_Setup!$C$6:$BC$47,Interest_Rate_Stresses_Setup!$A36,FALSE)</f>
        <v>5.3319999999999999E-2</v>
      </c>
      <c r="AQ32" s="12">
        <f>HLOOKUP(AQ$2,Interest_Rate_Stresses_Setup!$C$6:$BC$47,Interest_Rate_Stresses_Setup!$A36,FALSE)</f>
        <v>5.5539999999999999E-2</v>
      </c>
      <c r="AR32" s="12">
        <f>HLOOKUP(AR$2,Interest_Rate_Stresses_Setup!$C$6:$BC$47,Interest_Rate_Stresses_Setup!$A36,FALSE)</f>
        <v>1.652E-2</v>
      </c>
      <c r="AS32" s="12">
        <f>HLOOKUP(AS$2,Interest_Rate_Stresses_Setup!$C$6:$BC$47,Interest_Rate_Stresses_Setup!$A36,FALSE)</f>
        <v>3.9109999999999999E-2</v>
      </c>
      <c r="AT32" s="12">
        <f>HLOOKUP(AT$2,Interest_Rate_Stresses_Setup!$C$6:$BC$47,Interest_Rate_Stresses_Setup!$A36,FALSE)</f>
        <v>5.0099999999999999E-2</v>
      </c>
      <c r="AU32" s="12">
        <f>HLOOKUP(AU$2,Interest_Rate_Stresses_Setup!$C$6:$BC$47,Interest_Rate_Stresses_Setup!$A36,FALSE)</f>
        <v>5.3950000000000005E-2</v>
      </c>
      <c r="AV32" s="12">
        <f>HLOOKUP(AV$2,Interest_Rate_Stresses_Setup!$C$6:$BC$47,Interest_Rate_Stresses_Setup!$A36,FALSE)</f>
        <v>7.145E-2</v>
      </c>
      <c r="AW32" s="12">
        <f>HLOOKUP(AW$2,Interest_Rate_Stresses_Setup!$C$6:$BC$47,Interest_Rate_Stresses_Setup!$A36,FALSE)</f>
        <v>3.977E-2</v>
      </c>
      <c r="AX32" s="12">
        <f>HLOOKUP(AX$2,Interest_Rate_Stresses_Setup!$C$6:$BC$47,Interest_Rate_Stresses_Setup!$A36,FALSE)</f>
        <v>2.2630000000000001E-2</v>
      </c>
      <c r="AY32" s="12">
        <f>HLOOKUP(AY$2,Interest_Rate_Stresses_Setup!$C$6:$BC$47,Interest_Rate_Stresses_Setup!$A36,FALSE)</f>
        <v>4.3220000000000001E-2</v>
      </c>
      <c r="AZ32" s="12">
        <f>HLOOKUP(AZ$2,Interest_Rate_Stresses_Setup!$C$6:$BC$47,Interest_Rate_Stresses_Setup!$A36,FALSE)</f>
        <v>8.8249999999999995E-2</v>
      </c>
      <c r="BA32" s="12">
        <f>HLOOKUP(BA$2,Interest_Rate_Stresses_Setup!$C$6:$BC$47,Interest_Rate_Stresses_Setup!$A36,FALSE)</f>
        <v>3.2190000000000003E-2</v>
      </c>
      <c r="BB32" s="12">
        <f>HLOOKUP(BB$2,Interest_Rate_Stresses_Setup!$C$6:$BC$47,Interest_Rate_Stresses_Setup!$A36,FALSE)</f>
        <v>5.2520000000000004E-2</v>
      </c>
      <c r="BC32" s="12">
        <f>HLOOKUP(BC$2,Interest_Rate_Stresses_Setup!$C$6:$BC$47,Interest_Rate_Stresses_Setup!$A36,FALSE)</f>
        <v>5.4179999999999999E-2</v>
      </c>
      <c r="BD32" s="12">
        <f>HLOOKUP(BD$2,Interest_Rate_Stresses_Setup!$C$6:$BC$47,Interest_Rate_Stresses_Setup!$A36,FALSE)</f>
        <v>6.676E-2</v>
      </c>
      <c r="BE32" s="12">
        <f>HLOOKUP(BE$2,Interest_Rate_Stresses_Setup!$C$6:$BC$47,Interest_Rate_Stresses_Setup!$A36,FALSE)</f>
        <v>3.9750000000000001E-2</v>
      </c>
      <c r="BF32" s="12">
        <f>HLOOKUP(BF$2,Interest_Rate_Stresses_Setup!$C$6:$BC$47,Interest_Rate_Stresses_Setup!$A36,FALSE)</f>
        <v>7.4089999999999989E-2</v>
      </c>
      <c r="BG32" s="12">
        <f>HLOOKUP(BG$2,Interest_Rate_Stresses_Setup!$C$6:$BC$47,Interest_Rate_Stresses_Setup!$A36,FALSE)</f>
        <v>1.7389999999999999E-2</v>
      </c>
      <c r="BH32" s="12">
        <f>HLOOKUP(BH$2,Interest_Rate_Stresses_Setup!$C$6:$BC$47,Interest_Rate_Stresses_Setup!$A36,FALSE)</f>
        <v>5.3600000000000002E-2</v>
      </c>
      <c r="BI32" s="12">
        <f>HLOOKUP(BI$2,Interest_Rate_Stresses_Setup!$C$6:$BC$47,Interest_Rate_Stresses_Setup!$A36,FALSE)</f>
        <v>8.6189999999999989E-2</v>
      </c>
      <c r="BJ32" s="12">
        <f>HLOOKUP(BJ$2,Interest_Rate_Stresses_Setup!$C$6:$BC$47,Interest_Rate_Stresses_Setup!$A36,FALSE)</f>
        <v>5.1400000000000001E-2</v>
      </c>
      <c r="BK32" s="12">
        <f>HLOOKUP(BK$2,Interest_Rate_Stresses_Setup!$C$6:$BC$47,Interest_Rate_Stresses_Setup!$A36,FALSE)</f>
        <v>3.9559999999999998E-2</v>
      </c>
      <c r="BL32" s="12">
        <f>HLOOKUP(BL$2,Interest_Rate_Stresses_Setup!$C$6:$BC$47,Interest_Rate_Stresses_Setup!$A36,FALSE)</f>
        <v>8.6209999999999995E-2</v>
      </c>
      <c r="BM32" s="12">
        <f>HLOOKUP(BM$2,Interest_Rate_Stresses_Setup!$C$6:$BC$47,Interest_Rate_Stresses_Setup!$A36,FALSE)</f>
        <v>3.2289999999999999E-2</v>
      </c>
      <c r="BN32" s="12">
        <f>HLOOKUP(BN$2,Interest_Rate_Stresses_Setup!$C$6:$BC$47,Interest_Rate_Stresses_Setup!$A36,FALSE)</f>
        <v>3.4860000000000002E-2</v>
      </c>
      <c r="BO32" s="12">
        <f>HLOOKUP(BO$2,Interest_Rate_Stresses_Setup!$C$6:$BC$47,Interest_Rate_Stresses_Setup!$A36,FALSE)</f>
        <v>4.2770000000000002E-2</v>
      </c>
      <c r="BP32" s="12">
        <f>HLOOKUP(BP$2,Interest_Rate_Stresses_Setup!$C$6:$BC$47,Interest_Rate_Stresses_Setup!$A36,FALSE)</f>
        <v>9.128E-2</v>
      </c>
      <c r="BQ32" s="12">
        <f>HLOOKUP(BQ$2,Interest_Rate_Stresses_Setup!$C$6:$BC$47,Interest_Rate_Stresses_Setup!$A36,FALSE)</f>
        <v>3.5409999999999997E-2</v>
      </c>
      <c r="BR32" s="127">
        <f t="shared" si="1"/>
        <v>2.2630000000000001E-2</v>
      </c>
      <c r="BS32" s="16">
        <v>29</v>
      </c>
      <c r="BT32" s="12">
        <f>HLOOKUP(BT$2,Interest_Rate_Stresses_Setup!$C$50:$BC$91,Interest_Rate_Stresses_Setup!$A80,FALSE)</f>
        <v>1.2836799999999999E-2</v>
      </c>
      <c r="BU32" s="12">
        <f>HLOOKUP(BU$2,Interest_Rate_Stresses_Setup!$C$50:$BC$91,Interest_Rate_Stresses_Setup!$A80,FALSE)</f>
        <v>1.2538599999999999E-2</v>
      </c>
      <c r="BV32" s="12">
        <f>HLOOKUP(BV$2,Interest_Rate_Stresses_Setup!$C$50:$BC$91,Interest_Rate_Stresses_Setup!$A80,FALSE)</f>
        <v>2.53257E-2</v>
      </c>
      <c r="BW32" s="12">
        <f>HLOOKUP(BW$2,Interest_Rate_Stresses_Setup!$C$50:$BC$91,Interest_Rate_Stresses_Setup!$A80,FALSE)</f>
        <v>1.5975E-2</v>
      </c>
      <c r="BX32" s="12">
        <f>HLOOKUP(BX$2,Interest_Rate_Stresses_Setup!$C$50:$BC$91,Interest_Rate_Stresses_Setup!$A80,FALSE)</f>
        <v>1.2779999999999998E-2</v>
      </c>
      <c r="BY32" s="12">
        <f>HLOOKUP(BY$2,Interest_Rate_Stresses_Setup!$C$50:$BC$91,Interest_Rate_Stresses_Setup!$A80,FALSE)</f>
        <v>3.0757199999999995E-2</v>
      </c>
      <c r="BZ32" s="12">
        <f>HLOOKUP(BZ$2,Interest_Rate_Stresses_Setup!$C$50:$BC$91,Interest_Rate_Stresses_Setup!$A80,FALSE)</f>
        <v>3.2333399999999998E-2</v>
      </c>
      <c r="CA32" s="12">
        <f>HLOOKUP(CA$2,Interest_Rate_Stresses_Setup!$C$50:$BC$91,Interest_Rate_Stresses_Setup!$A80,FALSE)</f>
        <v>4.6292E-3</v>
      </c>
      <c r="CB32" s="12">
        <f>HLOOKUP(CB$2,Interest_Rate_Stresses_Setup!$C$50:$BC$91,Interest_Rate_Stresses_Setup!$A80,FALSE)</f>
        <v>2.0668099999999998E-2</v>
      </c>
      <c r="CC32" s="12">
        <f>HLOOKUP(CC$2,Interest_Rate_Stresses_Setup!$C$50:$BC$91,Interest_Rate_Stresses_Setup!$A80,FALSE)</f>
        <v>2.8470999999999996E-2</v>
      </c>
      <c r="CD32" s="12">
        <f>HLOOKUP(CD$2,Interest_Rate_Stresses_Setup!$C$50:$BC$91,Interest_Rate_Stresses_Setup!$A80,FALSE)</f>
        <v>3.12045E-2</v>
      </c>
      <c r="CE32" s="12">
        <f>HLOOKUP(CE$2,Interest_Rate_Stresses_Setup!$C$50:$BC$91,Interest_Rate_Stresses_Setup!$A80,FALSE)</f>
        <v>4.3629499999999995E-2</v>
      </c>
      <c r="CF32" s="12">
        <f>HLOOKUP(CF$2,Interest_Rate_Stresses_Setup!$C$50:$BC$91,Interest_Rate_Stresses_Setup!$A80,FALSE)</f>
        <v>2.1136700000000001E-2</v>
      </c>
      <c r="CG32" s="12">
        <f>HLOOKUP(CG$2,Interest_Rate_Stresses_Setup!$C$50:$BC$91,Interest_Rate_Stresses_Setup!$A80,FALSE)</f>
        <v>8.9672999999999992E-3</v>
      </c>
      <c r="CH32" s="12">
        <f>HLOOKUP(CH$2,Interest_Rate_Stresses_Setup!$C$50:$BC$91,Interest_Rate_Stresses_Setup!$A80,FALSE)</f>
        <v>2.3586199999999998E-2</v>
      </c>
      <c r="CI32" s="12">
        <f>HLOOKUP(CI$2,Interest_Rate_Stresses_Setup!$C$50:$BC$91,Interest_Rate_Stresses_Setup!$A80,FALSE)</f>
        <v>5.5557499999999996E-2</v>
      </c>
      <c r="CJ32" s="12">
        <f>HLOOKUP(CJ$2,Interest_Rate_Stresses_Setup!$C$50:$BC$91,Interest_Rate_Stresses_Setup!$A80,FALSE)</f>
        <v>1.5754899999999999E-2</v>
      </c>
      <c r="CK32" s="12">
        <f>HLOOKUP(CK$2,Interest_Rate_Stresses_Setup!$C$50:$BC$91,Interest_Rate_Stresses_Setup!$A80,FALSE)</f>
        <v>3.0189199999999999E-2</v>
      </c>
      <c r="CL32" s="12">
        <f>HLOOKUP(CL$2,Interest_Rate_Stresses_Setup!$C$50:$BC$91,Interest_Rate_Stresses_Setup!$A80,FALSE)</f>
        <v>3.1367799999999994E-2</v>
      </c>
      <c r="CM32" s="12">
        <f>HLOOKUP(CM$2,Interest_Rate_Stresses_Setup!$C$50:$BC$91,Interest_Rate_Stresses_Setup!$A80,FALSE)</f>
        <v>4.0299599999999998E-2</v>
      </c>
      <c r="CN32" s="12">
        <f>HLOOKUP(CN$2,Interest_Rate_Stresses_Setup!$C$50:$BC$91,Interest_Rate_Stresses_Setup!$A80,FALSE)</f>
        <v>2.1122499999999999E-2</v>
      </c>
      <c r="CO32" s="12">
        <f>HLOOKUP(CO$2,Interest_Rate_Stresses_Setup!$C$50:$BC$91,Interest_Rate_Stresses_Setup!$A80,FALSE)</f>
        <v>4.5503899999999993E-2</v>
      </c>
      <c r="CP32" s="12">
        <f>HLOOKUP(CP$2,Interest_Rate_Stresses_Setup!$C$50:$BC$91,Interest_Rate_Stresses_Setup!$A80,FALSE)</f>
        <v>5.2468999999999997E-3</v>
      </c>
      <c r="CQ32" s="12">
        <f>HLOOKUP(CQ$2,Interest_Rate_Stresses_Setup!$C$50:$BC$91,Interest_Rate_Stresses_Setup!$A80,FALSE)</f>
        <v>3.0955999999999997E-2</v>
      </c>
      <c r="CR32" s="12">
        <f>HLOOKUP(CR$2,Interest_Rate_Stresses_Setup!$C$50:$BC$91,Interest_Rate_Stresses_Setup!$A80,FALSE)</f>
        <v>5.4094899999999994E-2</v>
      </c>
      <c r="CS32" s="12">
        <f>HLOOKUP(CS$2,Interest_Rate_Stresses_Setup!$C$50:$BC$91,Interest_Rate_Stresses_Setup!$A80,FALSE)</f>
        <v>2.9393999999999997E-2</v>
      </c>
      <c r="CT32" s="12">
        <f>HLOOKUP(CT$2,Interest_Rate_Stresses_Setup!$C$50:$BC$91,Interest_Rate_Stresses_Setup!$A80,FALSE)</f>
        <v>2.0987599999999999E-2</v>
      </c>
      <c r="CU32" s="12">
        <f>HLOOKUP(CU$2,Interest_Rate_Stresses_Setup!$C$50:$BC$91,Interest_Rate_Stresses_Setup!$A80,FALSE)</f>
        <v>5.41091E-2</v>
      </c>
      <c r="CV32" s="12">
        <f>HLOOKUP(CV$2,Interest_Rate_Stresses_Setup!$C$50:$BC$91,Interest_Rate_Stresses_Setup!$A80,FALSE)</f>
        <v>1.58259E-2</v>
      </c>
      <c r="CW32" s="12">
        <f>HLOOKUP(CW$2,Interest_Rate_Stresses_Setup!$C$50:$BC$91,Interest_Rate_Stresses_Setup!$A80,FALSE)</f>
        <v>1.7650599999999999E-2</v>
      </c>
      <c r="CX32" s="12">
        <f>HLOOKUP(CX$2,Interest_Rate_Stresses_Setup!$C$50:$BC$91,Interest_Rate_Stresses_Setup!$A80,FALSE)</f>
        <v>2.3266699999999998E-2</v>
      </c>
      <c r="CY32" s="12">
        <f>HLOOKUP(CY$2,Interest_Rate_Stresses_Setup!$C$50:$BC$91,Interest_Rate_Stresses_Setup!$A80,FALSE)</f>
        <v>5.7708799999999998E-2</v>
      </c>
      <c r="CZ32" s="12">
        <f>HLOOKUP(CZ$2,Interest_Rate_Stresses_Setup!$C$50:$BC$91,Interest_Rate_Stresses_Setup!$A80,FALSE)</f>
        <v>1.8041099999999997E-2</v>
      </c>
      <c r="DA32" s="127">
        <f t="shared" si="2"/>
        <v>8.9672999999999992E-3</v>
      </c>
    </row>
    <row r="33" spans="1:105" x14ac:dyDescent="0.25">
      <c r="A33" s="11">
        <v>30</v>
      </c>
      <c r="B33" s="12">
        <f>HLOOKUP(B$2,EIOPA_Spot_Rates,EIOPA_RFR!$A42,FALSE)</f>
        <v>1.8689999999999998E-2</v>
      </c>
      <c r="C33" s="12">
        <f>HLOOKUP(C$2,EIOPA_Spot_Rates,EIOPA_RFR!$A42,FALSE)</f>
        <v>1.8280000000000001E-2</v>
      </c>
      <c r="D33" s="12">
        <f>HLOOKUP(D$2,EIOPA_Spot_Rates,EIOPA_RFR!$A42,FALSE)</f>
        <v>3.5839999999999997E-2</v>
      </c>
      <c r="E33" s="12">
        <f>HLOOKUP(E$2,EIOPA_Spot_Rates,EIOPA_RFR!$A42,FALSE)</f>
        <v>2.3029999999999998E-2</v>
      </c>
      <c r="F33" s="12">
        <f>HLOOKUP(F$2,EIOPA_Spot_Rates,EIOPA_RFR!$A42,FALSE)</f>
        <v>1.8610000000000002E-2</v>
      </c>
      <c r="G33" s="12">
        <f>HLOOKUP(G$2,EIOPA_Spot_Rates,EIOPA_RFR!$A42,FALSE)</f>
        <v>4.3369999999999999E-2</v>
      </c>
      <c r="H33" s="12">
        <f>HLOOKUP(H$2,EIOPA_Spot_Rates,EIOPA_RFR!$A42,FALSE)</f>
        <v>4.5449999999999997E-2</v>
      </c>
      <c r="I33" s="12">
        <f>HLOOKUP(I$2,EIOPA_Spot_Rates,EIOPA_RFR!$A42,FALSE)</f>
        <v>7.0099999999999997E-3</v>
      </c>
      <c r="J33" s="12">
        <f>HLOOKUP(J$2,EIOPA_Spot_Rates,EIOPA_RFR!$A42,FALSE)</f>
        <v>2.947E-2</v>
      </c>
      <c r="K33" s="12">
        <f>HLOOKUP(K$2,EIOPA_Spot_Rates,EIOPA_RFR!$A42,FALSE)</f>
        <v>4.0189999999999997E-2</v>
      </c>
      <c r="L33" s="12">
        <f>HLOOKUP(L$2,EIOPA_Spot_Rates,EIOPA_RFR!$A42,FALSE)</f>
        <v>4.394E-2</v>
      </c>
      <c r="M33" s="12">
        <f>HLOOKUP(M$2,EIOPA_Spot_Rates,EIOPA_RFR!$A42,FALSE)</f>
        <v>6.0909999999999999E-2</v>
      </c>
      <c r="N33" s="12">
        <f>HLOOKUP(N$2,EIOPA_Spot_Rates,EIOPA_RFR!$A42,FALSE)</f>
        <v>3.0179999999999998E-2</v>
      </c>
      <c r="O33" s="12">
        <f>HLOOKUP(O$2,EIOPA_Spot_Rates,EIOPA_RFR!$A42,FALSE)</f>
        <v>1.2579999999999999E-2</v>
      </c>
      <c r="P33" s="12">
        <f>HLOOKUP(P$2,EIOPA_Spot_Rates,EIOPA_RFR!$A42,FALSE)</f>
        <v>3.322E-2</v>
      </c>
      <c r="Q33" s="12">
        <f>HLOOKUP(Q$2,EIOPA_Spot_Rates,EIOPA_RFR!$A42,FALSE)</f>
        <v>7.7530000000000002E-2</v>
      </c>
      <c r="R33" s="12">
        <f>HLOOKUP(R$2,EIOPA_Spot_Rates,EIOPA_RFR!$A42,FALSE)</f>
        <v>2.23E-2</v>
      </c>
      <c r="S33" s="12">
        <f>HLOOKUP(S$2,EIOPA_Spot_Rates,EIOPA_RFR!$A42,FALSE)</f>
        <v>4.2540000000000001E-2</v>
      </c>
      <c r="T33" s="12">
        <f>HLOOKUP(T$2,EIOPA_Spot_Rates,EIOPA_RFR!$A42,FALSE)</f>
        <v>4.4159999999999998E-2</v>
      </c>
      <c r="U33" s="12">
        <f>HLOOKUP(U$2,EIOPA_Spot_Rates,EIOPA_RFR!$A42,FALSE)</f>
        <v>5.6370000000000003E-2</v>
      </c>
      <c r="V33" s="12">
        <f>HLOOKUP(V$2,EIOPA_Spot_Rates,EIOPA_RFR!$A42,FALSE)</f>
        <v>3.0079999999999999E-2</v>
      </c>
      <c r="W33" s="12">
        <f>HLOOKUP(W$2,EIOPA_Spot_Rates,EIOPA_RFR!$A42,FALSE)</f>
        <v>6.3780000000000003E-2</v>
      </c>
      <c r="X33" s="12">
        <f>HLOOKUP(X$2,EIOPA_Spot_Rates,EIOPA_RFR!$A42,FALSE)</f>
        <v>7.5700000000000003E-3</v>
      </c>
      <c r="Y33" s="12">
        <f>HLOOKUP(Y$2,EIOPA_Spot_Rates,EIOPA_RFR!$A42,FALSE)</f>
        <v>4.3589999999999997E-2</v>
      </c>
      <c r="Z33" s="12">
        <f>HLOOKUP(Z$2,EIOPA_Spot_Rates,EIOPA_RFR!$A42,FALSE)</f>
        <v>7.5660000000000005E-2</v>
      </c>
      <c r="AA33" s="12">
        <f>HLOOKUP(AA$2,EIOPA_Spot_Rates,EIOPA_RFR!$A42,FALSE)</f>
        <v>4.1480000000000003E-2</v>
      </c>
      <c r="AB33" s="12">
        <f>HLOOKUP(AB$2,EIOPA_Spot_Rates,EIOPA_RFR!$A42,FALSE)</f>
        <v>2.9860000000000001E-2</v>
      </c>
      <c r="AC33" s="12">
        <f>HLOOKUP(AC$2,EIOPA_Spot_Rates,EIOPA_RFR!$A42,FALSE)</f>
        <v>7.5590000000000004E-2</v>
      </c>
      <c r="AD33" s="12">
        <f>HLOOKUP(AD$2,EIOPA_Spot_Rates,EIOPA_RFR!$A42,FALSE)</f>
        <v>2.2769999999999999E-2</v>
      </c>
      <c r="AE33" s="12">
        <f>HLOOKUP(AE$2,EIOPA_Spot_Rates,EIOPA_RFR!$A42,FALSE)</f>
        <v>2.5340000000000001E-2</v>
      </c>
      <c r="AF33" s="12">
        <f>HLOOKUP(AF$2,EIOPA_Spot_Rates,EIOPA_RFR!$A42,FALSE)</f>
        <v>3.3020000000000001E-2</v>
      </c>
      <c r="AG33" s="12">
        <f>HLOOKUP(AG$2,EIOPA_Spot_Rates,EIOPA_RFR!$A42,FALSE)</f>
        <v>8.0439999999999998E-2</v>
      </c>
      <c r="AH33" s="12">
        <f>HLOOKUP(AH$2,EIOPA_Spot_Rates,EIOPA_RFR!$A42,FALSE)</f>
        <v>2.5409999999999999E-2</v>
      </c>
      <c r="AI33" s="127">
        <f t="shared" si="0"/>
        <v>1.2579999999999999E-2</v>
      </c>
      <c r="AJ33" s="16">
        <v>30</v>
      </c>
      <c r="AK33" s="12">
        <f>HLOOKUP(AK$2,Interest_Rate_Stresses_Setup!$C$6:$BC$47,Interest_Rate_Stresses_Setup!$A37,FALSE)</f>
        <v>2.869E-2</v>
      </c>
      <c r="AL33" s="12">
        <f>HLOOKUP(AL$2,Interest_Rate_Stresses_Setup!$C$6:$BC$47,Interest_Rate_Stresses_Setup!$A37,FALSE)</f>
        <v>2.828E-2</v>
      </c>
      <c r="AM33" s="12">
        <f>HLOOKUP(AM$2,Interest_Rate_Stresses_Setup!$C$6:$BC$47,Interest_Rate_Stresses_Setup!$A37,FALSE)</f>
        <v>4.5839999999999999E-2</v>
      </c>
      <c r="AN33" s="12">
        <f>HLOOKUP(AN$2,Interest_Rate_Stresses_Setup!$C$6:$BC$47,Interest_Rate_Stresses_Setup!$A37,FALSE)</f>
        <v>3.3029999999999997E-2</v>
      </c>
      <c r="AO33" s="12">
        <f>HLOOKUP(AO$2,Interest_Rate_Stresses_Setup!$C$6:$BC$47,Interest_Rate_Stresses_Setup!$A37,FALSE)</f>
        <v>2.8610000000000003E-2</v>
      </c>
      <c r="AP33" s="12">
        <f>HLOOKUP(AP$2,Interest_Rate_Stresses_Setup!$C$6:$BC$47,Interest_Rate_Stresses_Setup!$A37,FALSE)</f>
        <v>5.3370000000000001E-2</v>
      </c>
      <c r="AQ33" s="12">
        <f>HLOOKUP(AQ$2,Interest_Rate_Stresses_Setup!$C$6:$BC$47,Interest_Rate_Stresses_Setup!$A37,FALSE)</f>
        <v>5.5449999999999999E-2</v>
      </c>
      <c r="AR33" s="12">
        <f>HLOOKUP(AR$2,Interest_Rate_Stresses_Setup!$C$6:$BC$47,Interest_Rate_Stresses_Setup!$A37,FALSE)</f>
        <v>1.7010000000000001E-2</v>
      </c>
      <c r="AS33" s="12">
        <f>HLOOKUP(AS$2,Interest_Rate_Stresses_Setup!$C$6:$BC$47,Interest_Rate_Stresses_Setup!$A37,FALSE)</f>
        <v>3.9469999999999998E-2</v>
      </c>
      <c r="AT33" s="12">
        <f>HLOOKUP(AT$2,Interest_Rate_Stresses_Setup!$C$6:$BC$47,Interest_Rate_Stresses_Setup!$A37,FALSE)</f>
        <v>5.0189999999999999E-2</v>
      </c>
      <c r="AU33" s="12">
        <f>HLOOKUP(AU$2,Interest_Rate_Stresses_Setup!$C$6:$BC$47,Interest_Rate_Stresses_Setup!$A37,FALSE)</f>
        <v>5.3940000000000002E-2</v>
      </c>
      <c r="AV33" s="12">
        <f>HLOOKUP(AV$2,Interest_Rate_Stresses_Setup!$C$6:$BC$47,Interest_Rate_Stresses_Setup!$A37,FALSE)</f>
        <v>7.0910000000000001E-2</v>
      </c>
      <c r="AW33" s="12">
        <f>HLOOKUP(AW$2,Interest_Rate_Stresses_Setup!$C$6:$BC$47,Interest_Rate_Stresses_Setup!$A37,FALSE)</f>
        <v>4.018E-2</v>
      </c>
      <c r="AX33" s="12">
        <f>HLOOKUP(AX$2,Interest_Rate_Stresses_Setup!$C$6:$BC$47,Interest_Rate_Stresses_Setup!$A37,FALSE)</f>
        <v>2.2579999999999999E-2</v>
      </c>
      <c r="AY33" s="12">
        <f>HLOOKUP(AY$2,Interest_Rate_Stresses_Setup!$C$6:$BC$47,Interest_Rate_Stresses_Setup!$A37,FALSE)</f>
        <v>4.3220000000000001E-2</v>
      </c>
      <c r="AZ33" s="12">
        <f>HLOOKUP(AZ$2,Interest_Rate_Stresses_Setup!$C$6:$BC$47,Interest_Rate_Stresses_Setup!$A37,FALSE)</f>
        <v>8.7529999999999997E-2</v>
      </c>
      <c r="BA33" s="12">
        <f>HLOOKUP(BA$2,Interest_Rate_Stresses_Setup!$C$6:$BC$47,Interest_Rate_Stresses_Setup!$A37,FALSE)</f>
        <v>3.2300000000000002E-2</v>
      </c>
      <c r="BB33" s="12">
        <f>HLOOKUP(BB$2,Interest_Rate_Stresses_Setup!$C$6:$BC$47,Interest_Rate_Stresses_Setup!$A37,FALSE)</f>
        <v>5.2540000000000003E-2</v>
      </c>
      <c r="BC33" s="12">
        <f>HLOOKUP(BC$2,Interest_Rate_Stresses_Setup!$C$6:$BC$47,Interest_Rate_Stresses_Setup!$A37,FALSE)</f>
        <v>5.416E-2</v>
      </c>
      <c r="BD33" s="12">
        <f>HLOOKUP(BD$2,Interest_Rate_Stresses_Setup!$C$6:$BC$47,Interest_Rate_Stresses_Setup!$A37,FALSE)</f>
        <v>6.6369999999999998E-2</v>
      </c>
      <c r="BE33" s="12">
        <f>HLOOKUP(BE$2,Interest_Rate_Stresses_Setup!$C$6:$BC$47,Interest_Rate_Stresses_Setup!$A37,FALSE)</f>
        <v>4.0079999999999998E-2</v>
      </c>
      <c r="BF33" s="12">
        <f>HLOOKUP(BF$2,Interest_Rate_Stresses_Setup!$C$6:$BC$47,Interest_Rate_Stresses_Setup!$A37,FALSE)</f>
        <v>7.3779999999999998E-2</v>
      </c>
      <c r="BG33" s="12">
        <f>HLOOKUP(BG$2,Interest_Rate_Stresses_Setup!$C$6:$BC$47,Interest_Rate_Stresses_Setup!$A37,FALSE)</f>
        <v>1.7570000000000002E-2</v>
      </c>
      <c r="BH33" s="12">
        <f>HLOOKUP(BH$2,Interest_Rate_Stresses_Setup!$C$6:$BC$47,Interest_Rate_Stresses_Setup!$A37,FALSE)</f>
        <v>5.3589999999999999E-2</v>
      </c>
      <c r="BI33" s="12">
        <f>HLOOKUP(BI$2,Interest_Rate_Stresses_Setup!$C$6:$BC$47,Interest_Rate_Stresses_Setup!$A37,FALSE)</f>
        <v>8.566E-2</v>
      </c>
      <c r="BJ33" s="12">
        <f>HLOOKUP(BJ$2,Interest_Rate_Stresses_Setup!$C$6:$BC$47,Interest_Rate_Stresses_Setup!$A37,FALSE)</f>
        <v>5.1480000000000005E-2</v>
      </c>
      <c r="BK33" s="12">
        <f>HLOOKUP(BK$2,Interest_Rate_Stresses_Setup!$C$6:$BC$47,Interest_Rate_Stresses_Setup!$A37,FALSE)</f>
        <v>3.986E-2</v>
      </c>
      <c r="BL33" s="12">
        <f>HLOOKUP(BL$2,Interest_Rate_Stresses_Setup!$C$6:$BC$47,Interest_Rate_Stresses_Setup!$A37,FALSE)</f>
        <v>8.5589999999999999E-2</v>
      </c>
      <c r="BM33" s="12">
        <f>HLOOKUP(BM$2,Interest_Rate_Stresses_Setup!$C$6:$BC$47,Interest_Rate_Stresses_Setup!$A37,FALSE)</f>
        <v>3.2770000000000001E-2</v>
      </c>
      <c r="BN33" s="12">
        <f>HLOOKUP(BN$2,Interest_Rate_Stresses_Setup!$C$6:$BC$47,Interest_Rate_Stresses_Setup!$A37,FALSE)</f>
        <v>3.5340000000000003E-2</v>
      </c>
      <c r="BO33" s="12">
        <f>HLOOKUP(BO$2,Interest_Rate_Stresses_Setup!$C$6:$BC$47,Interest_Rate_Stresses_Setup!$A37,FALSE)</f>
        <v>4.3020000000000003E-2</v>
      </c>
      <c r="BP33" s="12">
        <f>HLOOKUP(BP$2,Interest_Rate_Stresses_Setup!$C$6:$BC$47,Interest_Rate_Stresses_Setup!$A37,FALSE)</f>
        <v>9.0439999999999993E-2</v>
      </c>
      <c r="BQ33" s="12">
        <f>HLOOKUP(BQ$2,Interest_Rate_Stresses_Setup!$C$6:$BC$47,Interest_Rate_Stresses_Setup!$A37,FALSE)</f>
        <v>3.5409999999999997E-2</v>
      </c>
      <c r="BR33" s="127">
        <f t="shared" si="1"/>
        <v>2.2579999999999999E-2</v>
      </c>
      <c r="BS33" s="16">
        <v>30</v>
      </c>
      <c r="BT33" s="12">
        <f>HLOOKUP(BT$2,Interest_Rate_Stresses_Setup!$C$50:$BC$91,Interest_Rate_Stresses_Setup!$A81,FALSE)</f>
        <v>1.3269899999999998E-2</v>
      </c>
      <c r="BU33" s="12">
        <f>HLOOKUP(BU$2,Interest_Rate_Stresses_Setup!$C$50:$BC$91,Interest_Rate_Stresses_Setup!$A81,FALSE)</f>
        <v>1.29788E-2</v>
      </c>
      <c r="BV33" s="12">
        <f>HLOOKUP(BV$2,Interest_Rate_Stresses_Setup!$C$50:$BC$91,Interest_Rate_Stresses_Setup!$A81,FALSE)</f>
        <v>2.5446399999999997E-2</v>
      </c>
      <c r="BW33" s="12">
        <f>HLOOKUP(BW$2,Interest_Rate_Stresses_Setup!$C$50:$BC$91,Interest_Rate_Stresses_Setup!$A81,FALSE)</f>
        <v>1.6351299999999999E-2</v>
      </c>
      <c r="BX33" s="12">
        <f>HLOOKUP(BX$2,Interest_Rate_Stresses_Setup!$C$50:$BC$91,Interest_Rate_Stresses_Setup!$A81,FALSE)</f>
        <v>1.32131E-2</v>
      </c>
      <c r="BY33" s="12">
        <f>HLOOKUP(BY$2,Interest_Rate_Stresses_Setup!$C$50:$BC$91,Interest_Rate_Stresses_Setup!$A81,FALSE)</f>
        <v>3.0792699999999999E-2</v>
      </c>
      <c r="BZ33" s="12">
        <f>HLOOKUP(BZ$2,Interest_Rate_Stresses_Setup!$C$50:$BC$91,Interest_Rate_Stresses_Setup!$A81,FALSE)</f>
        <v>3.22695E-2</v>
      </c>
      <c r="CA33" s="12">
        <f>HLOOKUP(CA$2,Interest_Rate_Stresses_Setup!$C$50:$BC$91,Interest_Rate_Stresses_Setup!$A81,FALSE)</f>
        <v>4.9770999999999999E-3</v>
      </c>
      <c r="CB33" s="12">
        <f>HLOOKUP(CB$2,Interest_Rate_Stresses_Setup!$C$50:$BC$91,Interest_Rate_Stresses_Setup!$A81,FALSE)</f>
        <v>2.09237E-2</v>
      </c>
      <c r="CC33" s="12">
        <f>HLOOKUP(CC$2,Interest_Rate_Stresses_Setup!$C$50:$BC$91,Interest_Rate_Stresses_Setup!$A81,FALSE)</f>
        <v>2.8534899999999995E-2</v>
      </c>
      <c r="CD33" s="12">
        <f>HLOOKUP(CD$2,Interest_Rate_Stresses_Setup!$C$50:$BC$91,Interest_Rate_Stresses_Setup!$A81,FALSE)</f>
        <v>3.1197399999999997E-2</v>
      </c>
      <c r="CE33" s="12">
        <f>HLOOKUP(CE$2,Interest_Rate_Stresses_Setup!$C$50:$BC$91,Interest_Rate_Stresses_Setup!$A81,FALSE)</f>
        <v>4.3246099999999996E-2</v>
      </c>
      <c r="CF33" s="12">
        <f>HLOOKUP(CF$2,Interest_Rate_Stresses_Setup!$C$50:$BC$91,Interest_Rate_Stresses_Setup!$A81,FALSE)</f>
        <v>2.1427799999999997E-2</v>
      </c>
      <c r="CG33" s="12">
        <f>HLOOKUP(CG$2,Interest_Rate_Stresses_Setup!$C$50:$BC$91,Interest_Rate_Stresses_Setup!$A81,FALSE)</f>
        <v>8.9317999999999984E-3</v>
      </c>
      <c r="CH33" s="12">
        <f>HLOOKUP(CH$2,Interest_Rate_Stresses_Setup!$C$50:$BC$91,Interest_Rate_Stresses_Setup!$A81,FALSE)</f>
        <v>2.3586199999999998E-2</v>
      </c>
      <c r="CI33" s="12">
        <f>HLOOKUP(CI$2,Interest_Rate_Stresses_Setup!$C$50:$BC$91,Interest_Rate_Stresses_Setup!$A81,FALSE)</f>
        <v>5.5046299999999999E-2</v>
      </c>
      <c r="CJ33" s="12">
        <f>HLOOKUP(CJ$2,Interest_Rate_Stresses_Setup!$C$50:$BC$91,Interest_Rate_Stresses_Setup!$A81,FALSE)</f>
        <v>1.5833E-2</v>
      </c>
      <c r="CK33" s="12">
        <f>HLOOKUP(CK$2,Interest_Rate_Stresses_Setup!$C$50:$BC$91,Interest_Rate_Stresses_Setup!$A81,FALSE)</f>
        <v>3.0203399999999998E-2</v>
      </c>
      <c r="CL33" s="12">
        <f>HLOOKUP(CL$2,Interest_Rate_Stresses_Setup!$C$50:$BC$91,Interest_Rate_Stresses_Setup!$A81,FALSE)</f>
        <v>3.1353599999999995E-2</v>
      </c>
      <c r="CM33" s="12">
        <f>HLOOKUP(CM$2,Interest_Rate_Stresses_Setup!$C$50:$BC$91,Interest_Rate_Stresses_Setup!$A81,FALSE)</f>
        <v>4.0022700000000001E-2</v>
      </c>
      <c r="CN33" s="12">
        <f>HLOOKUP(CN$2,Interest_Rate_Stresses_Setup!$C$50:$BC$91,Interest_Rate_Stresses_Setup!$A81,FALSE)</f>
        <v>2.1356799999999999E-2</v>
      </c>
      <c r="CO33" s="12">
        <f>HLOOKUP(CO$2,Interest_Rate_Stresses_Setup!$C$50:$BC$91,Interest_Rate_Stresses_Setup!$A81,FALSE)</f>
        <v>4.5283799999999999E-2</v>
      </c>
      <c r="CP33" s="12">
        <f>HLOOKUP(CP$2,Interest_Rate_Stresses_Setup!$C$50:$BC$91,Interest_Rate_Stresses_Setup!$A81,FALSE)</f>
        <v>5.3746999999999996E-3</v>
      </c>
      <c r="CQ33" s="12">
        <f>HLOOKUP(CQ$2,Interest_Rate_Stresses_Setup!$C$50:$BC$91,Interest_Rate_Stresses_Setup!$A81,FALSE)</f>
        <v>3.0948899999999994E-2</v>
      </c>
      <c r="CR33" s="12">
        <f>HLOOKUP(CR$2,Interest_Rate_Stresses_Setup!$C$50:$BC$91,Interest_Rate_Stresses_Setup!$A81,FALSE)</f>
        <v>5.3718599999999998E-2</v>
      </c>
      <c r="CS33" s="12">
        <f>HLOOKUP(CS$2,Interest_Rate_Stresses_Setup!$C$50:$BC$91,Interest_Rate_Stresses_Setup!$A81,FALSE)</f>
        <v>2.9450799999999999E-2</v>
      </c>
      <c r="CT33" s="12">
        <f>HLOOKUP(CT$2,Interest_Rate_Stresses_Setup!$C$50:$BC$91,Interest_Rate_Stresses_Setup!$A81,FALSE)</f>
        <v>2.12006E-2</v>
      </c>
      <c r="CU33" s="12">
        <f>HLOOKUP(CU$2,Interest_Rate_Stresses_Setup!$C$50:$BC$91,Interest_Rate_Stresses_Setup!$A81,FALSE)</f>
        <v>5.3668899999999999E-2</v>
      </c>
      <c r="CV33" s="12">
        <f>HLOOKUP(CV$2,Interest_Rate_Stresses_Setup!$C$50:$BC$91,Interest_Rate_Stresses_Setup!$A81,FALSE)</f>
        <v>1.6166699999999999E-2</v>
      </c>
      <c r="CW33" s="12">
        <f>HLOOKUP(CW$2,Interest_Rate_Stresses_Setup!$C$50:$BC$91,Interest_Rate_Stresses_Setup!$A81,FALSE)</f>
        <v>1.7991400000000001E-2</v>
      </c>
      <c r="CX33" s="12">
        <f>HLOOKUP(CX$2,Interest_Rate_Stresses_Setup!$C$50:$BC$91,Interest_Rate_Stresses_Setup!$A81,FALSE)</f>
        <v>2.3444199999999998E-2</v>
      </c>
      <c r="CY33" s="12">
        <f>HLOOKUP(CY$2,Interest_Rate_Stresses_Setup!$C$50:$BC$91,Interest_Rate_Stresses_Setup!$A81,FALSE)</f>
        <v>5.7112399999999994E-2</v>
      </c>
      <c r="CZ33" s="12">
        <f>HLOOKUP(CZ$2,Interest_Rate_Stresses_Setup!$C$50:$BC$91,Interest_Rate_Stresses_Setup!$A81,FALSE)</f>
        <v>1.8041099999999997E-2</v>
      </c>
      <c r="DA33" s="127">
        <f t="shared" si="2"/>
        <v>8.9317999999999984E-3</v>
      </c>
    </row>
    <row r="34" spans="1:105" x14ac:dyDescent="0.25">
      <c r="A34" s="11">
        <v>31</v>
      </c>
      <c r="B34" s="12">
        <f>HLOOKUP(B$2,EIOPA_Spot_Rates,EIOPA_RFR!$A43,FALSE)</f>
        <v>1.9290000000000002E-2</v>
      </c>
      <c r="C34" s="12">
        <f>HLOOKUP(C$2,EIOPA_Spot_Rates,EIOPA_RFR!$A43,FALSE)</f>
        <v>1.8880000000000001E-2</v>
      </c>
      <c r="D34" s="12">
        <f>HLOOKUP(D$2,EIOPA_Spot_Rates,EIOPA_RFR!$A43,FALSE)</f>
        <v>3.5999999999999997E-2</v>
      </c>
      <c r="E34" s="12">
        <f>HLOOKUP(E$2,EIOPA_Spot_Rates,EIOPA_RFR!$A43,FALSE)</f>
        <v>2.3539999999999998E-2</v>
      </c>
      <c r="F34" s="12">
        <f>HLOOKUP(F$2,EIOPA_Spot_Rates,EIOPA_RFR!$A43,FALSE)</f>
        <v>1.9210000000000001E-2</v>
      </c>
      <c r="G34" s="12">
        <f>HLOOKUP(G$2,EIOPA_Spot_Rates,EIOPA_RFR!$A43,FALSE)</f>
        <v>4.3400000000000001E-2</v>
      </c>
      <c r="H34" s="12">
        <f>HLOOKUP(H$2,EIOPA_Spot_Rates,EIOPA_RFR!$A43,FALSE)</f>
        <v>4.5370000000000001E-2</v>
      </c>
      <c r="I34" s="12">
        <f>HLOOKUP(I$2,EIOPA_Spot_Rates,EIOPA_RFR!$A43,FALSE)</f>
        <v>7.5100000000000002E-3</v>
      </c>
      <c r="J34" s="12">
        <f>HLOOKUP(J$2,EIOPA_Spot_Rates,EIOPA_RFR!$A43,FALSE)</f>
        <v>2.981E-2</v>
      </c>
      <c r="K34" s="12">
        <f>HLOOKUP(K$2,EIOPA_Spot_Rates,EIOPA_RFR!$A43,FALSE)</f>
        <v>4.0280000000000003E-2</v>
      </c>
      <c r="L34" s="12">
        <f>HLOOKUP(L$2,EIOPA_Spot_Rates,EIOPA_RFR!$A43,FALSE)</f>
        <v>4.3929999999999997E-2</v>
      </c>
      <c r="M34" s="12">
        <f>HLOOKUP(M$2,EIOPA_Spot_Rates,EIOPA_RFR!$A43,FALSE)</f>
        <v>6.0389999999999999E-2</v>
      </c>
      <c r="N34" s="12">
        <f>HLOOKUP(N$2,EIOPA_Spot_Rates,EIOPA_RFR!$A43,FALSE)</f>
        <v>3.056E-2</v>
      </c>
      <c r="O34" s="12">
        <f>HLOOKUP(O$2,EIOPA_Spot_Rates,EIOPA_RFR!$A43,FALSE)</f>
        <v>1.2529999999999999E-2</v>
      </c>
      <c r="P34" s="12">
        <f>HLOOKUP(P$2,EIOPA_Spot_Rates,EIOPA_RFR!$A43,FALSE)</f>
        <v>3.3239999999999999E-2</v>
      </c>
      <c r="Q34" s="12">
        <f>HLOOKUP(Q$2,EIOPA_Spot_Rates,EIOPA_RFR!$A43,FALSE)</f>
        <v>7.6829999999999996E-2</v>
      </c>
      <c r="R34" s="12">
        <f>HLOOKUP(R$2,EIOPA_Spot_Rates,EIOPA_RFR!$A43,FALSE)</f>
        <v>2.247E-2</v>
      </c>
      <c r="S34" s="12">
        <f>HLOOKUP(S$2,EIOPA_Spot_Rates,EIOPA_RFR!$A43,FALSE)</f>
        <v>4.2549999999999998E-2</v>
      </c>
      <c r="T34" s="12">
        <f>HLOOKUP(T$2,EIOPA_Spot_Rates,EIOPA_RFR!$A43,FALSE)</f>
        <v>4.4119999999999999E-2</v>
      </c>
      <c r="U34" s="12">
        <f>HLOOKUP(U$2,EIOPA_Spot_Rates,EIOPA_RFR!$A43,FALSE)</f>
        <v>5.6009999999999997E-2</v>
      </c>
      <c r="V34" s="12">
        <f>HLOOKUP(V$2,EIOPA_Spot_Rates,EIOPA_RFR!$A43,FALSE)</f>
        <v>3.039E-2</v>
      </c>
      <c r="W34" s="12">
        <f>HLOOKUP(W$2,EIOPA_Spot_Rates,EIOPA_RFR!$A43,FALSE)</f>
        <v>6.3490000000000005E-2</v>
      </c>
      <c r="X34" s="12">
        <f>HLOOKUP(X$2,EIOPA_Spot_Rates,EIOPA_RFR!$A43,FALSE)</f>
        <v>7.8100000000000001E-3</v>
      </c>
      <c r="Y34" s="12">
        <f>HLOOKUP(Y$2,EIOPA_Spot_Rates,EIOPA_RFR!$A43,FALSE)</f>
        <v>4.3580000000000001E-2</v>
      </c>
      <c r="Z34" s="12">
        <f>HLOOKUP(Z$2,EIOPA_Spot_Rates,EIOPA_RFR!$A43,FALSE)</f>
        <v>7.5130000000000002E-2</v>
      </c>
      <c r="AA34" s="12">
        <f>HLOOKUP(AA$2,EIOPA_Spot_Rates,EIOPA_RFR!$A43,FALSE)</f>
        <v>4.156E-2</v>
      </c>
      <c r="AB34" s="12">
        <f>HLOOKUP(AB$2,EIOPA_Spot_Rates,EIOPA_RFR!$A43,FALSE)</f>
        <v>3.0159999999999999E-2</v>
      </c>
      <c r="AC34" s="12">
        <f>HLOOKUP(AC$2,EIOPA_Spot_Rates,EIOPA_RFR!$A43,FALSE)</f>
        <v>7.4980000000000005E-2</v>
      </c>
      <c r="AD34" s="12">
        <f>HLOOKUP(AD$2,EIOPA_Spot_Rates,EIOPA_RFR!$A43,FALSE)</f>
        <v>2.324E-2</v>
      </c>
      <c r="AE34" s="12">
        <f>HLOOKUP(AE$2,EIOPA_Spot_Rates,EIOPA_RFR!$A43,FALSE)</f>
        <v>2.579E-2</v>
      </c>
      <c r="AF34" s="12">
        <f>HLOOKUP(AF$2,EIOPA_Spot_Rates,EIOPA_RFR!$A43,FALSE)</f>
        <v>3.3250000000000002E-2</v>
      </c>
      <c r="AG34" s="12">
        <f>HLOOKUP(AG$2,EIOPA_Spot_Rates,EIOPA_RFR!$A43,FALSE)</f>
        <v>7.9640000000000002E-2</v>
      </c>
      <c r="AH34" s="12">
        <f>HLOOKUP(AH$2,EIOPA_Spot_Rates,EIOPA_RFR!$A43,FALSE)</f>
        <v>2.5409999999999999E-2</v>
      </c>
      <c r="AI34" s="127">
        <f t="shared" si="0"/>
        <v>1.2529999999999999E-2</v>
      </c>
      <c r="AJ34" s="16">
        <v>31</v>
      </c>
      <c r="AK34" s="12">
        <f>HLOOKUP(AK$2,Interest_Rate_Stresses_Setup!$C$6:$BC$47,Interest_Rate_Stresses_Setup!$A38,FALSE)</f>
        <v>2.9290000000000004E-2</v>
      </c>
      <c r="AL34" s="12">
        <f>HLOOKUP(AL$2,Interest_Rate_Stresses_Setup!$C$6:$BC$47,Interest_Rate_Stresses_Setup!$A38,FALSE)</f>
        <v>2.8880000000000003E-2</v>
      </c>
      <c r="AM34" s="12">
        <f>HLOOKUP(AM$2,Interest_Rate_Stresses_Setup!$C$6:$BC$47,Interest_Rate_Stresses_Setup!$A38,FALSE)</f>
        <v>4.5999999999999999E-2</v>
      </c>
      <c r="AN34" s="12">
        <f>HLOOKUP(AN$2,Interest_Rate_Stresses_Setup!$C$6:$BC$47,Interest_Rate_Stresses_Setup!$A38,FALSE)</f>
        <v>3.354E-2</v>
      </c>
      <c r="AO34" s="12">
        <f>HLOOKUP(AO$2,Interest_Rate_Stresses_Setup!$C$6:$BC$47,Interest_Rate_Stresses_Setup!$A38,FALSE)</f>
        <v>2.921E-2</v>
      </c>
      <c r="AP34" s="12">
        <f>HLOOKUP(AP$2,Interest_Rate_Stresses_Setup!$C$6:$BC$47,Interest_Rate_Stresses_Setup!$A38,FALSE)</f>
        <v>5.3400000000000003E-2</v>
      </c>
      <c r="AQ34" s="12">
        <f>HLOOKUP(AQ$2,Interest_Rate_Stresses_Setup!$C$6:$BC$47,Interest_Rate_Stresses_Setup!$A38,FALSE)</f>
        <v>5.5370000000000003E-2</v>
      </c>
      <c r="AR34" s="12">
        <f>HLOOKUP(AR$2,Interest_Rate_Stresses_Setup!$C$6:$BC$47,Interest_Rate_Stresses_Setup!$A38,FALSE)</f>
        <v>1.7510000000000001E-2</v>
      </c>
      <c r="AS34" s="12">
        <f>HLOOKUP(AS$2,Interest_Rate_Stresses_Setup!$C$6:$BC$47,Interest_Rate_Stresses_Setup!$A38,FALSE)</f>
        <v>3.9809999999999998E-2</v>
      </c>
      <c r="AT34" s="12">
        <f>HLOOKUP(AT$2,Interest_Rate_Stresses_Setup!$C$6:$BC$47,Interest_Rate_Stresses_Setup!$A38,FALSE)</f>
        <v>5.0280000000000005E-2</v>
      </c>
      <c r="AU34" s="12">
        <f>HLOOKUP(AU$2,Interest_Rate_Stresses_Setup!$C$6:$BC$47,Interest_Rate_Stresses_Setup!$A38,FALSE)</f>
        <v>5.3929999999999999E-2</v>
      </c>
      <c r="AV34" s="12">
        <f>HLOOKUP(AV$2,Interest_Rate_Stresses_Setup!$C$6:$BC$47,Interest_Rate_Stresses_Setup!$A38,FALSE)</f>
        <v>7.0389999999999994E-2</v>
      </c>
      <c r="AW34" s="12">
        <f>HLOOKUP(AW$2,Interest_Rate_Stresses_Setup!$C$6:$BC$47,Interest_Rate_Stresses_Setup!$A38,FALSE)</f>
        <v>4.0559999999999999E-2</v>
      </c>
      <c r="AX34" s="12">
        <f>HLOOKUP(AX$2,Interest_Rate_Stresses_Setup!$C$6:$BC$47,Interest_Rate_Stresses_Setup!$A38,FALSE)</f>
        <v>2.2530000000000001E-2</v>
      </c>
      <c r="AY34" s="12">
        <f>HLOOKUP(AY$2,Interest_Rate_Stresses_Setup!$C$6:$BC$47,Interest_Rate_Stresses_Setup!$A38,FALSE)</f>
        <v>4.3240000000000001E-2</v>
      </c>
      <c r="AZ34" s="12">
        <f>HLOOKUP(AZ$2,Interest_Rate_Stresses_Setup!$C$6:$BC$47,Interest_Rate_Stresses_Setup!$A38,FALSE)</f>
        <v>8.6829999999999991E-2</v>
      </c>
      <c r="BA34" s="12">
        <f>HLOOKUP(BA$2,Interest_Rate_Stresses_Setup!$C$6:$BC$47,Interest_Rate_Stresses_Setup!$A38,FALSE)</f>
        <v>3.2469999999999999E-2</v>
      </c>
      <c r="BB34" s="12">
        <f>HLOOKUP(BB$2,Interest_Rate_Stresses_Setup!$C$6:$BC$47,Interest_Rate_Stresses_Setup!$A38,FALSE)</f>
        <v>5.2549999999999999E-2</v>
      </c>
      <c r="BC34" s="12">
        <f>HLOOKUP(BC$2,Interest_Rate_Stresses_Setup!$C$6:$BC$47,Interest_Rate_Stresses_Setup!$A38,FALSE)</f>
        <v>5.4120000000000001E-2</v>
      </c>
      <c r="BD34" s="12">
        <f>HLOOKUP(BD$2,Interest_Rate_Stresses_Setup!$C$6:$BC$47,Interest_Rate_Stresses_Setup!$A38,FALSE)</f>
        <v>6.6009999999999999E-2</v>
      </c>
      <c r="BE34" s="12">
        <f>HLOOKUP(BE$2,Interest_Rate_Stresses_Setup!$C$6:$BC$47,Interest_Rate_Stresses_Setup!$A38,FALSE)</f>
        <v>4.0390000000000002E-2</v>
      </c>
      <c r="BF34" s="12">
        <f>HLOOKUP(BF$2,Interest_Rate_Stresses_Setup!$C$6:$BC$47,Interest_Rate_Stresses_Setup!$A38,FALSE)</f>
        <v>7.349E-2</v>
      </c>
      <c r="BG34" s="12">
        <f>HLOOKUP(BG$2,Interest_Rate_Stresses_Setup!$C$6:$BC$47,Interest_Rate_Stresses_Setup!$A38,FALSE)</f>
        <v>1.7809999999999999E-2</v>
      </c>
      <c r="BH34" s="12">
        <f>HLOOKUP(BH$2,Interest_Rate_Stresses_Setup!$C$6:$BC$47,Interest_Rate_Stresses_Setup!$A38,FALSE)</f>
        <v>5.3580000000000003E-2</v>
      </c>
      <c r="BI34" s="12">
        <f>HLOOKUP(BI$2,Interest_Rate_Stresses_Setup!$C$6:$BC$47,Interest_Rate_Stresses_Setup!$A38,FALSE)</f>
        <v>8.5129999999999997E-2</v>
      </c>
      <c r="BJ34" s="12">
        <f>HLOOKUP(BJ$2,Interest_Rate_Stresses_Setup!$C$6:$BC$47,Interest_Rate_Stresses_Setup!$A38,FALSE)</f>
        <v>5.1560000000000002E-2</v>
      </c>
      <c r="BK34" s="12">
        <f>HLOOKUP(BK$2,Interest_Rate_Stresses_Setup!$C$6:$BC$47,Interest_Rate_Stresses_Setup!$A38,FALSE)</f>
        <v>4.0160000000000001E-2</v>
      </c>
      <c r="BL34" s="12">
        <f>HLOOKUP(BL$2,Interest_Rate_Stresses_Setup!$C$6:$BC$47,Interest_Rate_Stresses_Setup!$A38,FALSE)</f>
        <v>8.498E-2</v>
      </c>
      <c r="BM34" s="12">
        <f>HLOOKUP(BM$2,Interest_Rate_Stresses_Setup!$C$6:$BC$47,Interest_Rate_Stresses_Setup!$A38,FALSE)</f>
        <v>3.3239999999999999E-2</v>
      </c>
      <c r="BN34" s="12">
        <f>HLOOKUP(BN$2,Interest_Rate_Stresses_Setup!$C$6:$BC$47,Interest_Rate_Stresses_Setup!$A38,FALSE)</f>
        <v>3.5790000000000002E-2</v>
      </c>
      <c r="BO34" s="12">
        <f>HLOOKUP(BO$2,Interest_Rate_Stresses_Setup!$C$6:$BC$47,Interest_Rate_Stresses_Setup!$A38,FALSE)</f>
        <v>4.3250000000000004E-2</v>
      </c>
      <c r="BP34" s="12">
        <f>HLOOKUP(BP$2,Interest_Rate_Stresses_Setup!$C$6:$BC$47,Interest_Rate_Stresses_Setup!$A38,FALSE)</f>
        <v>8.9639999999999997E-2</v>
      </c>
      <c r="BQ34" s="12">
        <f>HLOOKUP(BQ$2,Interest_Rate_Stresses_Setup!$C$6:$BC$47,Interest_Rate_Stresses_Setup!$A38,FALSE)</f>
        <v>3.5409999999999997E-2</v>
      </c>
      <c r="BR34" s="127">
        <f t="shared" si="1"/>
        <v>2.2530000000000001E-2</v>
      </c>
      <c r="BS34" s="16">
        <v>31</v>
      </c>
      <c r="BT34" s="12">
        <f>HLOOKUP(BT$2,Interest_Rate_Stresses_Setup!$C$50:$BC$91,Interest_Rate_Stresses_Setup!$A82,FALSE)</f>
        <v>1.36959E-2</v>
      </c>
      <c r="BU34" s="12">
        <f>HLOOKUP(BU$2,Interest_Rate_Stresses_Setup!$C$50:$BC$91,Interest_Rate_Stresses_Setup!$A82,FALSE)</f>
        <v>1.34048E-2</v>
      </c>
      <c r="BV34" s="12">
        <f>HLOOKUP(BV$2,Interest_Rate_Stresses_Setup!$C$50:$BC$91,Interest_Rate_Stresses_Setup!$A82,FALSE)</f>
        <v>2.5559999999999996E-2</v>
      </c>
      <c r="BW34" s="12">
        <f>HLOOKUP(BW$2,Interest_Rate_Stresses_Setup!$C$50:$BC$91,Interest_Rate_Stresses_Setup!$A82,FALSE)</f>
        <v>1.6713399999999996E-2</v>
      </c>
      <c r="BX34" s="12">
        <f>HLOOKUP(BX$2,Interest_Rate_Stresses_Setup!$C$50:$BC$91,Interest_Rate_Stresses_Setup!$A82,FALSE)</f>
        <v>1.3639099999999999E-2</v>
      </c>
      <c r="BY34" s="12">
        <f>HLOOKUP(BY$2,Interest_Rate_Stresses_Setup!$C$50:$BC$91,Interest_Rate_Stresses_Setup!$A82,FALSE)</f>
        <v>3.0813999999999998E-2</v>
      </c>
      <c r="BZ34" s="12">
        <f>HLOOKUP(BZ$2,Interest_Rate_Stresses_Setup!$C$50:$BC$91,Interest_Rate_Stresses_Setup!$A82,FALSE)</f>
        <v>3.2212699999999997E-2</v>
      </c>
      <c r="CA34" s="12">
        <f>HLOOKUP(CA$2,Interest_Rate_Stresses_Setup!$C$50:$BC$91,Interest_Rate_Stresses_Setup!$A82,FALSE)</f>
        <v>5.3321000000000002E-3</v>
      </c>
      <c r="CB34" s="12">
        <f>HLOOKUP(CB$2,Interest_Rate_Stresses_Setup!$C$50:$BC$91,Interest_Rate_Stresses_Setup!$A82,FALSE)</f>
        <v>2.1165099999999999E-2</v>
      </c>
      <c r="CC34" s="12">
        <f>HLOOKUP(CC$2,Interest_Rate_Stresses_Setup!$C$50:$BC$91,Interest_Rate_Stresses_Setup!$A82,FALSE)</f>
        <v>2.8598800000000001E-2</v>
      </c>
      <c r="CD34" s="12">
        <f>HLOOKUP(CD$2,Interest_Rate_Stresses_Setup!$C$50:$BC$91,Interest_Rate_Stresses_Setup!$A82,FALSE)</f>
        <v>3.1190299999999997E-2</v>
      </c>
      <c r="CE34" s="12">
        <f>HLOOKUP(CE$2,Interest_Rate_Stresses_Setup!$C$50:$BC$91,Interest_Rate_Stresses_Setup!$A82,FALSE)</f>
        <v>4.2876899999999996E-2</v>
      </c>
      <c r="CF34" s="12">
        <f>HLOOKUP(CF$2,Interest_Rate_Stresses_Setup!$C$50:$BC$91,Interest_Rate_Stresses_Setup!$A82,FALSE)</f>
        <v>2.1697599999999997E-2</v>
      </c>
      <c r="CG34" s="12">
        <f>HLOOKUP(CG$2,Interest_Rate_Stresses_Setup!$C$50:$BC$91,Interest_Rate_Stresses_Setup!$A82,FALSE)</f>
        <v>8.8962999999999993E-3</v>
      </c>
      <c r="CH34" s="12">
        <f>HLOOKUP(CH$2,Interest_Rate_Stresses_Setup!$C$50:$BC$91,Interest_Rate_Stresses_Setup!$A82,FALSE)</f>
        <v>2.3600399999999997E-2</v>
      </c>
      <c r="CI34" s="12">
        <f>HLOOKUP(CI$2,Interest_Rate_Stresses_Setup!$C$50:$BC$91,Interest_Rate_Stresses_Setup!$A82,FALSE)</f>
        <v>5.4549299999999995E-2</v>
      </c>
      <c r="CJ34" s="12">
        <f>HLOOKUP(CJ$2,Interest_Rate_Stresses_Setup!$C$50:$BC$91,Interest_Rate_Stresses_Setup!$A82,FALSE)</f>
        <v>1.5953700000000001E-2</v>
      </c>
      <c r="CK34" s="12">
        <f>HLOOKUP(CK$2,Interest_Rate_Stresses_Setup!$C$50:$BC$91,Interest_Rate_Stresses_Setup!$A82,FALSE)</f>
        <v>3.0210499999999998E-2</v>
      </c>
      <c r="CL34" s="12">
        <f>HLOOKUP(CL$2,Interest_Rate_Stresses_Setup!$C$50:$BC$91,Interest_Rate_Stresses_Setup!$A82,FALSE)</f>
        <v>3.1325199999999997E-2</v>
      </c>
      <c r="CM34" s="12">
        <f>HLOOKUP(CM$2,Interest_Rate_Stresses_Setup!$C$50:$BC$91,Interest_Rate_Stresses_Setup!$A82,FALSE)</f>
        <v>3.9767099999999993E-2</v>
      </c>
      <c r="CN34" s="12">
        <f>HLOOKUP(CN$2,Interest_Rate_Stresses_Setup!$C$50:$BC$91,Interest_Rate_Stresses_Setup!$A82,FALSE)</f>
        <v>2.15769E-2</v>
      </c>
      <c r="CO34" s="12">
        <f>HLOOKUP(CO$2,Interest_Rate_Stresses_Setup!$C$50:$BC$91,Interest_Rate_Stresses_Setup!$A82,FALSE)</f>
        <v>4.5077900000000004E-2</v>
      </c>
      <c r="CP34" s="12">
        <f>HLOOKUP(CP$2,Interest_Rate_Stresses_Setup!$C$50:$BC$91,Interest_Rate_Stresses_Setup!$A82,FALSE)</f>
        <v>5.5450999999999999E-3</v>
      </c>
      <c r="CQ34" s="12">
        <f>HLOOKUP(CQ$2,Interest_Rate_Stresses_Setup!$C$50:$BC$91,Interest_Rate_Stresses_Setup!$A82,FALSE)</f>
        <v>3.0941799999999998E-2</v>
      </c>
      <c r="CR34" s="12">
        <f>HLOOKUP(CR$2,Interest_Rate_Stresses_Setup!$C$50:$BC$91,Interest_Rate_Stresses_Setup!$A82,FALSE)</f>
        <v>5.3342300000000002E-2</v>
      </c>
      <c r="CS34" s="12">
        <f>HLOOKUP(CS$2,Interest_Rate_Stresses_Setup!$C$50:$BC$91,Interest_Rate_Stresses_Setup!$A82,FALSE)</f>
        <v>2.9507599999999998E-2</v>
      </c>
      <c r="CT34" s="12">
        <f>HLOOKUP(CT$2,Interest_Rate_Stresses_Setup!$C$50:$BC$91,Interest_Rate_Stresses_Setup!$A82,FALSE)</f>
        <v>2.1413599999999998E-2</v>
      </c>
      <c r="CU34" s="12">
        <f>HLOOKUP(CU$2,Interest_Rate_Stresses_Setup!$C$50:$BC$91,Interest_Rate_Stresses_Setup!$A82,FALSE)</f>
        <v>5.32358E-2</v>
      </c>
      <c r="CV34" s="12">
        <f>HLOOKUP(CV$2,Interest_Rate_Stresses_Setup!$C$50:$BC$91,Interest_Rate_Stresses_Setup!$A82,FALSE)</f>
        <v>1.6500399999999998E-2</v>
      </c>
      <c r="CW34" s="12">
        <f>HLOOKUP(CW$2,Interest_Rate_Stresses_Setup!$C$50:$BC$91,Interest_Rate_Stresses_Setup!$A82,FALSE)</f>
        <v>1.8310899999999998E-2</v>
      </c>
      <c r="CX34" s="12">
        <f>HLOOKUP(CX$2,Interest_Rate_Stresses_Setup!$C$50:$BC$91,Interest_Rate_Stresses_Setup!$A82,FALSE)</f>
        <v>2.36075E-2</v>
      </c>
      <c r="CY34" s="12">
        <f>HLOOKUP(CY$2,Interest_Rate_Stresses_Setup!$C$50:$BC$91,Interest_Rate_Stresses_Setup!$A82,FALSE)</f>
        <v>5.6544400000000002E-2</v>
      </c>
      <c r="CZ34" s="12">
        <f>HLOOKUP(CZ$2,Interest_Rate_Stresses_Setup!$C$50:$BC$91,Interest_Rate_Stresses_Setup!$A82,FALSE)</f>
        <v>1.8041099999999997E-2</v>
      </c>
      <c r="DA34" s="127">
        <f t="shared" si="2"/>
        <v>8.8962999999999993E-3</v>
      </c>
    </row>
    <row r="35" spans="1:105" x14ac:dyDescent="0.25">
      <c r="A35" s="11">
        <v>32</v>
      </c>
      <c r="B35" s="12">
        <f>HLOOKUP(B$2,EIOPA_Spot_Rates,EIOPA_RFR!$A44,FALSE)</f>
        <v>1.9859999999999999E-2</v>
      </c>
      <c r="C35" s="12">
        <f>HLOOKUP(C$2,EIOPA_Spot_Rates,EIOPA_RFR!$A44,FALSE)</f>
        <v>1.9470000000000001E-2</v>
      </c>
      <c r="D35" s="12">
        <f>HLOOKUP(D$2,EIOPA_Spot_Rates,EIOPA_RFR!$A44,FALSE)</f>
        <v>3.6159999999999998E-2</v>
      </c>
      <c r="E35" s="12">
        <f>HLOOKUP(E$2,EIOPA_Spot_Rates,EIOPA_RFR!$A44,FALSE)</f>
        <v>2.4029999999999999E-2</v>
      </c>
      <c r="F35" s="12">
        <f>HLOOKUP(F$2,EIOPA_Spot_Rates,EIOPA_RFR!$A44,FALSE)</f>
        <v>1.9779999999999999E-2</v>
      </c>
      <c r="G35" s="12">
        <f>HLOOKUP(G$2,EIOPA_Spot_Rates,EIOPA_RFR!$A44,FALSE)</f>
        <v>4.3430000000000003E-2</v>
      </c>
      <c r="H35" s="12">
        <f>HLOOKUP(H$2,EIOPA_Spot_Rates,EIOPA_RFR!$A44,FALSE)</f>
        <v>4.53E-2</v>
      </c>
      <c r="I35" s="12">
        <f>HLOOKUP(I$2,EIOPA_Spot_Rates,EIOPA_RFR!$A44,FALSE)</f>
        <v>8.0199999999999994E-3</v>
      </c>
      <c r="J35" s="12">
        <f>HLOOKUP(J$2,EIOPA_Spot_Rates,EIOPA_RFR!$A44,FALSE)</f>
        <v>3.0130000000000001E-2</v>
      </c>
      <c r="K35" s="12">
        <f>HLOOKUP(K$2,EIOPA_Spot_Rates,EIOPA_RFR!$A44,FALSE)</f>
        <v>4.0349999999999997E-2</v>
      </c>
      <c r="L35" s="12">
        <f>HLOOKUP(L$2,EIOPA_Spot_Rates,EIOPA_RFR!$A44,FALSE)</f>
        <v>4.3909999999999998E-2</v>
      </c>
      <c r="M35" s="12">
        <f>HLOOKUP(M$2,EIOPA_Spot_Rates,EIOPA_RFR!$A44,FALSE)</f>
        <v>5.9900000000000002E-2</v>
      </c>
      <c r="N35" s="12">
        <f>HLOOKUP(N$2,EIOPA_Spot_Rates,EIOPA_RFR!$A44,FALSE)</f>
        <v>3.091E-2</v>
      </c>
      <c r="O35" s="12">
        <f>HLOOKUP(O$2,EIOPA_Spot_Rates,EIOPA_RFR!$A44,FALSE)</f>
        <v>1.247E-2</v>
      </c>
      <c r="P35" s="12">
        <f>HLOOKUP(P$2,EIOPA_Spot_Rates,EIOPA_RFR!$A44,FALSE)</f>
        <v>3.329E-2</v>
      </c>
      <c r="Q35" s="12">
        <f>HLOOKUP(Q$2,EIOPA_Spot_Rates,EIOPA_RFR!$A44,FALSE)</f>
        <v>7.6170000000000002E-2</v>
      </c>
      <c r="R35" s="12">
        <f>HLOOKUP(R$2,EIOPA_Spot_Rates,EIOPA_RFR!$A44,FALSE)</f>
        <v>2.2679999999999999E-2</v>
      </c>
      <c r="S35" s="12">
        <f>HLOOKUP(S$2,EIOPA_Spot_Rates,EIOPA_RFR!$A44,FALSE)</f>
        <v>4.2560000000000001E-2</v>
      </c>
      <c r="T35" s="12">
        <f>HLOOKUP(T$2,EIOPA_Spot_Rates,EIOPA_RFR!$A44,FALSE)</f>
        <v>4.4089999999999997E-2</v>
      </c>
      <c r="U35" s="12">
        <f>HLOOKUP(U$2,EIOPA_Spot_Rates,EIOPA_RFR!$A44,FALSE)</f>
        <v>5.5649999999999998E-2</v>
      </c>
      <c r="V35" s="12">
        <f>HLOOKUP(V$2,EIOPA_Spot_Rates,EIOPA_RFR!$A44,FALSE)</f>
        <v>3.0689999999999999E-2</v>
      </c>
      <c r="W35" s="12">
        <f>HLOOKUP(W$2,EIOPA_Spot_Rates,EIOPA_RFR!$A44,FALSE)</f>
        <v>6.3210000000000002E-2</v>
      </c>
      <c r="X35" s="12">
        <f>HLOOKUP(X$2,EIOPA_Spot_Rates,EIOPA_RFR!$A44,FALSE)</f>
        <v>8.1099999999999992E-3</v>
      </c>
      <c r="Y35" s="12">
        <f>HLOOKUP(Y$2,EIOPA_Spot_Rates,EIOPA_RFR!$A44,FALSE)</f>
        <v>4.3560000000000001E-2</v>
      </c>
      <c r="Z35" s="12">
        <f>HLOOKUP(Z$2,EIOPA_Spot_Rates,EIOPA_RFR!$A44,FALSE)</f>
        <v>7.46E-2</v>
      </c>
      <c r="AA35" s="12">
        <f>HLOOKUP(AA$2,EIOPA_Spot_Rates,EIOPA_RFR!$A44,FALSE)</f>
        <v>4.163E-2</v>
      </c>
      <c r="AB35" s="12">
        <f>HLOOKUP(AB$2,EIOPA_Spot_Rates,EIOPA_RFR!$A44,FALSE)</f>
        <v>3.0439999999999998E-2</v>
      </c>
      <c r="AC35" s="12">
        <f>HLOOKUP(AC$2,EIOPA_Spot_Rates,EIOPA_RFR!$A44,FALSE)</f>
        <v>7.4389999999999998E-2</v>
      </c>
      <c r="AD35" s="12">
        <f>HLOOKUP(AD$2,EIOPA_Spot_Rates,EIOPA_RFR!$A44,FALSE)</f>
        <v>2.3699999999999999E-2</v>
      </c>
      <c r="AE35" s="12">
        <f>HLOOKUP(AE$2,EIOPA_Spot_Rates,EIOPA_RFR!$A44,FALSE)</f>
        <v>2.623E-2</v>
      </c>
      <c r="AF35" s="12">
        <f>HLOOKUP(AF$2,EIOPA_Spot_Rates,EIOPA_RFR!$A44,FALSE)</f>
        <v>3.3480000000000003E-2</v>
      </c>
      <c r="AG35" s="12">
        <f>HLOOKUP(AG$2,EIOPA_Spot_Rates,EIOPA_RFR!$A44,FALSE)</f>
        <v>7.8880000000000006E-2</v>
      </c>
      <c r="AH35" s="12">
        <f>HLOOKUP(AH$2,EIOPA_Spot_Rates,EIOPA_RFR!$A44,FALSE)</f>
        <v>2.5409999999999999E-2</v>
      </c>
      <c r="AI35" s="127">
        <f t="shared" si="0"/>
        <v>1.247E-2</v>
      </c>
      <c r="AJ35" s="16">
        <v>32</v>
      </c>
      <c r="AK35" s="12">
        <f>HLOOKUP(AK$2,Interest_Rate_Stresses_Setup!$C$6:$BC$47,Interest_Rate_Stresses_Setup!$A39,FALSE)</f>
        <v>2.9859999999999998E-2</v>
      </c>
      <c r="AL35" s="12">
        <f>HLOOKUP(AL$2,Interest_Rate_Stresses_Setup!$C$6:$BC$47,Interest_Rate_Stresses_Setup!$A39,FALSE)</f>
        <v>2.9470000000000003E-2</v>
      </c>
      <c r="AM35" s="12">
        <f>HLOOKUP(AM$2,Interest_Rate_Stresses_Setup!$C$6:$BC$47,Interest_Rate_Stresses_Setup!$A39,FALSE)</f>
        <v>4.616E-2</v>
      </c>
      <c r="AN35" s="12">
        <f>HLOOKUP(AN$2,Interest_Rate_Stresses_Setup!$C$6:$BC$47,Interest_Rate_Stresses_Setup!$A39,FALSE)</f>
        <v>3.4029999999999998E-2</v>
      </c>
      <c r="AO35" s="12">
        <f>HLOOKUP(AO$2,Interest_Rate_Stresses_Setup!$C$6:$BC$47,Interest_Rate_Stresses_Setup!$A39,FALSE)</f>
        <v>2.9780000000000001E-2</v>
      </c>
      <c r="AP35" s="12">
        <f>HLOOKUP(AP$2,Interest_Rate_Stresses_Setup!$C$6:$BC$47,Interest_Rate_Stresses_Setup!$A39,FALSE)</f>
        <v>5.3430000000000005E-2</v>
      </c>
      <c r="AQ35" s="12">
        <f>HLOOKUP(AQ$2,Interest_Rate_Stresses_Setup!$C$6:$BC$47,Interest_Rate_Stresses_Setup!$A39,FALSE)</f>
        <v>5.5300000000000002E-2</v>
      </c>
      <c r="AR35" s="12">
        <f>HLOOKUP(AR$2,Interest_Rate_Stresses_Setup!$C$6:$BC$47,Interest_Rate_Stresses_Setup!$A39,FALSE)</f>
        <v>1.8020000000000001E-2</v>
      </c>
      <c r="AS35" s="12">
        <f>HLOOKUP(AS$2,Interest_Rate_Stresses_Setup!$C$6:$BC$47,Interest_Rate_Stresses_Setup!$A39,FALSE)</f>
        <v>4.0129999999999999E-2</v>
      </c>
      <c r="AT35" s="12">
        <f>HLOOKUP(AT$2,Interest_Rate_Stresses_Setup!$C$6:$BC$47,Interest_Rate_Stresses_Setup!$A39,FALSE)</f>
        <v>5.0349999999999999E-2</v>
      </c>
      <c r="AU35" s="12">
        <f>HLOOKUP(AU$2,Interest_Rate_Stresses_Setup!$C$6:$BC$47,Interest_Rate_Stresses_Setup!$A39,FALSE)</f>
        <v>5.391E-2</v>
      </c>
      <c r="AV35" s="12">
        <f>HLOOKUP(AV$2,Interest_Rate_Stresses_Setup!$C$6:$BC$47,Interest_Rate_Stresses_Setup!$A39,FALSE)</f>
        <v>6.9900000000000004E-2</v>
      </c>
      <c r="AW35" s="12">
        <f>HLOOKUP(AW$2,Interest_Rate_Stresses_Setup!$C$6:$BC$47,Interest_Rate_Stresses_Setup!$A39,FALSE)</f>
        <v>4.0910000000000002E-2</v>
      </c>
      <c r="AX35" s="12">
        <f>HLOOKUP(AX$2,Interest_Rate_Stresses_Setup!$C$6:$BC$47,Interest_Rate_Stresses_Setup!$A39,FALSE)</f>
        <v>2.247E-2</v>
      </c>
      <c r="AY35" s="12">
        <f>HLOOKUP(AY$2,Interest_Rate_Stresses_Setup!$C$6:$BC$47,Interest_Rate_Stresses_Setup!$A39,FALSE)</f>
        <v>4.3290000000000002E-2</v>
      </c>
      <c r="AZ35" s="12">
        <f>HLOOKUP(AZ$2,Interest_Rate_Stresses_Setup!$C$6:$BC$47,Interest_Rate_Stresses_Setup!$A39,FALSE)</f>
        <v>8.6169999999999997E-2</v>
      </c>
      <c r="BA35" s="12">
        <f>HLOOKUP(BA$2,Interest_Rate_Stresses_Setup!$C$6:$BC$47,Interest_Rate_Stresses_Setup!$A39,FALSE)</f>
        <v>3.2680000000000001E-2</v>
      </c>
      <c r="BB35" s="12">
        <f>HLOOKUP(BB$2,Interest_Rate_Stresses_Setup!$C$6:$BC$47,Interest_Rate_Stresses_Setup!$A39,FALSE)</f>
        <v>5.2560000000000003E-2</v>
      </c>
      <c r="BC35" s="12">
        <f>HLOOKUP(BC$2,Interest_Rate_Stresses_Setup!$C$6:$BC$47,Interest_Rate_Stresses_Setup!$A39,FALSE)</f>
        <v>5.4089999999999999E-2</v>
      </c>
      <c r="BD35" s="12">
        <f>HLOOKUP(BD$2,Interest_Rate_Stresses_Setup!$C$6:$BC$47,Interest_Rate_Stresses_Setup!$A39,FALSE)</f>
        <v>6.565E-2</v>
      </c>
      <c r="BE35" s="12">
        <f>HLOOKUP(BE$2,Interest_Rate_Stresses_Setup!$C$6:$BC$47,Interest_Rate_Stresses_Setup!$A39,FALSE)</f>
        <v>4.0689999999999997E-2</v>
      </c>
      <c r="BF35" s="12">
        <f>HLOOKUP(BF$2,Interest_Rate_Stresses_Setup!$C$6:$BC$47,Interest_Rate_Stresses_Setup!$A39,FALSE)</f>
        <v>7.3209999999999997E-2</v>
      </c>
      <c r="BG35" s="12">
        <f>HLOOKUP(BG$2,Interest_Rate_Stresses_Setup!$C$6:$BC$47,Interest_Rate_Stresses_Setup!$A39,FALSE)</f>
        <v>1.8110000000000001E-2</v>
      </c>
      <c r="BH35" s="12">
        <f>HLOOKUP(BH$2,Interest_Rate_Stresses_Setup!$C$6:$BC$47,Interest_Rate_Stresses_Setup!$A39,FALSE)</f>
        <v>5.3560000000000003E-2</v>
      </c>
      <c r="BI35" s="12">
        <f>HLOOKUP(BI$2,Interest_Rate_Stresses_Setup!$C$6:$BC$47,Interest_Rate_Stresses_Setup!$A39,FALSE)</f>
        <v>8.4599999999999995E-2</v>
      </c>
      <c r="BJ35" s="12">
        <f>HLOOKUP(BJ$2,Interest_Rate_Stresses_Setup!$C$6:$BC$47,Interest_Rate_Stresses_Setup!$A39,FALSE)</f>
        <v>5.1630000000000002E-2</v>
      </c>
      <c r="BK35" s="12">
        <f>HLOOKUP(BK$2,Interest_Rate_Stresses_Setup!$C$6:$BC$47,Interest_Rate_Stresses_Setup!$A39,FALSE)</f>
        <v>4.0439999999999997E-2</v>
      </c>
      <c r="BL35" s="12">
        <f>HLOOKUP(BL$2,Interest_Rate_Stresses_Setup!$C$6:$BC$47,Interest_Rate_Stresses_Setup!$A39,FALSE)</f>
        <v>8.4389999999999993E-2</v>
      </c>
      <c r="BM35" s="12">
        <f>HLOOKUP(BM$2,Interest_Rate_Stresses_Setup!$C$6:$BC$47,Interest_Rate_Stresses_Setup!$A39,FALSE)</f>
        <v>3.3700000000000001E-2</v>
      </c>
      <c r="BN35" s="12">
        <f>HLOOKUP(BN$2,Interest_Rate_Stresses_Setup!$C$6:$BC$47,Interest_Rate_Stresses_Setup!$A39,FALSE)</f>
        <v>3.6229999999999998E-2</v>
      </c>
      <c r="BO35" s="12">
        <f>HLOOKUP(BO$2,Interest_Rate_Stresses_Setup!$C$6:$BC$47,Interest_Rate_Stresses_Setup!$A39,FALSE)</f>
        <v>4.3480000000000005E-2</v>
      </c>
      <c r="BP35" s="12">
        <f>HLOOKUP(BP$2,Interest_Rate_Stresses_Setup!$C$6:$BC$47,Interest_Rate_Stresses_Setup!$A39,FALSE)</f>
        <v>8.8880000000000001E-2</v>
      </c>
      <c r="BQ35" s="12">
        <f>HLOOKUP(BQ$2,Interest_Rate_Stresses_Setup!$C$6:$BC$47,Interest_Rate_Stresses_Setup!$A39,FALSE)</f>
        <v>3.5409999999999997E-2</v>
      </c>
      <c r="BR35" s="127">
        <f t="shared" si="1"/>
        <v>2.247E-2</v>
      </c>
      <c r="BS35" s="16">
        <v>32</v>
      </c>
      <c r="BT35" s="12">
        <f>HLOOKUP(BT$2,Interest_Rate_Stresses_Setup!$C$50:$BC$91,Interest_Rate_Stresses_Setup!$A83,FALSE)</f>
        <v>1.4100599999999998E-2</v>
      </c>
      <c r="BU35" s="12">
        <f>HLOOKUP(BU$2,Interest_Rate_Stresses_Setup!$C$50:$BC$91,Interest_Rate_Stresses_Setup!$A83,FALSE)</f>
        <v>1.38237E-2</v>
      </c>
      <c r="BV35" s="12">
        <f>HLOOKUP(BV$2,Interest_Rate_Stresses_Setup!$C$50:$BC$91,Interest_Rate_Stresses_Setup!$A83,FALSE)</f>
        <v>2.5673599999999998E-2</v>
      </c>
      <c r="BW35" s="12">
        <f>HLOOKUP(BW$2,Interest_Rate_Stresses_Setup!$C$50:$BC$91,Interest_Rate_Stresses_Setup!$A83,FALSE)</f>
        <v>1.7061299999999998E-2</v>
      </c>
      <c r="BX35" s="12">
        <f>HLOOKUP(BX$2,Interest_Rate_Stresses_Setup!$C$50:$BC$91,Interest_Rate_Stresses_Setup!$A83,FALSE)</f>
        <v>1.4043799999999999E-2</v>
      </c>
      <c r="BY35" s="12">
        <f>HLOOKUP(BY$2,Interest_Rate_Stresses_Setup!$C$50:$BC$91,Interest_Rate_Stresses_Setup!$A83,FALSE)</f>
        <v>3.08353E-2</v>
      </c>
      <c r="BZ35" s="12">
        <f>HLOOKUP(BZ$2,Interest_Rate_Stresses_Setup!$C$50:$BC$91,Interest_Rate_Stresses_Setup!$A83,FALSE)</f>
        <v>3.2162999999999997E-2</v>
      </c>
      <c r="CA35" s="12">
        <f>HLOOKUP(CA$2,Interest_Rate_Stresses_Setup!$C$50:$BC$91,Interest_Rate_Stresses_Setup!$A83,FALSE)</f>
        <v>5.6941999999999991E-3</v>
      </c>
      <c r="CB35" s="12">
        <f>HLOOKUP(CB$2,Interest_Rate_Stresses_Setup!$C$50:$BC$91,Interest_Rate_Stresses_Setup!$A83,FALSE)</f>
        <v>2.13923E-2</v>
      </c>
      <c r="CC35" s="12">
        <f>HLOOKUP(CC$2,Interest_Rate_Stresses_Setup!$C$50:$BC$91,Interest_Rate_Stresses_Setup!$A83,FALSE)</f>
        <v>2.8648499999999997E-2</v>
      </c>
      <c r="CD35" s="12">
        <f>HLOOKUP(CD$2,Interest_Rate_Stresses_Setup!$C$50:$BC$91,Interest_Rate_Stresses_Setup!$A83,FALSE)</f>
        <v>3.1176099999999998E-2</v>
      </c>
      <c r="CE35" s="12">
        <f>HLOOKUP(CE$2,Interest_Rate_Stresses_Setup!$C$50:$BC$91,Interest_Rate_Stresses_Setup!$A83,FALSE)</f>
        <v>4.2528999999999997E-2</v>
      </c>
      <c r="CF35" s="12">
        <f>HLOOKUP(CF$2,Interest_Rate_Stresses_Setup!$C$50:$BC$91,Interest_Rate_Stresses_Setup!$A83,FALSE)</f>
        <v>2.19461E-2</v>
      </c>
      <c r="CG35" s="12">
        <f>HLOOKUP(CG$2,Interest_Rate_Stresses_Setup!$C$50:$BC$91,Interest_Rate_Stresses_Setup!$A83,FALSE)</f>
        <v>8.8536999999999991E-3</v>
      </c>
      <c r="CH35" s="12">
        <f>HLOOKUP(CH$2,Interest_Rate_Stresses_Setup!$C$50:$BC$91,Interest_Rate_Stresses_Setup!$A83,FALSE)</f>
        <v>2.3635899999999998E-2</v>
      </c>
      <c r="CI35" s="12">
        <f>HLOOKUP(CI$2,Interest_Rate_Stresses_Setup!$C$50:$BC$91,Interest_Rate_Stresses_Setup!$A83,FALSE)</f>
        <v>5.4080699999999995E-2</v>
      </c>
      <c r="CJ35" s="12">
        <f>HLOOKUP(CJ$2,Interest_Rate_Stresses_Setup!$C$50:$BC$91,Interest_Rate_Stresses_Setup!$A83,FALSE)</f>
        <v>1.6102799999999997E-2</v>
      </c>
      <c r="CK35" s="12">
        <f>HLOOKUP(CK$2,Interest_Rate_Stresses_Setup!$C$50:$BC$91,Interest_Rate_Stresses_Setup!$A83,FALSE)</f>
        <v>3.0217599999999997E-2</v>
      </c>
      <c r="CL35" s="12">
        <f>HLOOKUP(CL$2,Interest_Rate_Stresses_Setup!$C$50:$BC$91,Interest_Rate_Stresses_Setup!$A83,FALSE)</f>
        <v>3.1303899999999996E-2</v>
      </c>
      <c r="CM35" s="12">
        <f>HLOOKUP(CM$2,Interest_Rate_Stresses_Setup!$C$50:$BC$91,Interest_Rate_Stresses_Setup!$A83,FALSE)</f>
        <v>3.9511499999999998E-2</v>
      </c>
      <c r="CN35" s="12">
        <f>HLOOKUP(CN$2,Interest_Rate_Stresses_Setup!$C$50:$BC$91,Interest_Rate_Stresses_Setup!$A83,FALSE)</f>
        <v>2.1789899999999997E-2</v>
      </c>
      <c r="CO35" s="12">
        <f>HLOOKUP(CO$2,Interest_Rate_Stresses_Setup!$C$50:$BC$91,Interest_Rate_Stresses_Setup!$A83,FALSE)</f>
        <v>4.4879099999999998E-2</v>
      </c>
      <c r="CP35" s="12">
        <f>HLOOKUP(CP$2,Interest_Rate_Stresses_Setup!$C$50:$BC$91,Interest_Rate_Stresses_Setup!$A83,FALSE)</f>
        <v>5.7580999999999995E-3</v>
      </c>
      <c r="CQ35" s="12">
        <f>HLOOKUP(CQ$2,Interest_Rate_Stresses_Setup!$C$50:$BC$91,Interest_Rate_Stresses_Setup!$A83,FALSE)</f>
        <v>3.09276E-2</v>
      </c>
      <c r="CR35" s="12">
        <f>HLOOKUP(CR$2,Interest_Rate_Stresses_Setup!$C$50:$BC$91,Interest_Rate_Stresses_Setup!$A83,FALSE)</f>
        <v>5.2965999999999999E-2</v>
      </c>
      <c r="CS35" s="12">
        <f>HLOOKUP(CS$2,Interest_Rate_Stresses_Setup!$C$50:$BC$91,Interest_Rate_Stresses_Setup!$A83,FALSE)</f>
        <v>2.9557299999999998E-2</v>
      </c>
      <c r="CT35" s="12">
        <f>HLOOKUP(CT$2,Interest_Rate_Stresses_Setup!$C$50:$BC$91,Interest_Rate_Stresses_Setup!$A83,FALSE)</f>
        <v>2.1612399999999997E-2</v>
      </c>
      <c r="CU35" s="12">
        <f>HLOOKUP(CU$2,Interest_Rate_Stresses_Setup!$C$50:$BC$91,Interest_Rate_Stresses_Setup!$A83,FALSE)</f>
        <v>5.2816899999999993E-2</v>
      </c>
      <c r="CV35" s="12">
        <f>HLOOKUP(CV$2,Interest_Rate_Stresses_Setup!$C$50:$BC$91,Interest_Rate_Stresses_Setup!$A83,FALSE)</f>
        <v>1.6826999999999998E-2</v>
      </c>
      <c r="CW35" s="12">
        <f>HLOOKUP(CW$2,Interest_Rate_Stresses_Setup!$C$50:$BC$91,Interest_Rate_Stresses_Setup!$A83,FALSE)</f>
        <v>1.8623299999999999E-2</v>
      </c>
      <c r="CX35" s="12">
        <f>HLOOKUP(CX$2,Interest_Rate_Stresses_Setup!$C$50:$BC$91,Interest_Rate_Stresses_Setup!$A83,FALSE)</f>
        <v>2.3770800000000002E-2</v>
      </c>
      <c r="CY35" s="12">
        <f>HLOOKUP(CY$2,Interest_Rate_Stresses_Setup!$C$50:$BC$91,Interest_Rate_Stresses_Setup!$A83,FALSE)</f>
        <v>5.60048E-2</v>
      </c>
      <c r="CZ35" s="12">
        <f>HLOOKUP(CZ$2,Interest_Rate_Stresses_Setup!$C$50:$BC$91,Interest_Rate_Stresses_Setup!$A83,FALSE)</f>
        <v>1.8041099999999997E-2</v>
      </c>
      <c r="DA35" s="127">
        <f t="shared" si="2"/>
        <v>8.8536999999999991E-3</v>
      </c>
    </row>
    <row r="36" spans="1:105" x14ac:dyDescent="0.25">
      <c r="A36" s="11">
        <v>33</v>
      </c>
      <c r="B36" s="12">
        <f>HLOOKUP(B$2,EIOPA_Spot_Rates,EIOPA_RFR!$A45,FALSE)</f>
        <v>2.0420000000000001E-2</v>
      </c>
      <c r="C36" s="12">
        <f>HLOOKUP(C$2,EIOPA_Spot_Rates,EIOPA_RFR!$A45,FALSE)</f>
        <v>2.0029999999999999E-2</v>
      </c>
      <c r="D36" s="12">
        <f>HLOOKUP(D$2,EIOPA_Spot_Rates,EIOPA_RFR!$A45,FALSE)</f>
        <v>3.6310000000000002E-2</v>
      </c>
      <c r="E36" s="12">
        <f>HLOOKUP(E$2,EIOPA_Spot_Rates,EIOPA_RFR!$A45,FALSE)</f>
        <v>2.4500000000000001E-2</v>
      </c>
      <c r="F36" s="12">
        <f>HLOOKUP(F$2,EIOPA_Spot_Rates,EIOPA_RFR!$A45,FALSE)</f>
        <v>2.034E-2</v>
      </c>
      <c r="G36" s="12">
        <f>HLOOKUP(G$2,EIOPA_Spot_Rates,EIOPA_RFR!$A45,FALSE)</f>
        <v>4.3450000000000003E-2</v>
      </c>
      <c r="H36" s="12">
        <f>HLOOKUP(H$2,EIOPA_Spot_Rates,EIOPA_RFR!$A45,FALSE)</f>
        <v>4.5220000000000003E-2</v>
      </c>
      <c r="I36" s="12">
        <f>HLOOKUP(I$2,EIOPA_Spot_Rates,EIOPA_RFR!$A45,FALSE)</f>
        <v>8.5299999999999994E-3</v>
      </c>
      <c r="J36" s="12">
        <f>HLOOKUP(J$2,EIOPA_Spot_Rates,EIOPA_RFR!$A45,FALSE)</f>
        <v>3.0439999999999998E-2</v>
      </c>
      <c r="K36" s="12">
        <f>HLOOKUP(K$2,EIOPA_Spot_Rates,EIOPA_RFR!$A45,FALSE)</f>
        <v>4.0419999999999998E-2</v>
      </c>
      <c r="L36" s="12">
        <f>HLOOKUP(L$2,EIOPA_Spot_Rates,EIOPA_RFR!$A45,FALSE)</f>
        <v>4.3889999999999998E-2</v>
      </c>
      <c r="M36" s="12">
        <f>HLOOKUP(M$2,EIOPA_Spot_Rates,EIOPA_RFR!$A45,FALSE)</f>
        <v>5.9429999999999997E-2</v>
      </c>
      <c r="N36" s="12">
        <f>HLOOKUP(N$2,EIOPA_Spot_Rates,EIOPA_RFR!$A45,FALSE)</f>
        <v>3.125E-2</v>
      </c>
      <c r="O36" s="12">
        <f>HLOOKUP(O$2,EIOPA_Spot_Rates,EIOPA_RFR!$A45,FALSE)</f>
        <v>1.24E-2</v>
      </c>
      <c r="P36" s="12">
        <f>HLOOKUP(P$2,EIOPA_Spot_Rates,EIOPA_RFR!$A45,FALSE)</f>
        <v>3.3360000000000001E-2</v>
      </c>
      <c r="Q36" s="12">
        <f>HLOOKUP(Q$2,EIOPA_Spot_Rates,EIOPA_RFR!$A45,FALSE)</f>
        <v>7.553E-2</v>
      </c>
      <c r="R36" s="12">
        <f>HLOOKUP(R$2,EIOPA_Spot_Rates,EIOPA_RFR!$A45,FALSE)</f>
        <v>2.2929999999999999E-2</v>
      </c>
      <c r="S36" s="12">
        <f>HLOOKUP(S$2,EIOPA_Spot_Rates,EIOPA_RFR!$A45,FALSE)</f>
        <v>4.2560000000000001E-2</v>
      </c>
      <c r="T36" s="12">
        <f>HLOOKUP(T$2,EIOPA_Spot_Rates,EIOPA_RFR!$A45,FALSE)</f>
        <v>4.4060000000000002E-2</v>
      </c>
      <c r="U36" s="12">
        <f>HLOOKUP(U$2,EIOPA_Spot_Rates,EIOPA_RFR!$A45,FALSE)</f>
        <v>5.5309999999999998E-2</v>
      </c>
      <c r="V36" s="12">
        <f>HLOOKUP(V$2,EIOPA_Spot_Rates,EIOPA_RFR!$A45,FALSE)</f>
        <v>3.0970000000000001E-2</v>
      </c>
      <c r="W36" s="12">
        <f>HLOOKUP(W$2,EIOPA_Spot_Rates,EIOPA_RFR!$A45,FALSE)</f>
        <v>6.293E-2</v>
      </c>
      <c r="X36" s="12">
        <f>HLOOKUP(X$2,EIOPA_Spot_Rates,EIOPA_RFR!$A45,FALSE)</f>
        <v>8.4499999999999992E-3</v>
      </c>
      <c r="Y36" s="12">
        <f>HLOOKUP(Y$2,EIOPA_Spot_Rates,EIOPA_RFR!$A45,FALSE)</f>
        <v>4.3549999999999998E-2</v>
      </c>
      <c r="Z36" s="12">
        <f>HLOOKUP(Z$2,EIOPA_Spot_Rates,EIOPA_RFR!$A45,FALSE)</f>
        <v>7.4069999999999997E-2</v>
      </c>
      <c r="AA36" s="12">
        <f>HLOOKUP(AA$2,EIOPA_Spot_Rates,EIOPA_RFR!$A45,FALSE)</f>
        <v>4.1689999999999998E-2</v>
      </c>
      <c r="AB36" s="12">
        <f>HLOOKUP(AB$2,EIOPA_Spot_Rates,EIOPA_RFR!$A45,FALSE)</f>
        <v>3.0720000000000001E-2</v>
      </c>
      <c r="AC36" s="12">
        <f>HLOOKUP(AC$2,EIOPA_Spot_Rates,EIOPA_RFR!$A45,FALSE)</f>
        <v>7.3830000000000007E-2</v>
      </c>
      <c r="AD36" s="12">
        <f>HLOOKUP(AD$2,EIOPA_Spot_Rates,EIOPA_RFR!$A45,FALSE)</f>
        <v>2.4140000000000002E-2</v>
      </c>
      <c r="AE36" s="12">
        <f>HLOOKUP(AE$2,EIOPA_Spot_Rates,EIOPA_RFR!$A45,FALSE)</f>
        <v>2.665E-2</v>
      </c>
      <c r="AF36" s="12">
        <f>HLOOKUP(AF$2,EIOPA_Spot_Rates,EIOPA_RFR!$A45,FALSE)</f>
        <v>3.3700000000000001E-2</v>
      </c>
      <c r="AG36" s="12">
        <f>HLOOKUP(AG$2,EIOPA_Spot_Rates,EIOPA_RFR!$A45,FALSE)</f>
        <v>7.8149999999999997E-2</v>
      </c>
      <c r="AH36" s="12">
        <f>HLOOKUP(AH$2,EIOPA_Spot_Rates,EIOPA_RFR!$A45,FALSE)</f>
        <v>2.5399999999999999E-2</v>
      </c>
      <c r="AI36" s="127">
        <f t="shared" si="0"/>
        <v>1.24E-2</v>
      </c>
      <c r="AJ36" s="16">
        <v>33</v>
      </c>
      <c r="AK36" s="12">
        <f>HLOOKUP(AK$2,Interest_Rate_Stresses_Setup!$C$6:$BC$47,Interest_Rate_Stresses_Setup!$A40,FALSE)</f>
        <v>3.0420000000000003E-2</v>
      </c>
      <c r="AL36" s="12">
        <f>HLOOKUP(AL$2,Interest_Rate_Stresses_Setup!$C$6:$BC$47,Interest_Rate_Stresses_Setup!$A40,FALSE)</f>
        <v>3.0030000000000001E-2</v>
      </c>
      <c r="AM36" s="12">
        <f>HLOOKUP(AM$2,Interest_Rate_Stresses_Setup!$C$6:$BC$47,Interest_Rate_Stresses_Setup!$A40,FALSE)</f>
        <v>4.6310000000000004E-2</v>
      </c>
      <c r="AN36" s="12">
        <f>HLOOKUP(AN$2,Interest_Rate_Stresses_Setup!$C$6:$BC$47,Interest_Rate_Stresses_Setup!$A40,FALSE)</f>
        <v>3.4500000000000003E-2</v>
      </c>
      <c r="AO36" s="12">
        <f>HLOOKUP(AO$2,Interest_Rate_Stresses_Setup!$C$6:$BC$47,Interest_Rate_Stresses_Setup!$A40,FALSE)</f>
        <v>3.0339999999999999E-2</v>
      </c>
      <c r="AP36" s="12">
        <f>HLOOKUP(AP$2,Interest_Rate_Stresses_Setup!$C$6:$BC$47,Interest_Rate_Stresses_Setup!$A40,FALSE)</f>
        <v>5.3450000000000004E-2</v>
      </c>
      <c r="AQ36" s="12">
        <f>HLOOKUP(AQ$2,Interest_Rate_Stresses_Setup!$C$6:$BC$47,Interest_Rate_Stresses_Setup!$A40,FALSE)</f>
        <v>5.5220000000000005E-2</v>
      </c>
      <c r="AR36" s="12">
        <f>HLOOKUP(AR$2,Interest_Rate_Stresses_Setup!$C$6:$BC$47,Interest_Rate_Stresses_Setup!$A40,FALSE)</f>
        <v>1.8529999999999998E-2</v>
      </c>
      <c r="AS36" s="12">
        <f>HLOOKUP(AS$2,Interest_Rate_Stresses_Setup!$C$6:$BC$47,Interest_Rate_Stresses_Setup!$A40,FALSE)</f>
        <v>4.0439999999999997E-2</v>
      </c>
      <c r="AT36" s="12">
        <f>HLOOKUP(AT$2,Interest_Rate_Stresses_Setup!$C$6:$BC$47,Interest_Rate_Stresses_Setup!$A40,FALSE)</f>
        <v>5.042E-2</v>
      </c>
      <c r="AU36" s="12">
        <f>HLOOKUP(AU$2,Interest_Rate_Stresses_Setup!$C$6:$BC$47,Interest_Rate_Stresses_Setup!$A40,FALSE)</f>
        <v>5.389E-2</v>
      </c>
      <c r="AV36" s="12">
        <f>HLOOKUP(AV$2,Interest_Rate_Stresses_Setup!$C$6:$BC$47,Interest_Rate_Stresses_Setup!$A40,FALSE)</f>
        <v>6.9429999999999992E-2</v>
      </c>
      <c r="AW36" s="12">
        <f>HLOOKUP(AW$2,Interest_Rate_Stresses_Setup!$C$6:$BC$47,Interest_Rate_Stresses_Setup!$A40,FALSE)</f>
        <v>4.1250000000000002E-2</v>
      </c>
      <c r="AX36" s="12">
        <f>HLOOKUP(AX$2,Interest_Rate_Stresses_Setup!$C$6:$BC$47,Interest_Rate_Stresses_Setup!$A40,FALSE)</f>
        <v>2.24E-2</v>
      </c>
      <c r="AY36" s="12">
        <f>HLOOKUP(AY$2,Interest_Rate_Stresses_Setup!$C$6:$BC$47,Interest_Rate_Stresses_Setup!$A40,FALSE)</f>
        <v>4.3360000000000003E-2</v>
      </c>
      <c r="AZ36" s="12">
        <f>HLOOKUP(AZ$2,Interest_Rate_Stresses_Setup!$C$6:$BC$47,Interest_Rate_Stresses_Setup!$A40,FALSE)</f>
        <v>8.5529999999999995E-2</v>
      </c>
      <c r="BA36" s="12">
        <f>HLOOKUP(BA$2,Interest_Rate_Stresses_Setup!$C$6:$BC$47,Interest_Rate_Stresses_Setup!$A40,FALSE)</f>
        <v>3.2930000000000001E-2</v>
      </c>
      <c r="BB36" s="12">
        <f>HLOOKUP(BB$2,Interest_Rate_Stresses_Setup!$C$6:$BC$47,Interest_Rate_Stresses_Setup!$A40,FALSE)</f>
        <v>5.2560000000000003E-2</v>
      </c>
      <c r="BC36" s="12">
        <f>HLOOKUP(BC$2,Interest_Rate_Stresses_Setup!$C$6:$BC$47,Interest_Rate_Stresses_Setup!$A40,FALSE)</f>
        <v>5.4060000000000004E-2</v>
      </c>
      <c r="BD36" s="12">
        <f>HLOOKUP(BD$2,Interest_Rate_Stresses_Setup!$C$6:$BC$47,Interest_Rate_Stresses_Setup!$A40,FALSE)</f>
        <v>6.5309999999999993E-2</v>
      </c>
      <c r="BE36" s="12">
        <f>HLOOKUP(BE$2,Interest_Rate_Stresses_Setup!$C$6:$BC$47,Interest_Rate_Stresses_Setup!$A40,FALSE)</f>
        <v>4.0969999999999999E-2</v>
      </c>
      <c r="BF36" s="12">
        <f>HLOOKUP(BF$2,Interest_Rate_Stresses_Setup!$C$6:$BC$47,Interest_Rate_Stresses_Setup!$A40,FALSE)</f>
        <v>7.2929999999999995E-2</v>
      </c>
      <c r="BG36" s="12">
        <f>HLOOKUP(BG$2,Interest_Rate_Stresses_Setup!$C$6:$BC$47,Interest_Rate_Stresses_Setup!$A40,FALSE)</f>
        <v>1.8450000000000001E-2</v>
      </c>
      <c r="BH36" s="12">
        <f>HLOOKUP(BH$2,Interest_Rate_Stresses_Setup!$C$6:$BC$47,Interest_Rate_Stresses_Setup!$A40,FALSE)</f>
        <v>5.355E-2</v>
      </c>
      <c r="BI36" s="12">
        <f>HLOOKUP(BI$2,Interest_Rate_Stresses_Setup!$C$6:$BC$47,Interest_Rate_Stresses_Setup!$A40,FALSE)</f>
        <v>8.4069999999999992E-2</v>
      </c>
      <c r="BJ36" s="12">
        <f>HLOOKUP(BJ$2,Interest_Rate_Stresses_Setup!$C$6:$BC$47,Interest_Rate_Stresses_Setup!$A40,FALSE)</f>
        <v>5.169E-2</v>
      </c>
      <c r="BK36" s="12">
        <f>HLOOKUP(BK$2,Interest_Rate_Stresses_Setup!$C$6:$BC$47,Interest_Rate_Stresses_Setup!$A40,FALSE)</f>
        <v>4.0719999999999999E-2</v>
      </c>
      <c r="BL36" s="12">
        <f>HLOOKUP(BL$2,Interest_Rate_Stresses_Setup!$C$6:$BC$47,Interest_Rate_Stresses_Setup!$A40,FALSE)</f>
        <v>8.3830000000000002E-2</v>
      </c>
      <c r="BM36" s="12">
        <f>HLOOKUP(BM$2,Interest_Rate_Stresses_Setup!$C$6:$BC$47,Interest_Rate_Stresses_Setup!$A40,FALSE)</f>
        <v>3.4140000000000004E-2</v>
      </c>
      <c r="BN36" s="12">
        <f>HLOOKUP(BN$2,Interest_Rate_Stresses_Setup!$C$6:$BC$47,Interest_Rate_Stresses_Setup!$A40,FALSE)</f>
        <v>3.6650000000000002E-2</v>
      </c>
      <c r="BO36" s="12">
        <f>HLOOKUP(BO$2,Interest_Rate_Stresses_Setup!$C$6:$BC$47,Interest_Rate_Stresses_Setup!$A40,FALSE)</f>
        <v>4.3700000000000003E-2</v>
      </c>
      <c r="BP36" s="12">
        <f>HLOOKUP(BP$2,Interest_Rate_Stresses_Setup!$C$6:$BC$47,Interest_Rate_Stresses_Setup!$A40,FALSE)</f>
        <v>8.8149999999999992E-2</v>
      </c>
      <c r="BQ36" s="12">
        <f>HLOOKUP(BQ$2,Interest_Rate_Stresses_Setup!$C$6:$BC$47,Interest_Rate_Stresses_Setup!$A40,FALSE)</f>
        <v>3.5400000000000001E-2</v>
      </c>
      <c r="BR36" s="127">
        <f t="shared" si="1"/>
        <v>2.24E-2</v>
      </c>
      <c r="BS36" s="16">
        <v>33</v>
      </c>
      <c r="BT36" s="12">
        <f>HLOOKUP(BT$2,Interest_Rate_Stresses_Setup!$C$50:$BC$91,Interest_Rate_Stresses_Setup!$A84,FALSE)</f>
        <v>1.4498199999999999E-2</v>
      </c>
      <c r="BU36" s="12">
        <f>HLOOKUP(BU$2,Interest_Rate_Stresses_Setup!$C$50:$BC$91,Interest_Rate_Stresses_Setup!$A84,FALSE)</f>
        <v>1.4221299999999999E-2</v>
      </c>
      <c r="BV36" s="12">
        <f>HLOOKUP(BV$2,Interest_Rate_Stresses_Setup!$C$50:$BC$91,Interest_Rate_Stresses_Setup!$A84,FALSE)</f>
        <v>2.57801E-2</v>
      </c>
      <c r="BW36" s="12">
        <f>HLOOKUP(BW$2,Interest_Rate_Stresses_Setup!$C$50:$BC$91,Interest_Rate_Stresses_Setup!$A84,FALSE)</f>
        <v>1.7395000000000001E-2</v>
      </c>
      <c r="BX36" s="12">
        <f>HLOOKUP(BX$2,Interest_Rate_Stresses_Setup!$C$50:$BC$91,Interest_Rate_Stresses_Setup!$A84,FALSE)</f>
        <v>1.44414E-2</v>
      </c>
      <c r="BY36" s="12">
        <f>HLOOKUP(BY$2,Interest_Rate_Stresses_Setup!$C$50:$BC$91,Interest_Rate_Stresses_Setup!$A84,FALSE)</f>
        <v>3.0849500000000002E-2</v>
      </c>
      <c r="BZ36" s="12">
        <f>HLOOKUP(BZ$2,Interest_Rate_Stresses_Setup!$C$50:$BC$91,Interest_Rate_Stresses_Setup!$A84,FALSE)</f>
        <v>3.2106200000000001E-2</v>
      </c>
      <c r="CA36" s="12">
        <f>HLOOKUP(CA$2,Interest_Rate_Stresses_Setup!$C$50:$BC$91,Interest_Rate_Stresses_Setup!$A84,FALSE)</f>
        <v>6.0562999999999988E-3</v>
      </c>
      <c r="CB36" s="12">
        <f>HLOOKUP(CB$2,Interest_Rate_Stresses_Setup!$C$50:$BC$91,Interest_Rate_Stresses_Setup!$A84,FALSE)</f>
        <v>2.1612399999999997E-2</v>
      </c>
      <c r="CC36" s="12">
        <f>HLOOKUP(CC$2,Interest_Rate_Stresses_Setup!$C$50:$BC$91,Interest_Rate_Stresses_Setup!$A84,FALSE)</f>
        <v>2.8698199999999997E-2</v>
      </c>
      <c r="CD36" s="12">
        <f>HLOOKUP(CD$2,Interest_Rate_Stresses_Setup!$C$50:$BC$91,Interest_Rate_Stresses_Setup!$A84,FALSE)</f>
        <v>3.1161899999999996E-2</v>
      </c>
      <c r="CE36" s="12">
        <f>HLOOKUP(CE$2,Interest_Rate_Stresses_Setup!$C$50:$BC$91,Interest_Rate_Stresses_Setup!$A84,FALSE)</f>
        <v>4.2195299999999998E-2</v>
      </c>
      <c r="CF36" s="12">
        <f>HLOOKUP(CF$2,Interest_Rate_Stresses_Setup!$C$50:$BC$91,Interest_Rate_Stresses_Setup!$A84,FALSE)</f>
        <v>2.2187499999999999E-2</v>
      </c>
      <c r="CG36" s="12">
        <f>HLOOKUP(CG$2,Interest_Rate_Stresses_Setup!$C$50:$BC$91,Interest_Rate_Stresses_Setup!$A84,FALSE)</f>
        <v>8.8039999999999993E-3</v>
      </c>
      <c r="CH36" s="12">
        <f>HLOOKUP(CH$2,Interest_Rate_Stresses_Setup!$C$50:$BC$91,Interest_Rate_Stresses_Setup!$A84,FALSE)</f>
        <v>2.3685599999999998E-2</v>
      </c>
      <c r="CI36" s="12">
        <f>HLOOKUP(CI$2,Interest_Rate_Stresses_Setup!$C$50:$BC$91,Interest_Rate_Stresses_Setup!$A84,FALSE)</f>
        <v>5.3626299999999995E-2</v>
      </c>
      <c r="CJ36" s="12">
        <f>HLOOKUP(CJ$2,Interest_Rate_Stresses_Setup!$C$50:$BC$91,Interest_Rate_Stresses_Setup!$A84,FALSE)</f>
        <v>1.6280299999999998E-2</v>
      </c>
      <c r="CK36" s="12">
        <f>HLOOKUP(CK$2,Interest_Rate_Stresses_Setup!$C$50:$BC$91,Interest_Rate_Stresses_Setup!$A84,FALSE)</f>
        <v>3.0217599999999997E-2</v>
      </c>
      <c r="CL36" s="12">
        <f>HLOOKUP(CL$2,Interest_Rate_Stresses_Setup!$C$50:$BC$91,Interest_Rate_Stresses_Setup!$A84,FALSE)</f>
        <v>3.1282600000000001E-2</v>
      </c>
      <c r="CM36" s="12">
        <f>HLOOKUP(CM$2,Interest_Rate_Stresses_Setup!$C$50:$BC$91,Interest_Rate_Stresses_Setup!$A84,FALSE)</f>
        <v>3.9270099999999995E-2</v>
      </c>
      <c r="CN36" s="12">
        <f>HLOOKUP(CN$2,Interest_Rate_Stresses_Setup!$C$50:$BC$91,Interest_Rate_Stresses_Setup!$A84,FALSE)</f>
        <v>2.19887E-2</v>
      </c>
      <c r="CO36" s="12">
        <f>HLOOKUP(CO$2,Interest_Rate_Stresses_Setup!$C$50:$BC$91,Interest_Rate_Stresses_Setup!$A84,FALSE)</f>
        <v>4.4680299999999999E-2</v>
      </c>
      <c r="CP36" s="12">
        <f>HLOOKUP(CP$2,Interest_Rate_Stresses_Setup!$C$50:$BC$91,Interest_Rate_Stresses_Setup!$A84,FALSE)</f>
        <v>5.9994999999999988E-3</v>
      </c>
      <c r="CQ36" s="12">
        <f>HLOOKUP(CQ$2,Interest_Rate_Stresses_Setup!$C$50:$BC$91,Interest_Rate_Stresses_Setup!$A84,FALSE)</f>
        <v>3.0920499999999997E-2</v>
      </c>
      <c r="CR36" s="12">
        <f>HLOOKUP(CR$2,Interest_Rate_Stresses_Setup!$C$50:$BC$91,Interest_Rate_Stresses_Setup!$A84,FALSE)</f>
        <v>5.2589699999999996E-2</v>
      </c>
      <c r="CS36" s="12">
        <f>HLOOKUP(CS$2,Interest_Rate_Stresses_Setup!$C$50:$BC$91,Interest_Rate_Stresses_Setup!$A84,FALSE)</f>
        <v>2.9599899999999998E-2</v>
      </c>
      <c r="CT36" s="12">
        <f>HLOOKUP(CT$2,Interest_Rate_Stresses_Setup!$C$50:$BC$91,Interest_Rate_Stresses_Setup!$A84,FALSE)</f>
        <v>2.1811199999999999E-2</v>
      </c>
      <c r="CU36" s="12">
        <f>HLOOKUP(CU$2,Interest_Rate_Stresses_Setup!$C$50:$BC$91,Interest_Rate_Stresses_Setup!$A84,FALSE)</f>
        <v>5.2419300000000002E-2</v>
      </c>
      <c r="CV36" s="12">
        <f>HLOOKUP(CV$2,Interest_Rate_Stresses_Setup!$C$50:$BC$91,Interest_Rate_Stresses_Setup!$A84,FALSE)</f>
        <v>1.7139399999999999E-2</v>
      </c>
      <c r="CW36" s="12">
        <f>HLOOKUP(CW$2,Interest_Rate_Stresses_Setup!$C$50:$BC$91,Interest_Rate_Stresses_Setup!$A84,FALSE)</f>
        <v>1.8921500000000001E-2</v>
      </c>
      <c r="CX36" s="12">
        <f>HLOOKUP(CX$2,Interest_Rate_Stresses_Setup!$C$50:$BC$91,Interest_Rate_Stresses_Setup!$A84,FALSE)</f>
        <v>2.3927E-2</v>
      </c>
      <c r="CY36" s="12">
        <f>HLOOKUP(CY$2,Interest_Rate_Stresses_Setup!$C$50:$BC$91,Interest_Rate_Stresses_Setup!$A84,FALSE)</f>
        <v>5.5486499999999994E-2</v>
      </c>
      <c r="CZ36" s="12">
        <f>HLOOKUP(CZ$2,Interest_Rate_Stresses_Setup!$C$50:$BC$91,Interest_Rate_Stresses_Setup!$A84,FALSE)</f>
        <v>1.8033999999999998E-2</v>
      </c>
      <c r="DA36" s="127">
        <f t="shared" si="2"/>
        <v>8.8039999999999993E-3</v>
      </c>
    </row>
    <row r="37" spans="1:105" x14ac:dyDescent="0.25">
      <c r="A37" s="11">
        <v>34</v>
      </c>
      <c r="B37" s="12">
        <f>HLOOKUP(B$2,EIOPA_Spot_Rates,EIOPA_RFR!$A46,FALSE)</f>
        <v>2.095E-2</v>
      </c>
      <c r="C37" s="12">
        <f>HLOOKUP(C$2,EIOPA_Spot_Rates,EIOPA_RFR!$A46,FALSE)</f>
        <v>2.0580000000000001E-2</v>
      </c>
      <c r="D37" s="12">
        <f>HLOOKUP(D$2,EIOPA_Spot_Rates,EIOPA_RFR!$A46,FALSE)</f>
        <v>3.6450000000000003E-2</v>
      </c>
      <c r="E37" s="12">
        <f>HLOOKUP(E$2,EIOPA_Spot_Rates,EIOPA_RFR!$A46,FALSE)</f>
        <v>2.495E-2</v>
      </c>
      <c r="F37" s="12">
        <f>HLOOKUP(F$2,EIOPA_Spot_Rates,EIOPA_RFR!$A46,FALSE)</f>
        <v>2.0879999999999999E-2</v>
      </c>
      <c r="G37" s="12">
        <f>HLOOKUP(G$2,EIOPA_Spot_Rates,EIOPA_RFR!$A46,FALSE)</f>
        <v>4.3459999999999999E-2</v>
      </c>
      <c r="H37" s="12">
        <f>HLOOKUP(H$2,EIOPA_Spot_Rates,EIOPA_RFR!$A46,FALSE)</f>
        <v>4.5150000000000003E-2</v>
      </c>
      <c r="I37" s="12">
        <f>HLOOKUP(I$2,EIOPA_Spot_Rates,EIOPA_RFR!$A46,FALSE)</f>
        <v>9.0299999999999998E-3</v>
      </c>
      <c r="J37" s="12">
        <f>HLOOKUP(J$2,EIOPA_Spot_Rates,EIOPA_RFR!$A46,FALSE)</f>
        <v>3.074E-2</v>
      </c>
      <c r="K37" s="12">
        <f>HLOOKUP(K$2,EIOPA_Spot_Rates,EIOPA_RFR!$A46,FALSE)</f>
        <v>4.0489999999999998E-2</v>
      </c>
      <c r="L37" s="12">
        <f>HLOOKUP(L$2,EIOPA_Spot_Rates,EIOPA_RFR!$A46,FALSE)</f>
        <v>4.3869999999999999E-2</v>
      </c>
      <c r="M37" s="12">
        <f>HLOOKUP(M$2,EIOPA_Spot_Rates,EIOPA_RFR!$A46,FALSE)</f>
        <v>5.8970000000000002E-2</v>
      </c>
      <c r="N37" s="12">
        <f>HLOOKUP(N$2,EIOPA_Spot_Rates,EIOPA_RFR!$A46,FALSE)</f>
        <v>3.1559999999999998E-2</v>
      </c>
      <c r="O37" s="12">
        <f>HLOOKUP(O$2,EIOPA_Spot_Rates,EIOPA_RFR!$A46,FALSE)</f>
        <v>1.231E-2</v>
      </c>
      <c r="P37" s="12">
        <f>HLOOKUP(P$2,EIOPA_Spot_Rates,EIOPA_RFR!$A46,FALSE)</f>
        <v>3.3450000000000001E-2</v>
      </c>
      <c r="Q37" s="12">
        <f>HLOOKUP(Q$2,EIOPA_Spot_Rates,EIOPA_RFR!$A46,FALSE)</f>
        <v>7.492E-2</v>
      </c>
      <c r="R37" s="12">
        <f>HLOOKUP(R$2,EIOPA_Spot_Rates,EIOPA_RFR!$A46,FALSE)</f>
        <v>2.3199999999999998E-2</v>
      </c>
      <c r="S37" s="12">
        <f>HLOOKUP(S$2,EIOPA_Spot_Rates,EIOPA_RFR!$A46,FALSE)</f>
        <v>4.2569999999999997E-2</v>
      </c>
      <c r="T37" s="12">
        <f>HLOOKUP(T$2,EIOPA_Spot_Rates,EIOPA_RFR!$A46,FALSE)</f>
        <v>4.403E-2</v>
      </c>
      <c r="U37" s="12">
        <f>HLOOKUP(U$2,EIOPA_Spot_Rates,EIOPA_RFR!$A46,FALSE)</f>
        <v>5.4980000000000001E-2</v>
      </c>
      <c r="V37" s="12">
        <f>HLOOKUP(V$2,EIOPA_Spot_Rates,EIOPA_RFR!$A46,FALSE)</f>
        <v>3.125E-2</v>
      </c>
      <c r="W37" s="12">
        <f>HLOOKUP(W$2,EIOPA_Spot_Rates,EIOPA_RFR!$A46,FALSE)</f>
        <v>6.2670000000000003E-2</v>
      </c>
      <c r="X37" s="12">
        <f>HLOOKUP(X$2,EIOPA_Spot_Rates,EIOPA_RFR!$A46,FALSE)</f>
        <v>8.8100000000000001E-3</v>
      </c>
      <c r="Y37" s="12">
        <f>HLOOKUP(Y$2,EIOPA_Spot_Rates,EIOPA_RFR!$A46,FALSE)</f>
        <v>4.3529999999999999E-2</v>
      </c>
      <c r="Z37" s="12">
        <f>HLOOKUP(Z$2,EIOPA_Spot_Rates,EIOPA_RFR!$A46,FALSE)</f>
        <v>7.356E-2</v>
      </c>
      <c r="AA37" s="12">
        <f>HLOOKUP(AA$2,EIOPA_Spot_Rates,EIOPA_RFR!$A46,FALSE)</f>
        <v>4.1739999999999999E-2</v>
      </c>
      <c r="AB37" s="12">
        <f>HLOOKUP(AB$2,EIOPA_Spot_Rates,EIOPA_RFR!$A46,FALSE)</f>
        <v>3.099E-2</v>
      </c>
      <c r="AC37" s="12">
        <f>HLOOKUP(AC$2,EIOPA_Spot_Rates,EIOPA_RFR!$A46,FALSE)</f>
        <v>7.3279999999999998E-2</v>
      </c>
      <c r="AD37" s="12">
        <f>HLOOKUP(AD$2,EIOPA_Spot_Rates,EIOPA_RFR!$A46,FALSE)</f>
        <v>2.4570000000000002E-2</v>
      </c>
      <c r="AE37" s="12">
        <f>HLOOKUP(AE$2,EIOPA_Spot_Rates,EIOPA_RFR!$A46,FALSE)</f>
        <v>2.7040000000000002E-2</v>
      </c>
      <c r="AF37" s="12">
        <f>HLOOKUP(AF$2,EIOPA_Spot_Rates,EIOPA_RFR!$A46,FALSE)</f>
        <v>3.39E-2</v>
      </c>
      <c r="AG37" s="12">
        <f>HLOOKUP(AG$2,EIOPA_Spot_Rates,EIOPA_RFR!$A46,FALSE)</f>
        <v>7.7460000000000001E-2</v>
      </c>
      <c r="AH37" s="12">
        <f>HLOOKUP(AH$2,EIOPA_Spot_Rates,EIOPA_RFR!$A46,FALSE)</f>
        <v>2.5389999999999999E-2</v>
      </c>
      <c r="AI37" s="127">
        <f t="shared" si="0"/>
        <v>1.231E-2</v>
      </c>
      <c r="AJ37" s="16">
        <v>34</v>
      </c>
      <c r="AK37" s="12">
        <f>HLOOKUP(AK$2,Interest_Rate_Stresses_Setup!$C$6:$BC$47,Interest_Rate_Stresses_Setup!$A41,FALSE)</f>
        <v>3.0949999999999998E-2</v>
      </c>
      <c r="AL37" s="12">
        <f>HLOOKUP(AL$2,Interest_Rate_Stresses_Setup!$C$6:$BC$47,Interest_Rate_Stresses_Setup!$A41,FALSE)</f>
        <v>3.0580000000000003E-2</v>
      </c>
      <c r="AM37" s="12">
        <f>HLOOKUP(AM$2,Interest_Rate_Stresses_Setup!$C$6:$BC$47,Interest_Rate_Stresses_Setup!$A41,FALSE)</f>
        <v>4.6450000000000005E-2</v>
      </c>
      <c r="AN37" s="12">
        <f>HLOOKUP(AN$2,Interest_Rate_Stresses_Setup!$C$6:$BC$47,Interest_Rate_Stresses_Setup!$A41,FALSE)</f>
        <v>3.4950000000000002E-2</v>
      </c>
      <c r="AO37" s="12">
        <f>HLOOKUP(AO$2,Interest_Rate_Stresses_Setup!$C$6:$BC$47,Interest_Rate_Stresses_Setup!$A41,FALSE)</f>
        <v>3.0879999999999998E-2</v>
      </c>
      <c r="AP37" s="12">
        <f>HLOOKUP(AP$2,Interest_Rate_Stresses_Setup!$C$6:$BC$47,Interest_Rate_Stresses_Setup!$A41,FALSE)</f>
        <v>5.3460000000000001E-2</v>
      </c>
      <c r="AQ37" s="12">
        <f>HLOOKUP(AQ$2,Interest_Rate_Stresses_Setup!$C$6:$BC$47,Interest_Rate_Stresses_Setup!$A41,FALSE)</f>
        <v>5.5150000000000005E-2</v>
      </c>
      <c r="AR37" s="12">
        <f>HLOOKUP(AR$2,Interest_Rate_Stresses_Setup!$C$6:$BC$47,Interest_Rate_Stresses_Setup!$A41,FALSE)</f>
        <v>1.9029999999999998E-2</v>
      </c>
      <c r="AS37" s="12">
        <f>HLOOKUP(AS$2,Interest_Rate_Stresses_Setup!$C$6:$BC$47,Interest_Rate_Stresses_Setup!$A41,FALSE)</f>
        <v>4.0739999999999998E-2</v>
      </c>
      <c r="AT37" s="12">
        <f>HLOOKUP(AT$2,Interest_Rate_Stresses_Setup!$C$6:$BC$47,Interest_Rate_Stresses_Setup!$A41,FALSE)</f>
        <v>5.049E-2</v>
      </c>
      <c r="AU37" s="12">
        <f>HLOOKUP(AU$2,Interest_Rate_Stresses_Setup!$C$6:$BC$47,Interest_Rate_Stresses_Setup!$A41,FALSE)</f>
        <v>5.3870000000000001E-2</v>
      </c>
      <c r="AV37" s="12">
        <f>HLOOKUP(AV$2,Interest_Rate_Stresses_Setup!$C$6:$BC$47,Interest_Rate_Stresses_Setup!$A41,FALSE)</f>
        <v>6.8970000000000004E-2</v>
      </c>
      <c r="AW37" s="12">
        <f>HLOOKUP(AW$2,Interest_Rate_Stresses_Setup!$C$6:$BC$47,Interest_Rate_Stresses_Setup!$A41,FALSE)</f>
        <v>4.156E-2</v>
      </c>
      <c r="AX37" s="12">
        <f>HLOOKUP(AX$2,Interest_Rate_Stresses_Setup!$C$6:$BC$47,Interest_Rate_Stresses_Setup!$A41,FALSE)</f>
        <v>2.231E-2</v>
      </c>
      <c r="AY37" s="12">
        <f>HLOOKUP(AY$2,Interest_Rate_Stresses_Setup!$C$6:$BC$47,Interest_Rate_Stresses_Setup!$A41,FALSE)</f>
        <v>4.3450000000000003E-2</v>
      </c>
      <c r="AZ37" s="12">
        <f>HLOOKUP(AZ$2,Interest_Rate_Stresses_Setup!$C$6:$BC$47,Interest_Rate_Stresses_Setup!$A41,FALSE)</f>
        <v>8.4919999999999995E-2</v>
      </c>
      <c r="BA37" s="12">
        <f>HLOOKUP(BA$2,Interest_Rate_Stresses_Setup!$C$6:$BC$47,Interest_Rate_Stresses_Setup!$A41,FALSE)</f>
        <v>3.32E-2</v>
      </c>
      <c r="BB37" s="12">
        <f>HLOOKUP(BB$2,Interest_Rate_Stresses_Setup!$C$6:$BC$47,Interest_Rate_Stresses_Setup!$A41,FALSE)</f>
        <v>5.2569999999999999E-2</v>
      </c>
      <c r="BC37" s="12">
        <f>HLOOKUP(BC$2,Interest_Rate_Stresses_Setup!$C$6:$BC$47,Interest_Rate_Stresses_Setup!$A41,FALSE)</f>
        <v>5.4030000000000002E-2</v>
      </c>
      <c r="BD37" s="12">
        <f>HLOOKUP(BD$2,Interest_Rate_Stresses_Setup!$C$6:$BC$47,Interest_Rate_Stresses_Setup!$A41,FALSE)</f>
        <v>6.4979999999999996E-2</v>
      </c>
      <c r="BE37" s="12">
        <f>HLOOKUP(BE$2,Interest_Rate_Stresses_Setup!$C$6:$BC$47,Interest_Rate_Stresses_Setup!$A41,FALSE)</f>
        <v>4.1250000000000002E-2</v>
      </c>
      <c r="BF37" s="12">
        <f>HLOOKUP(BF$2,Interest_Rate_Stresses_Setup!$C$6:$BC$47,Interest_Rate_Stresses_Setup!$A41,FALSE)</f>
        <v>7.2669999999999998E-2</v>
      </c>
      <c r="BG37" s="12">
        <f>HLOOKUP(BG$2,Interest_Rate_Stresses_Setup!$C$6:$BC$47,Interest_Rate_Stresses_Setup!$A41,FALSE)</f>
        <v>1.881E-2</v>
      </c>
      <c r="BH37" s="12">
        <f>HLOOKUP(BH$2,Interest_Rate_Stresses_Setup!$C$6:$BC$47,Interest_Rate_Stresses_Setup!$A41,FALSE)</f>
        <v>5.3530000000000001E-2</v>
      </c>
      <c r="BI37" s="12">
        <f>HLOOKUP(BI$2,Interest_Rate_Stresses_Setup!$C$6:$BC$47,Interest_Rate_Stresses_Setup!$A41,FALSE)</f>
        <v>8.3559999999999995E-2</v>
      </c>
      <c r="BJ37" s="12">
        <f>HLOOKUP(BJ$2,Interest_Rate_Stresses_Setup!$C$6:$BC$47,Interest_Rate_Stresses_Setup!$A41,FALSE)</f>
        <v>5.1740000000000001E-2</v>
      </c>
      <c r="BK37" s="12">
        <f>HLOOKUP(BK$2,Interest_Rate_Stresses_Setup!$C$6:$BC$47,Interest_Rate_Stresses_Setup!$A41,FALSE)</f>
        <v>4.0989999999999999E-2</v>
      </c>
      <c r="BL37" s="12">
        <f>HLOOKUP(BL$2,Interest_Rate_Stresses_Setup!$C$6:$BC$47,Interest_Rate_Stresses_Setup!$A41,FALSE)</f>
        <v>8.3279999999999993E-2</v>
      </c>
      <c r="BM37" s="12">
        <f>HLOOKUP(BM$2,Interest_Rate_Stresses_Setup!$C$6:$BC$47,Interest_Rate_Stresses_Setup!$A41,FALSE)</f>
        <v>3.4570000000000004E-2</v>
      </c>
      <c r="BN37" s="12">
        <f>HLOOKUP(BN$2,Interest_Rate_Stresses_Setup!$C$6:$BC$47,Interest_Rate_Stresses_Setup!$A41,FALSE)</f>
        <v>3.7040000000000003E-2</v>
      </c>
      <c r="BO37" s="12">
        <f>HLOOKUP(BO$2,Interest_Rate_Stresses_Setup!$C$6:$BC$47,Interest_Rate_Stresses_Setup!$A41,FALSE)</f>
        <v>4.3900000000000002E-2</v>
      </c>
      <c r="BP37" s="12">
        <f>HLOOKUP(BP$2,Interest_Rate_Stresses_Setup!$C$6:$BC$47,Interest_Rate_Stresses_Setup!$A41,FALSE)</f>
        <v>8.7459999999999996E-2</v>
      </c>
      <c r="BQ37" s="12">
        <f>HLOOKUP(BQ$2,Interest_Rate_Stresses_Setup!$C$6:$BC$47,Interest_Rate_Stresses_Setup!$A41,FALSE)</f>
        <v>3.5389999999999998E-2</v>
      </c>
      <c r="BR37" s="127">
        <f t="shared" si="1"/>
        <v>2.231E-2</v>
      </c>
      <c r="BS37" s="16">
        <v>34</v>
      </c>
      <c r="BT37" s="12">
        <f>HLOOKUP(BT$2,Interest_Rate_Stresses_Setup!$C$50:$BC$91,Interest_Rate_Stresses_Setup!$A85,FALSE)</f>
        <v>1.4874499999999999E-2</v>
      </c>
      <c r="BU37" s="12">
        <f>HLOOKUP(BU$2,Interest_Rate_Stresses_Setup!$C$50:$BC$91,Interest_Rate_Stresses_Setup!$A85,FALSE)</f>
        <v>1.4611799999999999E-2</v>
      </c>
      <c r="BV37" s="12">
        <f>HLOOKUP(BV$2,Interest_Rate_Stresses_Setup!$C$50:$BC$91,Interest_Rate_Stresses_Setup!$A85,FALSE)</f>
        <v>2.58795E-2</v>
      </c>
      <c r="BW37" s="12">
        <f>HLOOKUP(BW$2,Interest_Rate_Stresses_Setup!$C$50:$BC$91,Interest_Rate_Stresses_Setup!$A85,FALSE)</f>
        <v>1.7714499999999998E-2</v>
      </c>
      <c r="BX37" s="12">
        <f>HLOOKUP(BX$2,Interest_Rate_Stresses_Setup!$C$50:$BC$91,Interest_Rate_Stresses_Setup!$A85,FALSE)</f>
        <v>1.4824799999999999E-2</v>
      </c>
      <c r="BY37" s="12">
        <f>HLOOKUP(BY$2,Interest_Rate_Stresses_Setup!$C$50:$BC$91,Interest_Rate_Stresses_Setup!$A85,FALSE)</f>
        <v>3.0856599999999998E-2</v>
      </c>
      <c r="BZ37" s="12">
        <f>HLOOKUP(BZ$2,Interest_Rate_Stresses_Setup!$C$50:$BC$91,Interest_Rate_Stresses_Setup!$A85,FALSE)</f>
        <v>3.2056500000000002E-2</v>
      </c>
      <c r="CA37" s="12">
        <f>HLOOKUP(CA$2,Interest_Rate_Stresses_Setup!$C$50:$BC$91,Interest_Rate_Stresses_Setup!$A85,FALSE)</f>
        <v>6.4113E-3</v>
      </c>
      <c r="CB37" s="12">
        <f>HLOOKUP(CB$2,Interest_Rate_Stresses_Setup!$C$50:$BC$91,Interest_Rate_Stresses_Setup!$A85,FALSE)</f>
        <v>2.1825399999999998E-2</v>
      </c>
      <c r="CC37" s="12">
        <f>HLOOKUP(CC$2,Interest_Rate_Stresses_Setup!$C$50:$BC$91,Interest_Rate_Stresses_Setup!$A85,FALSE)</f>
        <v>2.8747899999999996E-2</v>
      </c>
      <c r="CD37" s="12">
        <f>HLOOKUP(CD$2,Interest_Rate_Stresses_Setup!$C$50:$BC$91,Interest_Rate_Stresses_Setup!$A85,FALSE)</f>
        <v>3.1147699999999997E-2</v>
      </c>
      <c r="CE37" s="12">
        <f>HLOOKUP(CE$2,Interest_Rate_Stresses_Setup!$C$50:$BC$91,Interest_Rate_Stresses_Setup!$A85,FALSE)</f>
        <v>4.1868700000000002E-2</v>
      </c>
      <c r="CF37" s="12">
        <f>HLOOKUP(CF$2,Interest_Rate_Stresses_Setup!$C$50:$BC$91,Interest_Rate_Stresses_Setup!$A85,FALSE)</f>
        <v>2.2407599999999996E-2</v>
      </c>
      <c r="CG37" s="12">
        <f>HLOOKUP(CG$2,Interest_Rate_Stresses_Setup!$C$50:$BC$91,Interest_Rate_Stresses_Setup!$A85,FALSE)</f>
        <v>8.7400999999999989E-3</v>
      </c>
      <c r="CH37" s="12">
        <f>HLOOKUP(CH$2,Interest_Rate_Stresses_Setup!$C$50:$BC$91,Interest_Rate_Stresses_Setup!$A85,FALSE)</f>
        <v>2.37495E-2</v>
      </c>
      <c r="CI37" s="12">
        <f>HLOOKUP(CI$2,Interest_Rate_Stresses_Setup!$C$50:$BC$91,Interest_Rate_Stresses_Setup!$A85,FALSE)</f>
        <v>5.3193199999999996E-2</v>
      </c>
      <c r="CJ37" s="12">
        <f>HLOOKUP(CJ$2,Interest_Rate_Stresses_Setup!$C$50:$BC$91,Interest_Rate_Stresses_Setup!$A85,FALSE)</f>
        <v>1.6471999999999997E-2</v>
      </c>
      <c r="CK37" s="12">
        <f>HLOOKUP(CK$2,Interest_Rate_Stresses_Setup!$C$50:$BC$91,Interest_Rate_Stresses_Setup!$A85,FALSE)</f>
        <v>3.0224699999999997E-2</v>
      </c>
      <c r="CL37" s="12">
        <f>HLOOKUP(CL$2,Interest_Rate_Stresses_Setup!$C$50:$BC$91,Interest_Rate_Stresses_Setup!$A85,FALSE)</f>
        <v>3.1261299999999999E-2</v>
      </c>
      <c r="CM37" s="12">
        <f>HLOOKUP(CM$2,Interest_Rate_Stresses_Setup!$C$50:$BC$91,Interest_Rate_Stresses_Setup!$A85,FALSE)</f>
        <v>3.9035799999999996E-2</v>
      </c>
      <c r="CN37" s="12">
        <f>HLOOKUP(CN$2,Interest_Rate_Stresses_Setup!$C$50:$BC$91,Interest_Rate_Stresses_Setup!$A85,FALSE)</f>
        <v>2.2187499999999999E-2</v>
      </c>
      <c r="CO37" s="12">
        <f>HLOOKUP(CO$2,Interest_Rate_Stresses_Setup!$C$50:$BC$91,Interest_Rate_Stresses_Setup!$A85,FALSE)</f>
        <v>4.4495699999999999E-2</v>
      </c>
      <c r="CP37" s="12">
        <f>HLOOKUP(CP$2,Interest_Rate_Stresses_Setup!$C$50:$BC$91,Interest_Rate_Stresses_Setup!$A85,FALSE)</f>
        <v>6.2550999999999995E-3</v>
      </c>
      <c r="CQ37" s="12">
        <f>HLOOKUP(CQ$2,Interest_Rate_Stresses_Setup!$C$50:$BC$91,Interest_Rate_Stresses_Setup!$A85,FALSE)</f>
        <v>3.0906299999999998E-2</v>
      </c>
      <c r="CR37" s="12">
        <f>HLOOKUP(CR$2,Interest_Rate_Stresses_Setup!$C$50:$BC$91,Interest_Rate_Stresses_Setup!$A85,FALSE)</f>
        <v>5.2227599999999999E-2</v>
      </c>
      <c r="CS37" s="12">
        <f>HLOOKUP(CS$2,Interest_Rate_Stresses_Setup!$C$50:$BC$91,Interest_Rate_Stresses_Setup!$A85,FALSE)</f>
        <v>2.9635399999999999E-2</v>
      </c>
      <c r="CT37" s="12">
        <f>HLOOKUP(CT$2,Interest_Rate_Stresses_Setup!$C$50:$BC$91,Interest_Rate_Stresses_Setup!$A85,FALSE)</f>
        <v>2.2002899999999999E-2</v>
      </c>
      <c r="CU37" s="12">
        <f>HLOOKUP(CU$2,Interest_Rate_Stresses_Setup!$C$50:$BC$91,Interest_Rate_Stresses_Setup!$A85,FALSE)</f>
        <v>5.2028799999999993E-2</v>
      </c>
      <c r="CV37" s="12">
        <f>HLOOKUP(CV$2,Interest_Rate_Stresses_Setup!$C$50:$BC$91,Interest_Rate_Stresses_Setup!$A85,FALSE)</f>
        <v>1.74447E-2</v>
      </c>
      <c r="CW37" s="12">
        <f>HLOOKUP(CW$2,Interest_Rate_Stresses_Setup!$C$50:$BC$91,Interest_Rate_Stresses_Setup!$A85,FALSE)</f>
        <v>1.9198400000000001E-2</v>
      </c>
      <c r="CX37" s="12">
        <f>HLOOKUP(CX$2,Interest_Rate_Stresses_Setup!$C$50:$BC$91,Interest_Rate_Stresses_Setup!$A85,FALSE)</f>
        <v>2.4069E-2</v>
      </c>
      <c r="CY37" s="12">
        <f>HLOOKUP(CY$2,Interest_Rate_Stresses_Setup!$C$50:$BC$91,Interest_Rate_Stresses_Setup!$A85,FALSE)</f>
        <v>5.49966E-2</v>
      </c>
      <c r="CZ37" s="12">
        <f>HLOOKUP(CZ$2,Interest_Rate_Stresses_Setup!$C$50:$BC$91,Interest_Rate_Stresses_Setup!$A85,FALSE)</f>
        <v>1.8026899999999998E-2</v>
      </c>
      <c r="DA37" s="127">
        <f t="shared" si="2"/>
        <v>8.7400999999999989E-3</v>
      </c>
    </row>
    <row r="38" spans="1:105" x14ac:dyDescent="0.25">
      <c r="A38" s="11">
        <v>35</v>
      </c>
      <c r="B38" s="12">
        <f>HLOOKUP(B$2,EIOPA_Spot_Rates,EIOPA_RFR!$A47,FALSE)</f>
        <v>2.147E-2</v>
      </c>
      <c r="C38" s="12">
        <f>HLOOKUP(C$2,EIOPA_Spot_Rates,EIOPA_RFR!$A47,FALSE)</f>
        <v>2.111E-2</v>
      </c>
      <c r="D38" s="12">
        <f>HLOOKUP(D$2,EIOPA_Spot_Rates,EIOPA_RFR!$A47,FALSE)</f>
        <v>3.6589999999999998E-2</v>
      </c>
      <c r="E38" s="12">
        <f>HLOOKUP(E$2,EIOPA_Spot_Rates,EIOPA_RFR!$A47,FALSE)</f>
        <v>2.538E-2</v>
      </c>
      <c r="F38" s="12">
        <f>HLOOKUP(F$2,EIOPA_Spot_Rates,EIOPA_RFR!$A47,FALSE)</f>
        <v>2.1399999999999999E-2</v>
      </c>
      <c r="G38" s="12">
        <f>HLOOKUP(G$2,EIOPA_Spot_Rates,EIOPA_RFR!$A47,FALSE)</f>
        <v>4.3459999999999999E-2</v>
      </c>
      <c r="H38" s="12">
        <f>HLOOKUP(H$2,EIOPA_Spot_Rates,EIOPA_RFR!$A47,FALSE)</f>
        <v>4.5080000000000002E-2</v>
      </c>
      <c r="I38" s="12">
        <f>HLOOKUP(I$2,EIOPA_Spot_Rates,EIOPA_RFR!$A47,FALSE)</f>
        <v>9.5300000000000003E-3</v>
      </c>
      <c r="J38" s="12">
        <f>HLOOKUP(J$2,EIOPA_Spot_Rates,EIOPA_RFR!$A47,FALSE)</f>
        <v>3.1019999999999999E-2</v>
      </c>
      <c r="K38" s="12">
        <f>HLOOKUP(K$2,EIOPA_Spot_Rates,EIOPA_RFR!$A47,FALSE)</f>
        <v>4.054E-2</v>
      </c>
      <c r="L38" s="12">
        <f>HLOOKUP(L$2,EIOPA_Spot_Rates,EIOPA_RFR!$A47,FALSE)</f>
        <v>4.385E-2</v>
      </c>
      <c r="M38" s="12">
        <f>HLOOKUP(M$2,EIOPA_Spot_Rates,EIOPA_RFR!$A47,FALSE)</f>
        <v>5.8540000000000002E-2</v>
      </c>
      <c r="N38" s="12">
        <f>HLOOKUP(N$2,EIOPA_Spot_Rates,EIOPA_RFR!$A47,FALSE)</f>
        <v>3.1859999999999999E-2</v>
      </c>
      <c r="O38" s="12">
        <f>HLOOKUP(O$2,EIOPA_Spot_Rates,EIOPA_RFR!$A47,FALSE)</f>
        <v>1.2200000000000001E-2</v>
      </c>
      <c r="P38" s="12">
        <f>HLOOKUP(P$2,EIOPA_Spot_Rates,EIOPA_RFR!$A47,FALSE)</f>
        <v>3.3550000000000003E-2</v>
      </c>
      <c r="Q38" s="12">
        <f>HLOOKUP(Q$2,EIOPA_Spot_Rates,EIOPA_RFR!$A47,FALSE)</f>
        <v>7.4329999999999993E-2</v>
      </c>
      <c r="R38" s="12">
        <f>HLOOKUP(R$2,EIOPA_Spot_Rates,EIOPA_RFR!$A47,FALSE)</f>
        <v>2.349E-2</v>
      </c>
      <c r="S38" s="12">
        <f>HLOOKUP(S$2,EIOPA_Spot_Rates,EIOPA_RFR!$A47,FALSE)</f>
        <v>4.2569999999999997E-2</v>
      </c>
      <c r="T38" s="12">
        <f>HLOOKUP(T$2,EIOPA_Spot_Rates,EIOPA_RFR!$A47,FALSE)</f>
        <v>4.3990000000000001E-2</v>
      </c>
      <c r="U38" s="12">
        <f>HLOOKUP(U$2,EIOPA_Spot_Rates,EIOPA_RFR!$A47,FALSE)</f>
        <v>5.466E-2</v>
      </c>
      <c r="V38" s="12">
        <f>HLOOKUP(V$2,EIOPA_Spot_Rates,EIOPA_RFR!$A47,FALSE)</f>
        <v>3.1510000000000003E-2</v>
      </c>
      <c r="W38" s="12">
        <f>HLOOKUP(W$2,EIOPA_Spot_Rates,EIOPA_RFR!$A47,FALSE)</f>
        <v>6.241E-2</v>
      </c>
      <c r="X38" s="12">
        <f>HLOOKUP(X$2,EIOPA_Spot_Rates,EIOPA_RFR!$A47,FALSE)</f>
        <v>9.1900000000000003E-3</v>
      </c>
      <c r="Y38" s="12">
        <f>HLOOKUP(Y$2,EIOPA_Spot_Rates,EIOPA_RFR!$A47,FALSE)</f>
        <v>4.351E-2</v>
      </c>
      <c r="Z38" s="12">
        <f>HLOOKUP(Z$2,EIOPA_Spot_Rates,EIOPA_RFR!$A47,FALSE)</f>
        <v>7.306E-2</v>
      </c>
      <c r="AA38" s="12">
        <f>HLOOKUP(AA$2,EIOPA_Spot_Rates,EIOPA_RFR!$A47,FALSE)</f>
        <v>4.1779999999999998E-2</v>
      </c>
      <c r="AB38" s="12">
        <f>HLOOKUP(AB$2,EIOPA_Spot_Rates,EIOPA_RFR!$A47,FALSE)</f>
        <v>3.125E-2</v>
      </c>
      <c r="AC38" s="12">
        <f>HLOOKUP(AC$2,EIOPA_Spot_Rates,EIOPA_RFR!$A47,FALSE)</f>
        <v>7.2749999999999995E-2</v>
      </c>
      <c r="AD38" s="12">
        <f>HLOOKUP(AD$2,EIOPA_Spot_Rates,EIOPA_RFR!$A47,FALSE)</f>
        <v>2.4989999999999998E-2</v>
      </c>
      <c r="AE38" s="12">
        <f>HLOOKUP(AE$2,EIOPA_Spot_Rates,EIOPA_RFR!$A47,FALSE)</f>
        <v>2.742E-2</v>
      </c>
      <c r="AF38" s="12">
        <f>HLOOKUP(AF$2,EIOPA_Spot_Rates,EIOPA_RFR!$A47,FALSE)</f>
        <v>3.4099999999999998E-2</v>
      </c>
      <c r="AG38" s="12">
        <f>HLOOKUP(AG$2,EIOPA_Spot_Rates,EIOPA_RFR!$A47,FALSE)</f>
        <v>7.6789999999999997E-2</v>
      </c>
      <c r="AH38" s="12">
        <f>HLOOKUP(AH$2,EIOPA_Spot_Rates,EIOPA_RFR!$A47,FALSE)</f>
        <v>2.537E-2</v>
      </c>
      <c r="AI38" s="127">
        <f t="shared" si="0"/>
        <v>1.2200000000000001E-2</v>
      </c>
      <c r="AJ38" s="16">
        <v>35</v>
      </c>
      <c r="AK38" s="12">
        <f>HLOOKUP(AK$2,Interest_Rate_Stresses_Setup!$C$6:$BC$47,Interest_Rate_Stresses_Setup!$A42,FALSE)</f>
        <v>3.1469999999999998E-2</v>
      </c>
      <c r="AL38" s="12">
        <f>HLOOKUP(AL$2,Interest_Rate_Stresses_Setup!$C$6:$BC$47,Interest_Rate_Stresses_Setup!$A42,FALSE)</f>
        <v>3.1109999999999999E-2</v>
      </c>
      <c r="AM38" s="12">
        <f>HLOOKUP(AM$2,Interest_Rate_Stresses_Setup!$C$6:$BC$47,Interest_Rate_Stresses_Setup!$A42,FALSE)</f>
        <v>4.6589999999999999E-2</v>
      </c>
      <c r="AN38" s="12">
        <f>HLOOKUP(AN$2,Interest_Rate_Stresses_Setup!$C$6:$BC$47,Interest_Rate_Stresses_Setup!$A42,FALSE)</f>
        <v>3.5380000000000002E-2</v>
      </c>
      <c r="AO38" s="12">
        <f>HLOOKUP(AO$2,Interest_Rate_Stresses_Setup!$C$6:$BC$47,Interest_Rate_Stresses_Setup!$A42,FALSE)</f>
        <v>3.1399999999999997E-2</v>
      </c>
      <c r="AP38" s="12">
        <f>HLOOKUP(AP$2,Interest_Rate_Stresses_Setup!$C$6:$BC$47,Interest_Rate_Stresses_Setup!$A42,FALSE)</f>
        <v>5.3460000000000001E-2</v>
      </c>
      <c r="AQ38" s="12">
        <f>HLOOKUP(AQ$2,Interest_Rate_Stresses_Setup!$C$6:$BC$47,Interest_Rate_Stresses_Setup!$A42,FALSE)</f>
        <v>5.5080000000000004E-2</v>
      </c>
      <c r="AR38" s="12">
        <f>HLOOKUP(AR$2,Interest_Rate_Stresses_Setup!$C$6:$BC$47,Interest_Rate_Stresses_Setup!$A42,FALSE)</f>
        <v>1.9529999999999999E-2</v>
      </c>
      <c r="AS38" s="12">
        <f>HLOOKUP(AS$2,Interest_Rate_Stresses_Setup!$C$6:$BC$47,Interest_Rate_Stresses_Setup!$A42,FALSE)</f>
        <v>4.1020000000000001E-2</v>
      </c>
      <c r="AT38" s="12">
        <f>HLOOKUP(AT$2,Interest_Rate_Stresses_Setup!$C$6:$BC$47,Interest_Rate_Stresses_Setup!$A42,FALSE)</f>
        <v>5.0540000000000002E-2</v>
      </c>
      <c r="AU38" s="12">
        <f>HLOOKUP(AU$2,Interest_Rate_Stresses_Setup!$C$6:$BC$47,Interest_Rate_Stresses_Setup!$A42,FALSE)</f>
        <v>5.3850000000000002E-2</v>
      </c>
      <c r="AV38" s="12">
        <f>HLOOKUP(AV$2,Interest_Rate_Stresses_Setup!$C$6:$BC$47,Interest_Rate_Stresses_Setup!$A42,FALSE)</f>
        <v>6.8540000000000004E-2</v>
      </c>
      <c r="AW38" s="12">
        <f>HLOOKUP(AW$2,Interest_Rate_Stresses_Setup!$C$6:$BC$47,Interest_Rate_Stresses_Setup!$A42,FALSE)</f>
        <v>4.1860000000000001E-2</v>
      </c>
      <c r="AX38" s="12">
        <f>HLOOKUP(AX$2,Interest_Rate_Stresses_Setup!$C$6:$BC$47,Interest_Rate_Stresses_Setup!$A42,FALSE)</f>
        <v>2.2200000000000001E-2</v>
      </c>
      <c r="AY38" s="12">
        <f>HLOOKUP(AY$2,Interest_Rate_Stresses_Setup!$C$6:$BC$47,Interest_Rate_Stresses_Setup!$A42,FALSE)</f>
        <v>4.3550000000000005E-2</v>
      </c>
      <c r="AZ38" s="12">
        <f>HLOOKUP(AZ$2,Interest_Rate_Stresses_Setup!$C$6:$BC$47,Interest_Rate_Stresses_Setup!$A42,FALSE)</f>
        <v>8.4329999999999988E-2</v>
      </c>
      <c r="BA38" s="12">
        <f>HLOOKUP(BA$2,Interest_Rate_Stresses_Setup!$C$6:$BC$47,Interest_Rate_Stresses_Setup!$A42,FALSE)</f>
        <v>3.3489999999999999E-2</v>
      </c>
      <c r="BB38" s="12">
        <f>HLOOKUP(BB$2,Interest_Rate_Stresses_Setup!$C$6:$BC$47,Interest_Rate_Stresses_Setup!$A42,FALSE)</f>
        <v>5.2569999999999999E-2</v>
      </c>
      <c r="BC38" s="12">
        <f>HLOOKUP(BC$2,Interest_Rate_Stresses_Setup!$C$6:$BC$47,Interest_Rate_Stresses_Setup!$A42,FALSE)</f>
        <v>5.3990000000000003E-2</v>
      </c>
      <c r="BD38" s="12">
        <f>HLOOKUP(BD$2,Interest_Rate_Stresses_Setup!$C$6:$BC$47,Interest_Rate_Stresses_Setup!$A42,FALSE)</f>
        <v>6.4659999999999995E-2</v>
      </c>
      <c r="BE38" s="12">
        <f>HLOOKUP(BE$2,Interest_Rate_Stresses_Setup!$C$6:$BC$47,Interest_Rate_Stresses_Setup!$A42,FALSE)</f>
        <v>4.1510000000000005E-2</v>
      </c>
      <c r="BF38" s="12">
        <f>HLOOKUP(BF$2,Interest_Rate_Stresses_Setup!$C$6:$BC$47,Interest_Rate_Stresses_Setup!$A42,FALSE)</f>
        <v>7.2410000000000002E-2</v>
      </c>
      <c r="BG38" s="12">
        <f>HLOOKUP(BG$2,Interest_Rate_Stresses_Setup!$C$6:$BC$47,Interest_Rate_Stresses_Setup!$A42,FALSE)</f>
        <v>1.9189999999999999E-2</v>
      </c>
      <c r="BH38" s="12">
        <f>HLOOKUP(BH$2,Interest_Rate_Stresses_Setup!$C$6:$BC$47,Interest_Rate_Stresses_Setup!$A42,FALSE)</f>
        <v>5.3510000000000002E-2</v>
      </c>
      <c r="BI38" s="12">
        <f>HLOOKUP(BI$2,Interest_Rate_Stresses_Setup!$C$6:$BC$47,Interest_Rate_Stresses_Setup!$A42,FALSE)</f>
        <v>8.3059999999999995E-2</v>
      </c>
      <c r="BJ38" s="12">
        <f>HLOOKUP(BJ$2,Interest_Rate_Stresses_Setup!$C$6:$BC$47,Interest_Rate_Stresses_Setup!$A42,FALSE)</f>
        <v>5.178E-2</v>
      </c>
      <c r="BK38" s="12">
        <f>HLOOKUP(BK$2,Interest_Rate_Stresses_Setup!$C$6:$BC$47,Interest_Rate_Stresses_Setup!$A42,FALSE)</f>
        <v>4.1250000000000002E-2</v>
      </c>
      <c r="BL38" s="12">
        <f>HLOOKUP(BL$2,Interest_Rate_Stresses_Setup!$C$6:$BC$47,Interest_Rate_Stresses_Setup!$A42,FALSE)</f>
        <v>8.274999999999999E-2</v>
      </c>
      <c r="BM38" s="12">
        <f>HLOOKUP(BM$2,Interest_Rate_Stresses_Setup!$C$6:$BC$47,Interest_Rate_Stresses_Setup!$A42,FALSE)</f>
        <v>3.499E-2</v>
      </c>
      <c r="BN38" s="12">
        <f>HLOOKUP(BN$2,Interest_Rate_Stresses_Setup!$C$6:$BC$47,Interest_Rate_Stresses_Setup!$A42,FALSE)</f>
        <v>3.7420000000000002E-2</v>
      </c>
      <c r="BO38" s="12">
        <f>HLOOKUP(BO$2,Interest_Rate_Stresses_Setup!$C$6:$BC$47,Interest_Rate_Stresses_Setup!$A42,FALSE)</f>
        <v>4.41E-2</v>
      </c>
      <c r="BP38" s="12">
        <f>HLOOKUP(BP$2,Interest_Rate_Stresses_Setup!$C$6:$BC$47,Interest_Rate_Stresses_Setup!$A42,FALSE)</f>
        <v>8.6789999999999992E-2</v>
      </c>
      <c r="BQ38" s="12">
        <f>HLOOKUP(BQ$2,Interest_Rate_Stresses_Setup!$C$6:$BC$47,Interest_Rate_Stresses_Setup!$A42,FALSE)</f>
        <v>3.5369999999999999E-2</v>
      </c>
      <c r="BR38" s="127">
        <f t="shared" si="1"/>
        <v>2.2200000000000001E-2</v>
      </c>
      <c r="BS38" s="16">
        <v>35</v>
      </c>
      <c r="BT38" s="12">
        <f>HLOOKUP(BT$2,Interest_Rate_Stresses_Setup!$C$50:$BC$91,Interest_Rate_Stresses_Setup!$A86,FALSE)</f>
        <v>1.5243699999999999E-2</v>
      </c>
      <c r="BU38" s="12">
        <f>HLOOKUP(BU$2,Interest_Rate_Stresses_Setup!$C$50:$BC$91,Interest_Rate_Stresses_Setup!$A86,FALSE)</f>
        <v>1.4988099999999999E-2</v>
      </c>
      <c r="BV38" s="12">
        <f>HLOOKUP(BV$2,Interest_Rate_Stresses_Setup!$C$50:$BC$91,Interest_Rate_Stresses_Setup!$A86,FALSE)</f>
        <v>2.5978899999999996E-2</v>
      </c>
      <c r="BW38" s="12">
        <f>HLOOKUP(BW$2,Interest_Rate_Stresses_Setup!$C$50:$BC$91,Interest_Rate_Stresses_Setup!$A86,FALSE)</f>
        <v>1.8019799999999999E-2</v>
      </c>
      <c r="BX38" s="12">
        <f>HLOOKUP(BX$2,Interest_Rate_Stresses_Setup!$C$50:$BC$91,Interest_Rate_Stresses_Setup!$A86,FALSE)</f>
        <v>1.5193999999999999E-2</v>
      </c>
      <c r="BY38" s="12">
        <f>HLOOKUP(BY$2,Interest_Rate_Stresses_Setup!$C$50:$BC$91,Interest_Rate_Stresses_Setup!$A86,FALSE)</f>
        <v>3.0856599999999998E-2</v>
      </c>
      <c r="BZ38" s="12">
        <f>HLOOKUP(BZ$2,Interest_Rate_Stresses_Setup!$C$50:$BC$91,Interest_Rate_Stresses_Setup!$A86,FALSE)</f>
        <v>3.2006800000000002E-2</v>
      </c>
      <c r="CA38" s="12">
        <f>HLOOKUP(CA$2,Interest_Rate_Stresses_Setup!$C$50:$BC$91,Interest_Rate_Stresses_Setup!$A86,FALSE)</f>
        <v>6.7663000000000003E-3</v>
      </c>
      <c r="CB38" s="12">
        <f>HLOOKUP(CB$2,Interest_Rate_Stresses_Setup!$C$50:$BC$91,Interest_Rate_Stresses_Setup!$A86,FALSE)</f>
        <v>2.2024199999999997E-2</v>
      </c>
      <c r="CC38" s="12">
        <f>HLOOKUP(CC$2,Interest_Rate_Stresses_Setup!$C$50:$BC$91,Interest_Rate_Stresses_Setup!$A86,FALSE)</f>
        <v>2.8783399999999997E-2</v>
      </c>
      <c r="CD38" s="12">
        <f>HLOOKUP(CD$2,Interest_Rate_Stresses_Setup!$C$50:$BC$91,Interest_Rate_Stresses_Setup!$A86,FALSE)</f>
        <v>3.1133499999999998E-2</v>
      </c>
      <c r="CE38" s="12">
        <f>HLOOKUP(CE$2,Interest_Rate_Stresses_Setup!$C$50:$BC$91,Interest_Rate_Stresses_Setup!$A86,FALSE)</f>
        <v>4.15634E-2</v>
      </c>
      <c r="CF38" s="12">
        <f>HLOOKUP(CF$2,Interest_Rate_Stresses_Setup!$C$50:$BC$91,Interest_Rate_Stresses_Setup!$A86,FALSE)</f>
        <v>2.2620599999999998E-2</v>
      </c>
      <c r="CG38" s="12">
        <f>HLOOKUP(CG$2,Interest_Rate_Stresses_Setup!$C$50:$BC$91,Interest_Rate_Stresses_Setup!$A86,FALSE)</f>
        <v>8.6619999999999996E-3</v>
      </c>
      <c r="CH38" s="12">
        <f>HLOOKUP(CH$2,Interest_Rate_Stresses_Setup!$C$50:$BC$91,Interest_Rate_Stresses_Setup!$A86,FALSE)</f>
        <v>2.3820500000000001E-2</v>
      </c>
      <c r="CI38" s="12">
        <f>HLOOKUP(CI$2,Interest_Rate_Stresses_Setup!$C$50:$BC$91,Interest_Rate_Stresses_Setup!$A86,FALSE)</f>
        <v>5.2774299999999989E-2</v>
      </c>
      <c r="CJ38" s="12">
        <f>HLOOKUP(CJ$2,Interest_Rate_Stresses_Setup!$C$50:$BC$91,Interest_Rate_Stresses_Setup!$A86,FALSE)</f>
        <v>1.6677899999999999E-2</v>
      </c>
      <c r="CK38" s="12">
        <f>HLOOKUP(CK$2,Interest_Rate_Stresses_Setup!$C$50:$BC$91,Interest_Rate_Stresses_Setup!$A86,FALSE)</f>
        <v>3.0224699999999997E-2</v>
      </c>
      <c r="CL38" s="12">
        <f>HLOOKUP(CL$2,Interest_Rate_Stresses_Setup!$C$50:$BC$91,Interest_Rate_Stresses_Setup!$A86,FALSE)</f>
        <v>3.1232900000000001E-2</v>
      </c>
      <c r="CM38" s="12">
        <f>HLOOKUP(CM$2,Interest_Rate_Stresses_Setup!$C$50:$BC$91,Interest_Rate_Stresses_Setup!$A86,FALSE)</f>
        <v>3.8808599999999999E-2</v>
      </c>
      <c r="CN38" s="12">
        <f>HLOOKUP(CN$2,Interest_Rate_Stresses_Setup!$C$50:$BC$91,Interest_Rate_Stresses_Setup!$A86,FALSE)</f>
        <v>2.2372100000000002E-2</v>
      </c>
      <c r="CO38" s="12">
        <f>HLOOKUP(CO$2,Interest_Rate_Stresses_Setup!$C$50:$BC$91,Interest_Rate_Stresses_Setup!$A86,FALSE)</f>
        <v>4.4311099999999999E-2</v>
      </c>
      <c r="CP38" s="12">
        <f>HLOOKUP(CP$2,Interest_Rate_Stresses_Setup!$C$50:$BC$91,Interest_Rate_Stresses_Setup!$A86,FALSE)</f>
        <v>6.5249000000000001E-3</v>
      </c>
      <c r="CQ38" s="12">
        <f>HLOOKUP(CQ$2,Interest_Rate_Stresses_Setup!$C$50:$BC$91,Interest_Rate_Stresses_Setup!$A86,FALSE)</f>
        <v>3.0892099999999999E-2</v>
      </c>
      <c r="CR38" s="12">
        <f>HLOOKUP(CR$2,Interest_Rate_Stresses_Setup!$C$50:$BC$91,Interest_Rate_Stresses_Setup!$A86,FALSE)</f>
        <v>5.1872599999999998E-2</v>
      </c>
      <c r="CS38" s="12">
        <f>HLOOKUP(CS$2,Interest_Rate_Stresses_Setup!$C$50:$BC$91,Interest_Rate_Stresses_Setup!$A86,FALSE)</f>
        <v>2.9663799999999997E-2</v>
      </c>
      <c r="CT38" s="12">
        <f>HLOOKUP(CT$2,Interest_Rate_Stresses_Setup!$C$50:$BC$91,Interest_Rate_Stresses_Setup!$A86,FALSE)</f>
        <v>2.2187499999999999E-2</v>
      </c>
      <c r="CU38" s="12">
        <f>HLOOKUP(CU$2,Interest_Rate_Stresses_Setup!$C$50:$BC$91,Interest_Rate_Stresses_Setup!$A86,FALSE)</f>
        <v>5.1652499999999997E-2</v>
      </c>
      <c r="CV38" s="12">
        <f>HLOOKUP(CV$2,Interest_Rate_Stresses_Setup!$C$50:$BC$91,Interest_Rate_Stresses_Setup!$A86,FALSE)</f>
        <v>1.7742899999999999E-2</v>
      </c>
      <c r="CW38" s="12">
        <f>HLOOKUP(CW$2,Interest_Rate_Stresses_Setup!$C$50:$BC$91,Interest_Rate_Stresses_Setup!$A86,FALSE)</f>
        <v>1.9468199999999998E-2</v>
      </c>
      <c r="CX38" s="12">
        <f>HLOOKUP(CX$2,Interest_Rate_Stresses_Setup!$C$50:$BC$91,Interest_Rate_Stresses_Setup!$A86,FALSE)</f>
        <v>2.4210999999999996E-2</v>
      </c>
      <c r="CY38" s="12">
        <f>HLOOKUP(CY$2,Interest_Rate_Stresses_Setup!$C$50:$BC$91,Interest_Rate_Stresses_Setup!$A86,FALSE)</f>
        <v>5.4520899999999997E-2</v>
      </c>
      <c r="CZ38" s="12">
        <f>HLOOKUP(CZ$2,Interest_Rate_Stresses_Setup!$C$50:$BC$91,Interest_Rate_Stresses_Setup!$A86,FALSE)</f>
        <v>1.80127E-2</v>
      </c>
      <c r="DA38" s="127">
        <f t="shared" si="2"/>
        <v>8.6619999999999996E-3</v>
      </c>
    </row>
    <row r="39" spans="1:105" x14ac:dyDescent="0.25">
      <c r="A39" s="11">
        <v>36</v>
      </c>
      <c r="B39" s="12">
        <f>HLOOKUP(B$2,EIOPA_Spot_Rates,EIOPA_RFR!$A48,FALSE)</f>
        <v>2.197E-2</v>
      </c>
      <c r="C39" s="12">
        <f>HLOOKUP(C$2,EIOPA_Spot_Rates,EIOPA_RFR!$A48,FALSE)</f>
        <v>2.1610000000000001E-2</v>
      </c>
      <c r="D39" s="12">
        <f>HLOOKUP(D$2,EIOPA_Spot_Rates,EIOPA_RFR!$A48,FALSE)</f>
        <v>3.6720000000000003E-2</v>
      </c>
      <c r="E39" s="12">
        <f>HLOOKUP(E$2,EIOPA_Spot_Rates,EIOPA_RFR!$A48,FALSE)</f>
        <v>2.579E-2</v>
      </c>
      <c r="F39" s="12">
        <f>HLOOKUP(F$2,EIOPA_Spot_Rates,EIOPA_RFR!$A48,FALSE)</f>
        <v>2.1899999999999999E-2</v>
      </c>
      <c r="G39" s="12">
        <f>HLOOKUP(G$2,EIOPA_Spot_Rates,EIOPA_RFR!$A48,FALSE)</f>
        <v>4.3459999999999999E-2</v>
      </c>
      <c r="H39" s="12">
        <f>HLOOKUP(H$2,EIOPA_Spot_Rates,EIOPA_RFR!$A48,FALSE)</f>
        <v>4.5019999999999998E-2</v>
      </c>
      <c r="I39" s="12">
        <f>HLOOKUP(I$2,EIOPA_Spot_Rates,EIOPA_RFR!$A48,FALSE)</f>
        <v>1.0019999999999999E-2</v>
      </c>
      <c r="J39" s="12">
        <f>HLOOKUP(J$2,EIOPA_Spot_Rates,EIOPA_RFR!$A48,FALSE)</f>
        <v>3.1289999999999998E-2</v>
      </c>
      <c r="K39" s="12">
        <f>HLOOKUP(K$2,EIOPA_Spot_Rates,EIOPA_RFR!$A48,FALSE)</f>
        <v>4.0599999999999997E-2</v>
      </c>
      <c r="L39" s="12">
        <f>HLOOKUP(L$2,EIOPA_Spot_Rates,EIOPA_RFR!$A48,FALSE)</f>
        <v>4.3830000000000001E-2</v>
      </c>
      <c r="M39" s="12">
        <f>HLOOKUP(M$2,EIOPA_Spot_Rates,EIOPA_RFR!$A48,FALSE)</f>
        <v>5.8130000000000001E-2</v>
      </c>
      <c r="N39" s="12">
        <f>HLOOKUP(N$2,EIOPA_Spot_Rates,EIOPA_RFR!$A48,FALSE)</f>
        <v>3.2140000000000002E-2</v>
      </c>
      <c r="O39" s="12">
        <f>HLOOKUP(O$2,EIOPA_Spot_Rates,EIOPA_RFR!$A48,FALSE)</f>
        <v>1.206E-2</v>
      </c>
      <c r="P39" s="12">
        <f>HLOOKUP(P$2,EIOPA_Spot_Rates,EIOPA_RFR!$A48,FALSE)</f>
        <v>3.3649999999999999E-2</v>
      </c>
      <c r="Q39" s="12">
        <f>HLOOKUP(Q$2,EIOPA_Spot_Rates,EIOPA_RFR!$A48,FALSE)</f>
        <v>7.3770000000000002E-2</v>
      </c>
      <c r="R39" s="12">
        <f>HLOOKUP(R$2,EIOPA_Spot_Rates,EIOPA_RFR!$A48,FALSE)</f>
        <v>2.3800000000000002E-2</v>
      </c>
      <c r="S39" s="12">
        <f>HLOOKUP(S$2,EIOPA_Spot_Rates,EIOPA_RFR!$A48,FALSE)</f>
        <v>4.2569999999999997E-2</v>
      </c>
      <c r="T39" s="12">
        <f>HLOOKUP(T$2,EIOPA_Spot_Rates,EIOPA_RFR!$A48,FALSE)</f>
        <v>4.3959999999999999E-2</v>
      </c>
      <c r="U39" s="12">
        <f>HLOOKUP(U$2,EIOPA_Spot_Rates,EIOPA_RFR!$A48,FALSE)</f>
        <v>5.4359999999999999E-2</v>
      </c>
      <c r="V39" s="12">
        <f>HLOOKUP(V$2,EIOPA_Spot_Rates,EIOPA_RFR!$A48,FALSE)</f>
        <v>3.1759999999999997E-2</v>
      </c>
      <c r="W39" s="12">
        <f>HLOOKUP(W$2,EIOPA_Spot_Rates,EIOPA_RFR!$A48,FALSE)</f>
        <v>6.2170000000000003E-2</v>
      </c>
      <c r="X39" s="12">
        <f>HLOOKUP(X$2,EIOPA_Spot_Rates,EIOPA_RFR!$A48,FALSE)</f>
        <v>9.5899999999999996E-3</v>
      </c>
      <c r="Y39" s="12">
        <f>HLOOKUP(Y$2,EIOPA_Spot_Rates,EIOPA_RFR!$A48,FALSE)</f>
        <v>4.3490000000000001E-2</v>
      </c>
      <c r="Z39" s="12">
        <f>HLOOKUP(Z$2,EIOPA_Spot_Rates,EIOPA_RFR!$A48,FALSE)</f>
        <v>7.2569999999999996E-2</v>
      </c>
      <c r="AA39" s="12">
        <f>HLOOKUP(AA$2,EIOPA_Spot_Rates,EIOPA_RFR!$A48,FALSE)</f>
        <v>4.1820000000000003E-2</v>
      </c>
      <c r="AB39" s="12">
        <f>HLOOKUP(AB$2,EIOPA_Spot_Rates,EIOPA_RFR!$A48,FALSE)</f>
        <v>3.15E-2</v>
      </c>
      <c r="AC39" s="12">
        <f>HLOOKUP(AC$2,EIOPA_Spot_Rates,EIOPA_RFR!$A48,FALSE)</f>
        <v>7.2239999999999999E-2</v>
      </c>
      <c r="AD39" s="12">
        <f>HLOOKUP(AD$2,EIOPA_Spot_Rates,EIOPA_RFR!$A48,FALSE)</f>
        <v>2.5399999999999999E-2</v>
      </c>
      <c r="AE39" s="12">
        <f>HLOOKUP(AE$2,EIOPA_Spot_Rates,EIOPA_RFR!$A48,FALSE)</f>
        <v>2.7789999999999999E-2</v>
      </c>
      <c r="AF39" s="12">
        <f>HLOOKUP(AF$2,EIOPA_Spot_Rates,EIOPA_RFR!$A48,FALSE)</f>
        <v>3.4290000000000001E-2</v>
      </c>
      <c r="AG39" s="12">
        <f>HLOOKUP(AG$2,EIOPA_Spot_Rates,EIOPA_RFR!$A48,FALSE)</f>
        <v>7.6160000000000005E-2</v>
      </c>
      <c r="AH39" s="12">
        <f>HLOOKUP(AH$2,EIOPA_Spot_Rates,EIOPA_RFR!$A48,FALSE)</f>
        <v>2.5340000000000001E-2</v>
      </c>
      <c r="AI39" s="127">
        <f t="shared" si="0"/>
        <v>1.206E-2</v>
      </c>
      <c r="AJ39" s="16">
        <v>36</v>
      </c>
      <c r="AK39" s="12">
        <f>HLOOKUP(AK$2,Interest_Rate_Stresses_Setup!$C$6:$BC$47,Interest_Rate_Stresses_Setup!$A43,FALSE)</f>
        <v>3.1969999999999998E-2</v>
      </c>
      <c r="AL39" s="12">
        <f>HLOOKUP(AL$2,Interest_Rate_Stresses_Setup!$C$6:$BC$47,Interest_Rate_Stresses_Setup!$A43,FALSE)</f>
        <v>3.1609999999999999E-2</v>
      </c>
      <c r="AM39" s="12">
        <f>HLOOKUP(AM$2,Interest_Rate_Stresses_Setup!$C$6:$BC$47,Interest_Rate_Stresses_Setup!$A43,FALSE)</f>
        <v>4.6720000000000005E-2</v>
      </c>
      <c r="AN39" s="12">
        <f>HLOOKUP(AN$2,Interest_Rate_Stresses_Setup!$C$6:$BC$47,Interest_Rate_Stresses_Setup!$A43,FALSE)</f>
        <v>3.5790000000000002E-2</v>
      </c>
      <c r="AO39" s="12">
        <f>HLOOKUP(AO$2,Interest_Rate_Stresses_Setup!$C$6:$BC$47,Interest_Rate_Stresses_Setup!$A43,FALSE)</f>
        <v>3.1899999999999998E-2</v>
      </c>
      <c r="AP39" s="12">
        <f>HLOOKUP(AP$2,Interest_Rate_Stresses_Setup!$C$6:$BC$47,Interest_Rate_Stresses_Setup!$A43,FALSE)</f>
        <v>5.3460000000000001E-2</v>
      </c>
      <c r="AQ39" s="12">
        <f>HLOOKUP(AQ$2,Interest_Rate_Stresses_Setup!$C$6:$BC$47,Interest_Rate_Stresses_Setup!$A43,FALSE)</f>
        <v>5.5019999999999999E-2</v>
      </c>
      <c r="AR39" s="12">
        <f>HLOOKUP(AR$2,Interest_Rate_Stresses_Setup!$C$6:$BC$47,Interest_Rate_Stresses_Setup!$A43,FALSE)</f>
        <v>2.002E-2</v>
      </c>
      <c r="AS39" s="12">
        <f>HLOOKUP(AS$2,Interest_Rate_Stresses_Setup!$C$6:$BC$47,Interest_Rate_Stresses_Setup!$A43,FALSE)</f>
        <v>4.129E-2</v>
      </c>
      <c r="AT39" s="12">
        <f>HLOOKUP(AT$2,Interest_Rate_Stresses_Setup!$C$6:$BC$47,Interest_Rate_Stresses_Setup!$A43,FALSE)</f>
        <v>5.0599999999999999E-2</v>
      </c>
      <c r="AU39" s="12">
        <f>HLOOKUP(AU$2,Interest_Rate_Stresses_Setup!$C$6:$BC$47,Interest_Rate_Stresses_Setup!$A43,FALSE)</f>
        <v>5.3830000000000003E-2</v>
      </c>
      <c r="AV39" s="12">
        <f>HLOOKUP(AV$2,Interest_Rate_Stresses_Setup!$C$6:$BC$47,Interest_Rate_Stresses_Setup!$A43,FALSE)</f>
        <v>6.8129999999999996E-2</v>
      </c>
      <c r="AW39" s="12">
        <f>HLOOKUP(AW$2,Interest_Rate_Stresses_Setup!$C$6:$BC$47,Interest_Rate_Stresses_Setup!$A43,FALSE)</f>
        <v>4.2140000000000004E-2</v>
      </c>
      <c r="AX39" s="12">
        <f>HLOOKUP(AX$2,Interest_Rate_Stresses_Setup!$C$6:$BC$47,Interest_Rate_Stresses_Setup!$A43,FALSE)</f>
        <v>2.206E-2</v>
      </c>
      <c r="AY39" s="12">
        <f>HLOOKUP(AY$2,Interest_Rate_Stresses_Setup!$C$6:$BC$47,Interest_Rate_Stresses_Setup!$A43,FALSE)</f>
        <v>4.3650000000000001E-2</v>
      </c>
      <c r="AZ39" s="12">
        <f>HLOOKUP(AZ$2,Interest_Rate_Stresses_Setup!$C$6:$BC$47,Interest_Rate_Stresses_Setup!$A43,FALSE)</f>
        <v>8.3769999999999997E-2</v>
      </c>
      <c r="BA39" s="12">
        <f>HLOOKUP(BA$2,Interest_Rate_Stresses_Setup!$C$6:$BC$47,Interest_Rate_Stresses_Setup!$A43,FALSE)</f>
        <v>3.3800000000000004E-2</v>
      </c>
      <c r="BB39" s="12">
        <f>HLOOKUP(BB$2,Interest_Rate_Stresses_Setup!$C$6:$BC$47,Interest_Rate_Stresses_Setup!$A43,FALSE)</f>
        <v>5.2569999999999999E-2</v>
      </c>
      <c r="BC39" s="12">
        <f>HLOOKUP(BC$2,Interest_Rate_Stresses_Setup!$C$6:$BC$47,Interest_Rate_Stresses_Setup!$A43,FALSE)</f>
        <v>5.3960000000000001E-2</v>
      </c>
      <c r="BD39" s="12">
        <f>HLOOKUP(BD$2,Interest_Rate_Stresses_Setup!$C$6:$BC$47,Interest_Rate_Stresses_Setup!$A43,FALSE)</f>
        <v>6.4360000000000001E-2</v>
      </c>
      <c r="BE39" s="12">
        <f>HLOOKUP(BE$2,Interest_Rate_Stresses_Setup!$C$6:$BC$47,Interest_Rate_Stresses_Setup!$A43,FALSE)</f>
        <v>4.1759999999999999E-2</v>
      </c>
      <c r="BF39" s="12">
        <f>HLOOKUP(BF$2,Interest_Rate_Stresses_Setup!$C$6:$BC$47,Interest_Rate_Stresses_Setup!$A43,FALSE)</f>
        <v>7.2169999999999998E-2</v>
      </c>
      <c r="BG39" s="12">
        <f>HLOOKUP(BG$2,Interest_Rate_Stresses_Setup!$C$6:$BC$47,Interest_Rate_Stresses_Setup!$A43,FALSE)</f>
        <v>1.959E-2</v>
      </c>
      <c r="BH39" s="12">
        <f>HLOOKUP(BH$2,Interest_Rate_Stresses_Setup!$C$6:$BC$47,Interest_Rate_Stresses_Setup!$A43,FALSE)</f>
        <v>5.3490000000000003E-2</v>
      </c>
      <c r="BI39" s="12">
        <f>HLOOKUP(BI$2,Interest_Rate_Stresses_Setup!$C$6:$BC$47,Interest_Rate_Stresses_Setup!$A43,FALSE)</f>
        <v>8.2569999999999991E-2</v>
      </c>
      <c r="BJ39" s="12">
        <f>HLOOKUP(BJ$2,Interest_Rate_Stresses_Setup!$C$6:$BC$47,Interest_Rate_Stresses_Setup!$A43,FALSE)</f>
        <v>5.1820000000000005E-2</v>
      </c>
      <c r="BK39" s="12">
        <f>HLOOKUP(BK$2,Interest_Rate_Stresses_Setup!$C$6:$BC$47,Interest_Rate_Stresses_Setup!$A43,FALSE)</f>
        <v>4.1500000000000002E-2</v>
      </c>
      <c r="BL39" s="12">
        <f>HLOOKUP(BL$2,Interest_Rate_Stresses_Setup!$C$6:$BC$47,Interest_Rate_Stresses_Setup!$A43,FALSE)</f>
        <v>8.2239999999999994E-2</v>
      </c>
      <c r="BM39" s="12">
        <f>HLOOKUP(BM$2,Interest_Rate_Stresses_Setup!$C$6:$BC$47,Interest_Rate_Stresses_Setup!$A43,FALSE)</f>
        <v>3.5400000000000001E-2</v>
      </c>
      <c r="BN39" s="12">
        <f>HLOOKUP(BN$2,Interest_Rate_Stresses_Setup!$C$6:$BC$47,Interest_Rate_Stresses_Setup!$A43,FALSE)</f>
        <v>3.7789999999999997E-2</v>
      </c>
      <c r="BO39" s="12">
        <f>HLOOKUP(BO$2,Interest_Rate_Stresses_Setup!$C$6:$BC$47,Interest_Rate_Stresses_Setup!$A43,FALSE)</f>
        <v>4.4290000000000003E-2</v>
      </c>
      <c r="BP39" s="12">
        <f>HLOOKUP(BP$2,Interest_Rate_Stresses_Setup!$C$6:$BC$47,Interest_Rate_Stresses_Setup!$A43,FALSE)</f>
        <v>8.616E-2</v>
      </c>
      <c r="BQ39" s="12">
        <f>HLOOKUP(BQ$2,Interest_Rate_Stresses_Setup!$C$6:$BC$47,Interest_Rate_Stresses_Setup!$A43,FALSE)</f>
        <v>3.5340000000000003E-2</v>
      </c>
      <c r="BR39" s="127">
        <f t="shared" si="1"/>
        <v>2.206E-2</v>
      </c>
      <c r="BS39" s="16">
        <v>36</v>
      </c>
      <c r="BT39" s="12">
        <f>HLOOKUP(BT$2,Interest_Rate_Stresses_Setup!$C$50:$BC$91,Interest_Rate_Stresses_Setup!$A87,FALSE)</f>
        <v>1.5598699999999998E-2</v>
      </c>
      <c r="BU39" s="12">
        <f>HLOOKUP(BU$2,Interest_Rate_Stresses_Setup!$C$50:$BC$91,Interest_Rate_Stresses_Setup!$A87,FALSE)</f>
        <v>1.53431E-2</v>
      </c>
      <c r="BV39" s="12">
        <f>HLOOKUP(BV$2,Interest_Rate_Stresses_Setup!$C$50:$BC$91,Interest_Rate_Stresses_Setup!$A87,FALSE)</f>
        <v>2.6071199999999999E-2</v>
      </c>
      <c r="BW39" s="12">
        <f>HLOOKUP(BW$2,Interest_Rate_Stresses_Setup!$C$50:$BC$91,Interest_Rate_Stresses_Setup!$A87,FALSE)</f>
        <v>1.8310899999999998E-2</v>
      </c>
      <c r="BX39" s="12">
        <f>HLOOKUP(BX$2,Interest_Rate_Stresses_Setup!$C$50:$BC$91,Interest_Rate_Stresses_Setup!$A87,FALSE)</f>
        <v>1.5548999999999999E-2</v>
      </c>
      <c r="BY39" s="12">
        <f>HLOOKUP(BY$2,Interest_Rate_Stresses_Setup!$C$50:$BC$91,Interest_Rate_Stresses_Setup!$A87,FALSE)</f>
        <v>3.0856599999999998E-2</v>
      </c>
      <c r="BZ39" s="12">
        <f>HLOOKUP(BZ$2,Interest_Rate_Stresses_Setup!$C$50:$BC$91,Interest_Rate_Stresses_Setup!$A87,FALSE)</f>
        <v>3.1964199999999998E-2</v>
      </c>
      <c r="CA39" s="12">
        <f>HLOOKUP(CA$2,Interest_Rate_Stresses_Setup!$C$50:$BC$91,Interest_Rate_Stresses_Setup!$A87,FALSE)</f>
        <v>7.1141999999999993E-3</v>
      </c>
      <c r="CB39" s="12">
        <f>HLOOKUP(CB$2,Interest_Rate_Stresses_Setup!$C$50:$BC$91,Interest_Rate_Stresses_Setup!$A87,FALSE)</f>
        <v>2.2215899999999997E-2</v>
      </c>
      <c r="CC39" s="12">
        <f>HLOOKUP(CC$2,Interest_Rate_Stresses_Setup!$C$50:$BC$91,Interest_Rate_Stresses_Setup!$A87,FALSE)</f>
        <v>2.8825999999999997E-2</v>
      </c>
      <c r="CD39" s="12">
        <f>HLOOKUP(CD$2,Interest_Rate_Stresses_Setup!$C$50:$BC$91,Interest_Rate_Stresses_Setup!$A87,FALSE)</f>
        <v>3.1119299999999999E-2</v>
      </c>
      <c r="CE39" s="12">
        <f>HLOOKUP(CE$2,Interest_Rate_Stresses_Setup!$C$50:$BC$91,Interest_Rate_Stresses_Setup!$A87,FALSE)</f>
        <v>4.1272299999999998E-2</v>
      </c>
      <c r="CF39" s="12">
        <f>HLOOKUP(CF$2,Interest_Rate_Stresses_Setup!$C$50:$BC$91,Interest_Rate_Stresses_Setup!$A87,FALSE)</f>
        <v>2.28194E-2</v>
      </c>
      <c r="CG39" s="12">
        <f>HLOOKUP(CG$2,Interest_Rate_Stresses_Setup!$C$50:$BC$91,Interest_Rate_Stresses_Setup!$A87,FALSE)</f>
        <v>8.5626000000000001E-3</v>
      </c>
      <c r="CH39" s="12">
        <f>HLOOKUP(CH$2,Interest_Rate_Stresses_Setup!$C$50:$BC$91,Interest_Rate_Stresses_Setup!$A87,FALSE)</f>
        <v>2.38915E-2</v>
      </c>
      <c r="CI39" s="12">
        <f>HLOOKUP(CI$2,Interest_Rate_Stresses_Setup!$C$50:$BC$91,Interest_Rate_Stresses_Setup!$A87,FALSE)</f>
        <v>5.2376699999999998E-2</v>
      </c>
      <c r="CJ39" s="12">
        <f>HLOOKUP(CJ$2,Interest_Rate_Stresses_Setup!$C$50:$BC$91,Interest_Rate_Stresses_Setup!$A87,FALSE)</f>
        <v>1.6898E-2</v>
      </c>
      <c r="CK39" s="12">
        <f>HLOOKUP(CK$2,Interest_Rate_Stresses_Setup!$C$50:$BC$91,Interest_Rate_Stresses_Setup!$A87,FALSE)</f>
        <v>3.0224699999999997E-2</v>
      </c>
      <c r="CL39" s="12">
        <f>HLOOKUP(CL$2,Interest_Rate_Stresses_Setup!$C$50:$BC$91,Interest_Rate_Stresses_Setup!$A87,FALSE)</f>
        <v>3.1211599999999999E-2</v>
      </c>
      <c r="CM39" s="12">
        <f>HLOOKUP(CM$2,Interest_Rate_Stresses_Setup!$C$50:$BC$91,Interest_Rate_Stresses_Setup!$A87,FALSE)</f>
        <v>3.8595599999999994E-2</v>
      </c>
      <c r="CN39" s="12">
        <f>HLOOKUP(CN$2,Interest_Rate_Stresses_Setup!$C$50:$BC$91,Interest_Rate_Stresses_Setup!$A87,FALSE)</f>
        <v>2.2549599999999996E-2</v>
      </c>
      <c r="CO39" s="12">
        <f>HLOOKUP(CO$2,Interest_Rate_Stresses_Setup!$C$50:$BC$91,Interest_Rate_Stresses_Setup!$A87,FALSE)</f>
        <v>4.4140699999999998E-2</v>
      </c>
      <c r="CP39" s="12">
        <f>HLOOKUP(CP$2,Interest_Rate_Stresses_Setup!$C$50:$BC$91,Interest_Rate_Stresses_Setup!$A87,FALSE)</f>
        <v>6.8088999999999997E-3</v>
      </c>
      <c r="CQ39" s="12">
        <f>HLOOKUP(CQ$2,Interest_Rate_Stresses_Setup!$C$50:$BC$91,Interest_Rate_Stresses_Setup!$A87,FALSE)</f>
        <v>3.08779E-2</v>
      </c>
      <c r="CR39" s="12">
        <f>HLOOKUP(CR$2,Interest_Rate_Stresses_Setup!$C$50:$BC$91,Interest_Rate_Stresses_Setup!$A87,FALSE)</f>
        <v>5.1524699999999993E-2</v>
      </c>
      <c r="CS39" s="12">
        <f>HLOOKUP(CS$2,Interest_Rate_Stresses_Setup!$C$50:$BC$91,Interest_Rate_Stresses_Setup!$A87,FALSE)</f>
        <v>2.9692200000000002E-2</v>
      </c>
      <c r="CT39" s="12">
        <f>HLOOKUP(CT$2,Interest_Rate_Stresses_Setup!$C$50:$BC$91,Interest_Rate_Stresses_Setup!$A87,FALSE)</f>
        <v>2.2364999999999999E-2</v>
      </c>
      <c r="CU39" s="12">
        <f>HLOOKUP(CU$2,Interest_Rate_Stresses_Setup!$C$50:$BC$91,Interest_Rate_Stresses_Setup!$A87,FALSE)</f>
        <v>5.12904E-2</v>
      </c>
      <c r="CV39" s="12">
        <f>HLOOKUP(CV$2,Interest_Rate_Stresses_Setup!$C$50:$BC$91,Interest_Rate_Stresses_Setup!$A87,FALSE)</f>
        <v>1.8033999999999998E-2</v>
      </c>
      <c r="CW39" s="12">
        <f>HLOOKUP(CW$2,Interest_Rate_Stresses_Setup!$C$50:$BC$91,Interest_Rate_Stresses_Setup!$A87,FALSE)</f>
        <v>1.9730899999999999E-2</v>
      </c>
      <c r="CX39" s="12">
        <f>HLOOKUP(CX$2,Interest_Rate_Stresses_Setup!$C$50:$BC$91,Interest_Rate_Stresses_Setup!$A87,FALSE)</f>
        <v>2.43459E-2</v>
      </c>
      <c r="CY39" s="12">
        <f>HLOOKUP(CY$2,Interest_Rate_Stresses_Setup!$C$50:$BC$91,Interest_Rate_Stresses_Setup!$A87,FALSE)</f>
        <v>5.4073599999999999E-2</v>
      </c>
      <c r="CZ39" s="12">
        <f>HLOOKUP(CZ$2,Interest_Rate_Stresses_Setup!$C$50:$BC$91,Interest_Rate_Stresses_Setup!$A87,FALSE)</f>
        <v>1.7991400000000001E-2</v>
      </c>
      <c r="DA39" s="127">
        <f t="shared" si="2"/>
        <v>8.5626000000000001E-3</v>
      </c>
    </row>
    <row r="40" spans="1:105" x14ac:dyDescent="0.25">
      <c r="A40" s="11">
        <v>37</v>
      </c>
      <c r="B40" s="12">
        <f>HLOOKUP(B$2,EIOPA_Spot_Rates,EIOPA_RFR!$A49,FALSE)</f>
        <v>2.2440000000000002E-2</v>
      </c>
      <c r="C40" s="12">
        <f>HLOOKUP(C$2,EIOPA_Spot_Rates,EIOPA_RFR!$A49,FALSE)</f>
        <v>2.2100000000000002E-2</v>
      </c>
      <c r="D40" s="12">
        <f>HLOOKUP(D$2,EIOPA_Spot_Rates,EIOPA_RFR!$A49,FALSE)</f>
        <v>3.6839999999999998E-2</v>
      </c>
      <c r="E40" s="12">
        <f>HLOOKUP(E$2,EIOPA_Spot_Rates,EIOPA_RFR!$A49,FALSE)</f>
        <v>2.6190000000000001E-2</v>
      </c>
      <c r="F40" s="12">
        <f>HLOOKUP(F$2,EIOPA_Spot_Rates,EIOPA_RFR!$A49,FALSE)</f>
        <v>2.2380000000000001E-2</v>
      </c>
      <c r="G40" s="12">
        <f>HLOOKUP(G$2,EIOPA_Spot_Rates,EIOPA_RFR!$A49,FALSE)</f>
        <v>4.3459999999999999E-2</v>
      </c>
      <c r="H40" s="12">
        <f>HLOOKUP(H$2,EIOPA_Spot_Rates,EIOPA_RFR!$A49,FALSE)</f>
        <v>4.4949999999999997E-2</v>
      </c>
      <c r="I40" s="12">
        <f>HLOOKUP(I$2,EIOPA_Spot_Rates,EIOPA_RFR!$A49,FALSE)</f>
        <v>1.0500000000000001E-2</v>
      </c>
      <c r="J40" s="12">
        <f>HLOOKUP(J$2,EIOPA_Spot_Rates,EIOPA_RFR!$A49,FALSE)</f>
        <v>3.1550000000000002E-2</v>
      </c>
      <c r="K40" s="12">
        <f>HLOOKUP(K$2,EIOPA_Spot_Rates,EIOPA_RFR!$A49,FALSE)</f>
        <v>4.0649999999999999E-2</v>
      </c>
      <c r="L40" s="12">
        <f>HLOOKUP(L$2,EIOPA_Spot_Rates,EIOPA_RFR!$A49,FALSE)</f>
        <v>4.3799999999999999E-2</v>
      </c>
      <c r="M40" s="12">
        <f>HLOOKUP(M$2,EIOPA_Spot_Rates,EIOPA_RFR!$A49,FALSE)</f>
        <v>5.7729999999999997E-2</v>
      </c>
      <c r="N40" s="12">
        <f>HLOOKUP(N$2,EIOPA_Spot_Rates,EIOPA_RFR!$A49,FALSE)</f>
        <v>3.2399999999999998E-2</v>
      </c>
      <c r="O40" s="12">
        <f>HLOOKUP(O$2,EIOPA_Spot_Rates,EIOPA_RFR!$A49,FALSE)</f>
        <v>1.1900000000000001E-2</v>
      </c>
      <c r="P40" s="12">
        <f>HLOOKUP(P$2,EIOPA_Spot_Rates,EIOPA_RFR!$A49,FALSE)</f>
        <v>3.3770000000000001E-2</v>
      </c>
      <c r="Q40" s="12">
        <f>HLOOKUP(Q$2,EIOPA_Spot_Rates,EIOPA_RFR!$A49,FALSE)</f>
        <v>7.3230000000000003E-2</v>
      </c>
      <c r="R40" s="12">
        <f>HLOOKUP(R$2,EIOPA_Spot_Rates,EIOPA_RFR!$A49,FALSE)</f>
        <v>2.4109999999999999E-2</v>
      </c>
      <c r="S40" s="12">
        <f>HLOOKUP(S$2,EIOPA_Spot_Rates,EIOPA_RFR!$A49,FALSE)</f>
        <v>4.2569999999999997E-2</v>
      </c>
      <c r="T40" s="12">
        <f>HLOOKUP(T$2,EIOPA_Spot_Rates,EIOPA_RFR!$A49,FALSE)</f>
        <v>4.3929999999999997E-2</v>
      </c>
      <c r="U40" s="12">
        <f>HLOOKUP(U$2,EIOPA_Spot_Rates,EIOPA_RFR!$A49,FALSE)</f>
        <v>5.4059999999999997E-2</v>
      </c>
      <c r="V40" s="12">
        <f>HLOOKUP(V$2,EIOPA_Spot_Rates,EIOPA_RFR!$A49,FALSE)</f>
        <v>3.2009999999999997E-2</v>
      </c>
      <c r="W40" s="12">
        <f>HLOOKUP(W$2,EIOPA_Spot_Rates,EIOPA_RFR!$A49,FALSE)</f>
        <v>6.1929999999999999E-2</v>
      </c>
      <c r="X40" s="12">
        <f>HLOOKUP(X$2,EIOPA_Spot_Rates,EIOPA_RFR!$A49,FALSE)</f>
        <v>9.9900000000000006E-3</v>
      </c>
      <c r="Y40" s="12">
        <f>HLOOKUP(Y$2,EIOPA_Spot_Rates,EIOPA_RFR!$A49,FALSE)</f>
        <v>4.3470000000000002E-2</v>
      </c>
      <c r="Z40" s="12">
        <f>HLOOKUP(Z$2,EIOPA_Spot_Rates,EIOPA_RFR!$A49,FALSE)</f>
        <v>7.2099999999999997E-2</v>
      </c>
      <c r="AA40" s="12">
        <f>HLOOKUP(AA$2,EIOPA_Spot_Rates,EIOPA_RFR!$A49,FALSE)</f>
        <v>4.1849999999999998E-2</v>
      </c>
      <c r="AB40" s="12">
        <f>HLOOKUP(AB$2,EIOPA_Spot_Rates,EIOPA_RFR!$A49,FALSE)</f>
        <v>3.1739999999999997E-2</v>
      </c>
      <c r="AC40" s="12">
        <f>HLOOKUP(AC$2,EIOPA_Spot_Rates,EIOPA_RFR!$A49,FALSE)</f>
        <v>7.1749999999999994E-2</v>
      </c>
      <c r="AD40" s="12">
        <f>HLOOKUP(AD$2,EIOPA_Spot_Rates,EIOPA_RFR!$A49,FALSE)</f>
        <v>2.5780000000000001E-2</v>
      </c>
      <c r="AE40" s="12">
        <f>HLOOKUP(AE$2,EIOPA_Spot_Rates,EIOPA_RFR!$A49,FALSE)</f>
        <v>2.8139999999999998E-2</v>
      </c>
      <c r="AF40" s="12">
        <f>HLOOKUP(AF$2,EIOPA_Spot_Rates,EIOPA_RFR!$A49,FALSE)</f>
        <v>3.4470000000000001E-2</v>
      </c>
      <c r="AG40" s="12">
        <f>HLOOKUP(AG$2,EIOPA_Spot_Rates,EIOPA_RFR!$A49,FALSE)</f>
        <v>7.5550000000000006E-2</v>
      </c>
      <c r="AH40" s="12">
        <f>HLOOKUP(AH$2,EIOPA_Spot_Rates,EIOPA_RFR!$A49,FALSE)</f>
        <v>2.53E-2</v>
      </c>
      <c r="AI40" s="127">
        <f t="shared" si="0"/>
        <v>1.1900000000000001E-2</v>
      </c>
      <c r="AJ40" s="16">
        <v>37</v>
      </c>
      <c r="AK40" s="12">
        <f>HLOOKUP(AK$2,Interest_Rate_Stresses_Setup!$C$6:$BC$47,Interest_Rate_Stresses_Setup!$A44,FALSE)</f>
        <v>3.2440000000000004E-2</v>
      </c>
      <c r="AL40" s="12">
        <f>HLOOKUP(AL$2,Interest_Rate_Stresses_Setup!$C$6:$BC$47,Interest_Rate_Stresses_Setup!$A44,FALSE)</f>
        <v>3.2100000000000004E-2</v>
      </c>
      <c r="AM40" s="12">
        <f>HLOOKUP(AM$2,Interest_Rate_Stresses_Setup!$C$6:$BC$47,Interest_Rate_Stresses_Setup!$A44,FALSE)</f>
        <v>4.684E-2</v>
      </c>
      <c r="AN40" s="12">
        <f>HLOOKUP(AN$2,Interest_Rate_Stresses_Setup!$C$6:$BC$47,Interest_Rate_Stresses_Setup!$A44,FALSE)</f>
        <v>3.619E-2</v>
      </c>
      <c r="AO40" s="12">
        <f>HLOOKUP(AO$2,Interest_Rate_Stresses_Setup!$C$6:$BC$47,Interest_Rate_Stresses_Setup!$A44,FALSE)</f>
        <v>3.2379999999999999E-2</v>
      </c>
      <c r="AP40" s="12">
        <f>HLOOKUP(AP$2,Interest_Rate_Stresses_Setup!$C$6:$BC$47,Interest_Rate_Stresses_Setup!$A44,FALSE)</f>
        <v>5.3460000000000001E-2</v>
      </c>
      <c r="AQ40" s="12">
        <f>HLOOKUP(AQ$2,Interest_Rate_Stresses_Setup!$C$6:$BC$47,Interest_Rate_Stresses_Setup!$A44,FALSE)</f>
        <v>5.4949999999999999E-2</v>
      </c>
      <c r="AR40" s="12">
        <f>HLOOKUP(AR$2,Interest_Rate_Stresses_Setup!$C$6:$BC$47,Interest_Rate_Stresses_Setup!$A44,FALSE)</f>
        <v>2.0500000000000001E-2</v>
      </c>
      <c r="AS40" s="12">
        <f>HLOOKUP(AS$2,Interest_Rate_Stresses_Setup!$C$6:$BC$47,Interest_Rate_Stresses_Setup!$A44,FALSE)</f>
        <v>4.1550000000000004E-2</v>
      </c>
      <c r="AT40" s="12">
        <f>HLOOKUP(AT$2,Interest_Rate_Stresses_Setup!$C$6:$BC$47,Interest_Rate_Stresses_Setup!$A44,FALSE)</f>
        <v>5.0650000000000001E-2</v>
      </c>
      <c r="AU40" s="12">
        <f>HLOOKUP(AU$2,Interest_Rate_Stresses_Setup!$C$6:$BC$47,Interest_Rate_Stresses_Setup!$A44,FALSE)</f>
        <v>5.3800000000000001E-2</v>
      </c>
      <c r="AV40" s="12">
        <f>HLOOKUP(AV$2,Interest_Rate_Stresses_Setup!$C$6:$BC$47,Interest_Rate_Stresses_Setup!$A44,FALSE)</f>
        <v>6.7729999999999999E-2</v>
      </c>
      <c r="AW40" s="12">
        <f>HLOOKUP(AW$2,Interest_Rate_Stresses_Setup!$C$6:$BC$47,Interest_Rate_Stresses_Setup!$A44,FALSE)</f>
        <v>4.24E-2</v>
      </c>
      <c r="AX40" s="12">
        <f>HLOOKUP(AX$2,Interest_Rate_Stresses_Setup!$C$6:$BC$47,Interest_Rate_Stresses_Setup!$A44,FALSE)</f>
        <v>2.1900000000000003E-2</v>
      </c>
      <c r="AY40" s="12">
        <f>HLOOKUP(AY$2,Interest_Rate_Stresses_Setup!$C$6:$BC$47,Interest_Rate_Stresses_Setup!$A44,FALSE)</f>
        <v>4.3770000000000003E-2</v>
      </c>
      <c r="AZ40" s="12">
        <f>HLOOKUP(AZ$2,Interest_Rate_Stresses_Setup!$C$6:$BC$47,Interest_Rate_Stresses_Setup!$A44,FALSE)</f>
        <v>8.3229999999999998E-2</v>
      </c>
      <c r="BA40" s="12">
        <f>HLOOKUP(BA$2,Interest_Rate_Stresses_Setup!$C$6:$BC$47,Interest_Rate_Stresses_Setup!$A44,FALSE)</f>
        <v>3.4110000000000001E-2</v>
      </c>
      <c r="BB40" s="12">
        <f>HLOOKUP(BB$2,Interest_Rate_Stresses_Setup!$C$6:$BC$47,Interest_Rate_Stresses_Setup!$A44,FALSE)</f>
        <v>5.2569999999999999E-2</v>
      </c>
      <c r="BC40" s="12">
        <f>HLOOKUP(BC$2,Interest_Rate_Stresses_Setup!$C$6:$BC$47,Interest_Rate_Stresses_Setup!$A44,FALSE)</f>
        <v>5.3929999999999999E-2</v>
      </c>
      <c r="BD40" s="12">
        <f>HLOOKUP(BD$2,Interest_Rate_Stresses_Setup!$C$6:$BC$47,Interest_Rate_Stresses_Setup!$A44,FALSE)</f>
        <v>6.4059999999999992E-2</v>
      </c>
      <c r="BE40" s="12">
        <f>HLOOKUP(BE$2,Interest_Rate_Stresses_Setup!$C$6:$BC$47,Interest_Rate_Stresses_Setup!$A44,FALSE)</f>
        <v>4.2009999999999999E-2</v>
      </c>
      <c r="BF40" s="12">
        <f>HLOOKUP(BF$2,Interest_Rate_Stresses_Setup!$C$6:$BC$47,Interest_Rate_Stresses_Setup!$A44,FALSE)</f>
        <v>7.1929999999999994E-2</v>
      </c>
      <c r="BG40" s="12">
        <f>HLOOKUP(BG$2,Interest_Rate_Stresses_Setup!$C$6:$BC$47,Interest_Rate_Stresses_Setup!$A44,FALSE)</f>
        <v>1.9990000000000001E-2</v>
      </c>
      <c r="BH40" s="12">
        <f>HLOOKUP(BH$2,Interest_Rate_Stresses_Setup!$C$6:$BC$47,Interest_Rate_Stresses_Setup!$A44,FALSE)</f>
        <v>5.3470000000000004E-2</v>
      </c>
      <c r="BI40" s="12">
        <f>HLOOKUP(BI$2,Interest_Rate_Stresses_Setup!$C$6:$BC$47,Interest_Rate_Stresses_Setup!$A44,FALSE)</f>
        <v>8.2099999999999992E-2</v>
      </c>
      <c r="BJ40" s="12">
        <f>HLOOKUP(BJ$2,Interest_Rate_Stresses_Setup!$C$6:$BC$47,Interest_Rate_Stresses_Setup!$A44,FALSE)</f>
        <v>5.185E-2</v>
      </c>
      <c r="BK40" s="12">
        <f>HLOOKUP(BK$2,Interest_Rate_Stresses_Setup!$C$6:$BC$47,Interest_Rate_Stresses_Setup!$A44,FALSE)</f>
        <v>4.1739999999999999E-2</v>
      </c>
      <c r="BL40" s="12">
        <f>HLOOKUP(BL$2,Interest_Rate_Stresses_Setup!$C$6:$BC$47,Interest_Rate_Stresses_Setup!$A44,FALSE)</f>
        <v>8.1749999999999989E-2</v>
      </c>
      <c r="BM40" s="12">
        <f>HLOOKUP(BM$2,Interest_Rate_Stresses_Setup!$C$6:$BC$47,Interest_Rate_Stresses_Setup!$A44,FALSE)</f>
        <v>3.5779999999999999E-2</v>
      </c>
      <c r="BN40" s="12">
        <f>HLOOKUP(BN$2,Interest_Rate_Stresses_Setup!$C$6:$BC$47,Interest_Rate_Stresses_Setup!$A44,FALSE)</f>
        <v>3.814E-2</v>
      </c>
      <c r="BO40" s="12">
        <f>HLOOKUP(BO$2,Interest_Rate_Stresses_Setup!$C$6:$BC$47,Interest_Rate_Stresses_Setup!$A44,FALSE)</f>
        <v>4.4470000000000003E-2</v>
      </c>
      <c r="BP40" s="12">
        <f>HLOOKUP(BP$2,Interest_Rate_Stresses_Setup!$C$6:$BC$47,Interest_Rate_Stresses_Setup!$A44,FALSE)</f>
        <v>8.5550000000000001E-2</v>
      </c>
      <c r="BQ40" s="12">
        <f>HLOOKUP(BQ$2,Interest_Rate_Stresses_Setup!$C$6:$BC$47,Interest_Rate_Stresses_Setup!$A44,FALSE)</f>
        <v>3.5299999999999998E-2</v>
      </c>
      <c r="BR40" s="127">
        <f t="shared" si="1"/>
        <v>2.1900000000000003E-2</v>
      </c>
      <c r="BS40" s="16">
        <v>37</v>
      </c>
      <c r="BT40" s="12">
        <f>HLOOKUP(BT$2,Interest_Rate_Stresses_Setup!$C$50:$BC$91,Interest_Rate_Stresses_Setup!$A88,FALSE)</f>
        <v>1.5932399999999999E-2</v>
      </c>
      <c r="BU40" s="12">
        <f>HLOOKUP(BU$2,Interest_Rate_Stresses_Setup!$C$50:$BC$91,Interest_Rate_Stresses_Setup!$A88,FALSE)</f>
        <v>1.5691E-2</v>
      </c>
      <c r="BV40" s="12">
        <f>HLOOKUP(BV$2,Interest_Rate_Stresses_Setup!$C$50:$BC$91,Interest_Rate_Stresses_Setup!$A88,FALSE)</f>
        <v>2.6156399999999996E-2</v>
      </c>
      <c r="BW40" s="12">
        <f>HLOOKUP(BW$2,Interest_Rate_Stresses_Setup!$C$50:$BC$91,Interest_Rate_Stresses_Setup!$A88,FALSE)</f>
        <v>1.8594900000000001E-2</v>
      </c>
      <c r="BX40" s="12">
        <f>HLOOKUP(BX$2,Interest_Rate_Stresses_Setup!$C$50:$BC$91,Interest_Rate_Stresses_Setup!$A88,FALSE)</f>
        <v>1.5889799999999999E-2</v>
      </c>
      <c r="BY40" s="12">
        <f>HLOOKUP(BY$2,Interest_Rate_Stresses_Setup!$C$50:$BC$91,Interest_Rate_Stresses_Setup!$A88,FALSE)</f>
        <v>3.0856599999999998E-2</v>
      </c>
      <c r="BZ40" s="12">
        <f>HLOOKUP(BZ$2,Interest_Rate_Stresses_Setup!$C$50:$BC$91,Interest_Rate_Stresses_Setup!$A88,FALSE)</f>
        <v>3.1914499999999998E-2</v>
      </c>
      <c r="CA40" s="12">
        <f>HLOOKUP(CA$2,Interest_Rate_Stresses_Setup!$C$50:$BC$91,Interest_Rate_Stresses_Setup!$A88,FALSE)</f>
        <v>7.4549999999999998E-3</v>
      </c>
      <c r="CB40" s="12">
        <f>HLOOKUP(CB$2,Interest_Rate_Stresses_Setup!$C$50:$BC$91,Interest_Rate_Stresses_Setup!$A88,FALSE)</f>
        <v>2.24005E-2</v>
      </c>
      <c r="CC40" s="12">
        <f>HLOOKUP(CC$2,Interest_Rate_Stresses_Setup!$C$50:$BC$91,Interest_Rate_Stresses_Setup!$A88,FALSE)</f>
        <v>2.8861499999999998E-2</v>
      </c>
      <c r="CD40" s="12">
        <f>HLOOKUP(CD$2,Interest_Rate_Stresses_Setup!$C$50:$BC$91,Interest_Rate_Stresses_Setup!$A88,FALSE)</f>
        <v>3.1097999999999997E-2</v>
      </c>
      <c r="CE40" s="12">
        <f>HLOOKUP(CE$2,Interest_Rate_Stresses_Setup!$C$50:$BC$91,Interest_Rate_Stresses_Setup!$A88,FALSE)</f>
        <v>4.0988299999999998E-2</v>
      </c>
      <c r="CF40" s="12">
        <f>HLOOKUP(CF$2,Interest_Rate_Stresses_Setup!$C$50:$BC$91,Interest_Rate_Stresses_Setup!$A88,FALSE)</f>
        <v>2.3003999999999997E-2</v>
      </c>
      <c r="CG40" s="12">
        <f>HLOOKUP(CG$2,Interest_Rate_Stresses_Setup!$C$50:$BC$91,Interest_Rate_Stresses_Setup!$A88,FALSE)</f>
        <v>8.4489999999999999E-3</v>
      </c>
      <c r="CH40" s="12">
        <f>HLOOKUP(CH$2,Interest_Rate_Stresses_Setup!$C$50:$BC$91,Interest_Rate_Stresses_Setup!$A88,FALSE)</f>
        <v>2.39767E-2</v>
      </c>
      <c r="CI40" s="12">
        <f>HLOOKUP(CI$2,Interest_Rate_Stresses_Setup!$C$50:$BC$91,Interest_Rate_Stresses_Setup!$A88,FALSE)</f>
        <v>5.1993299999999999E-2</v>
      </c>
      <c r="CJ40" s="12">
        <f>HLOOKUP(CJ$2,Interest_Rate_Stresses_Setup!$C$50:$BC$91,Interest_Rate_Stresses_Setup!$A88,FALSE)</f>
        <v>1.7118099999999997E-2</v>
      </c>
      <c r="CK40" s="12">
        <f>HLOOKUP(CK$2,Interest_Rate_Stresses_Setup!$C$50:$BC$91,Interest_Rate_Stresses_Setup!$A88,FALSE)</f>
        <v>3.0224699999999997E-2</v>
      </c>
      <c r="CL40" s="12">
        <f>HLOOKUP(CL$2,Interest_Rate_Stresses_Setup!$C$50:$BC$91,Interest_Rate_Stresses_Setup!$A88,FALSE)</f>
        <v>3.1190299999999997E-2</v>
      </c>
      <c r="CM40" s="12">
        <f>HLOOKUP(CM$2,Interest_Rate_Stresses_Setup!$C$50:$BC$91,Interest_Rate_Stresses_Setup!$A88,FALSE)</f>
        <v>3.8382599999999996E-2</v>
      </c>
      <c r="CN40" s="12">
        <f>HLOOKUP(CN$2,Interest_Rate_Stresses_Setup!$C$50:$BC$91,Interest_Rate_Stresses_Setup!$A88,FALSE)</f>
        <v>2.2727099999999997E-2</v>
      </c>
      <c r="CO40" s="12">
        <f>HLOOKUP(CO$2,Interest_Rate_Stresses_Setup!$C$50:$BC$91,Interest_Rate_Stresses_Setup!$A88,FALSE)</f>
        <v>4.3970299999999997E-2</v>
      </c>
      <c r="CP40" s="12">
        <f>HLOOKUP(CP$2,Interest_Rate_Stresses_Setup!$C$50:$BC$91,Interest_Rate_Stresses_Setup!$A88,FALSE)</f>
        <v>7.0929000000000001E-3</v>
      </c>
      <c r="CQ40" s="12">
        <f>HLOOKUP(CQ$2,Interest_Rate_Stresses_Setup!$C$50:$BC$91,Interest_Rate_Stresses_Setup!$A88,FALSE)</f>
        <v>3.0863700000000001E-2</v>
      </c>
      <c r="CR40" s="12">
        <f>HLOOKUP(CR$2,Interest_Rate_Stresses_Setup!$C$50:$BC$91,Interest_Rate_Stresses_Setup!$A88,FALSE)</f>
        <v>5.1190999999999993E-2</v>
      </c>
      <c r="CS40" s="12">
        <f>HLOOKUP(CS$2,Interest_Rate_Stresses_Setup!$C$50:$BC$91,Interest_Rate_Stresses_Setup!$A88,FALSE)</f>
        <v>2.9713499999999997E-2</v>
      </c>
      <c r="CT40" s="12">
        <f>HLOOKUP(CT$2,Interest_Rate_Stresses_Setup!$C$50:$BC$91,Interest_Rate_Stresses_Setup!$A88,FALSE)</f>
        <v>2.2535399999999997E-2</v>
      </c>
      <c r="CU40" s="12">
        <f>HLOOKUP(CU$2,Interest_Rate_Stresses_Setup!$C$50:$BC$91,Interest_Rate_Stresses_Setup!$A88,FALSE)</f>
        <v>5.0942499999999995E-2</v>
      </c>
      <c r="CV40" s="12">
        <f>HLOOKUP(CV$2,Interest_Rate_Stresses_Setup!$C$50:$BC$91,Interest_Rate_Stresses_Setup!$A88,FALSE)</f>
        <v>1.8303799999999999E-2</v>
      </c>
      <c r="CW40" s="12">
        <f>HLOOKUP(CW$2,Interest_Rate_Stresses_Setup!$C$50:$BC$91,Interest_Rate_Stresses_Setup!$A88,FALSE)</f>
        <v>1.9979399999999998E-2</v>
      </c>
      <c r="CX40" s="12">
        <f>HLOOKUP(CX$2,Interest_Rate_Stresses_Setup!$C$50:$BC$91,Interest_Rate_Stresses_Setup!$A88,FALSE)</f>
        <v>2.4473699999999998E-2</v>
      </c>
      <c r="CY40" s="12">
        <f>HLOOKUP(CY$2,Interest_Rate_Stresses_Setup!$C$50:$BC$91,Interest_Rate_Stresses_Setup!$A88,FALSE)</f>
        <v>5.3640500000000001E-2</v>
      </c>
      <c r="CZ40" s="12">
        <f>HLOOKUP(CZ$2,Interest_Rate_Stresses_Setup!$C$50:$BC$91,Interest_Rate_Stresses_Setup!$A88,FALSE)</f>
        <v>1.7963E-2</v>
      </c>
      <c r="DA40" s="127">
        <f t="shared" si="2"/>
        <v>8.4489999999999999E-3</v>
      </c>
    </row>
    <row r="41" spans="1:105" x14ac:dyDescent="0.25">
      <c r="A41" s="11">
        <v>38</v>
      </c>
      <c r="B41" s="12">
        <f>HLOOKUP(B$2,EIOPA_Spot_Rates,EIOPA_RFR!$A50,FALSE)</f>
        <v>2.291E-2</v>
      </c>
      <c r="C41" s="12">
        <f>HLOOKUP(C$2,EIOPA_Spot_Rates,EIOPA_RFR!$A50,FALSE)</f>
        <v>2.257E-2</v>
      </c>
      <c r="D41" s="12">
        <f>HLOOKUP(D$2,EIOPA_Spot_Rates,EIOPA_RFR!$A50,FALSE)</f>
        <v>3.696E-2</v>
      </c>
      <c r="E41" s="12">
        <f>HLOOKUP(E$2,EIOPA_Spot_Rates,EIOPA_RFR!$A50,FALSE)</f>
        <v>2.656E-2</v>
      </c>
      <c r="F41" s="12">
        <f>HLOOKUP(F$2,EIOPA_Spot_Rates,EIOPA_RFR!$A50,FALSE)</f>
        <v>2.2839999999999999E-2</v>
      </c>
      <c r="G41" s="12">
        <f>HLOOKUP(G$2,EIOPA_Spot_Rates,EIOPA_RFR!$A50,FALSE)</f>
        <v>4.3450000000000003E-2</v>
      </c>
      <c r="H41" s="12">
        <f>HLOOKUP(H$2,EIOPA_Spot_Rates,EIOPA_RFR!$A50,FALSE)</f>
        <v>4.4889999999999999E-2</v>
      </c>
      <c r="I41" s="12">
        <f>HLOOKUP(I$2,EIOPA_Spot_Rates,EIOPA_RFR!$A50,FALSE)</f>
        <v>1.0970000000000001E-2</v>
      </c>
      <c r="J41" s="12">
        <f>HLOOKUP(J$2,EIOPA_Spot_Rates,EIOPA_RFR!$A50,FALSE)</f>
        <v>3.1800000000000002E-2</v>
      </c>
      <c r="K41" s="12">
        <f>HLOOKUP(K$2,EIOPA_Spot_Rates,EIOPA_RFR!$A50,FALSE)</f>
        <v>4.07E-2</v>
      </c>
      <c r="L41" s="12">
        <f>HLOOKUP(L$2,EIOPA_Spot_Rates,EIOPA_RFR!$A50,FALSE)</f>
        <v>4.3779999999999999E-2</v>
      </c>
      <c r="M41" s="12">
        <f>HLOOKUP(M$2,EIOPA_Spot_Rates,EIOPA_RFR!$A50,FALSE)</f>
        <v>5.7349999999999998E-2</v>
      </c>
      <c r="N41" s="12">
        <f>HLOOKUP(N$2,EIOPA_Spot_Rates,EIOPA_RFR!$A50,FALSE)</f>
        <v>3.2649999999999998E-2</v>
      </c>
      <c r="O41" s="12">
        <f>HLOOKUP(O$2,EIOPA_Spot_Rates,EIOPA_RFR!$A50,FALSE)</f>
        <v>1.174E-2</v>
      </c>
      <c r="P41" s="12">
        <f>HLOOKUP(P$2,EIOPA_Spot_Rates,EIOPA_RFR!$A50,FALSE)</f>
        <v>3.3890000000000003E-2</v>
      </c>
      <c r="Q41" s="12">
        <f>HLOOKUP(Q$2,EIOPA_Spot_Rates,EIOPA_RFR!$A50,FALSE)</f>
        <v>7.2720000000000007E-2</v>
      </c>
      <c r="R41" s="12">
        <f>HLOOKUP(R$2,EIOPA_Spot_Rates,EIOPA_RFR!$A50,FALSE)</f>
        <v>2.443E-2</v>
      </c>
      <c r="S41" s="12">
        <f>HLOOKUP(S$2,EIOPA_Spot_Rates,EIOPA_RFR!$A50,FALSE)</f>
        <v>4.2569999999999997E-2</v>
      </c>
      <c r="T41" s="12">
        <f>HLOOKUP(T$2,EIOPA_Spot_Rates,EIOPA_RFR!$A50,FALSE)</f>
        <v>4.3889999999999998E-2</v>
      </c>
      <c r="U41" s="12">
        <f>HLOOKUP(U$2,EIOPA_Spot_Rates,EIOPA_RFR!$A50,FALSE)</f>
        <v>5.3780000000000001E-2</v>
      </c>
      <c r="V41" s="12">
        <f>HLOOKUP(V$2,EIOPA_Spot_Rates,EIOPA_RFR!$A50,FALSE)</f>
        <v>3.2239999999999998E-2</v>
      </c>
      <c r="W41" s="12">
        <f>HLOOKUP(W$2,EIOPA_Spot_Rates,EIOPA_RFR!$A50,FALSE)</f>
        <v>6.1699999999999998E-2</v>
      </c>
      <c r="X41" s="12">
        <f>HLOOKUP(X$2,EIOPA_Spot_Rates,EIOPA_RFR!$A50,FALSE)</f>
        <v>1.04E-2</v>
      </c>
      <c r="Y41" s="12">
        <f>HLOOKUP(Y$2,EIOPA_Spot_Rates,EIOPA_RFR!$A50,FALSE)</f>
        <v>4.3450000000000003E-2</v>
      </c>
      <c r="Z41" s="12">
        <f>HLOOKUP(Z$2,EIOPA_Spot_Rates,EIOPA_RFR!$A50,FALSE)</f>
        <v>7.1629999999999999E-2</v>
      </c>
      <c r="AA41" s="12">
        <f>HLOOKUP(AA$2,EIOPA_Spot_Rates,EIOPA_RFR!$A50,FALSE)</f>
        <v>4.1880000000000001E-2</v>
      </c>
      <c r="AB41" s="12">
        <f>HLOOKUP(AB$2,EIOPA_Spot_Rates,EIOPA_RFR!$A50,FALSE)</f>
        <v>3.1969999999999998E-2</v>
      </c>
      <c r="AC41" s="12">
        <f>HLOOKUP(AC$2,EIOPA_Spot_Rates,EIOPA_RFR!$A50,FALSE)</f>
        <v>7.1279999999999996E-2</v>
      </c>
      <c r="AD41" s="12">
        <f>HLOOKUP(AD$2,EIOPA_Spot_Rates,EIOPA_RFR!$A50,FALSE)</f>
        <v>2.6159999999999999E-2</v>
      </c>
      <c r="AE41" s="12">
        <f>HLOOKUP(AE$2,EIOPA_Spot_Rates,EIOPA_RFR!$A50,FALSE)</f>
        <v>2.8469999999999999E-2</v>
      </c>
      <c r="AF41" s="12">
        <f>HLOOKUP(AF$2,EIOPA_Spot_Rates,EIOPA_RFR!$A50,FALSE)</f>
        <v>3.465E-2</v>
      </c>
      <c r="AG41" s="12">
        <f>HLOOKUP(AG$2,EIOPA_Spot_Rates,EIOPA_RFR!$A50,FALSE)</f>
        <v>7.4969999999999995E-2</v>
      </c>
      <c r="AH41" s="12">
        <f>HLOOKUP(AH$2,EIOPA_Spot_Rates,EIOPA_RFR!$A50,FALSE)</f>
        <v>2.5250000000000002E-2</v>
      </c>
      <c r="AI41" s="127">
        <f t="shared" si="0"/>
        <v>1.174E-2</v>
      </c>
      <c r="AJ41" s="16">
        <v>38</v>
      </c>
      <c r="AK41" s="12">
        <f>HLOOKUP(AK$2,Interest_Rate_Stresses_Setup!$C$6:$BC$47,Interest_Rate_Stresses_Setup!$A45,FALSE)</f>
        <v>3.2910000000000002E-2</v>
      </c>
      <c r="AL41" s="12">
        <f>HLOOKUP(AL$2,Interest_Rate_Stresses_Setup!$C$6:$BC$47,Interest_Rate_Stresses_Setup!$A45,FALSE)</f>
        <v>3.2570000000000002E-2</v>
      </c>
      <c r="AM41" s="12">
        <f>HLOOKUP(AM$2,Interest_Rate_Stresses_Setup!$C$6:$BC$47,Interest_Rate_Stresses_Setup!$A45,FALSE)</f>
        <v>4.6960000000000002E-2</v>
      </c>
      <c r="AN41" s="12">
        <f>HLOOKUP(AN$2,Interest_Rate_Stresses_Setup!$C$6:$BC$47,Interest_Rate_Stresses_Setup!$A45,FALSE)</f>
        <v>3.6560000000000002E-2</v>
      </c>
      <c r="AO41" s="12">
        <f>HLOOKUP(AO$2,Interest_Rate_Stresses_Setup!$C$6:$BC$47,Interest_Rate_Stresses_Setup!$A45,FALSE)</f>
        <v>3.2840000000000001E-2</v>
      </c>
      <c r="AP41" s="12">
        <f>HLOOKUP(AP$2,Interest_Rate_Stresses_Setup!$C$6:$BC$47,Interest_Rate_Stresses_Setup!$A45,FALSE)</f>
        <v>5.3450000000000004E-2</v>
      </c>
      <c r="AQ41" s="12">
        <f>HLOOKUP(AQ$2,Interest_Rate_Stresses_Setup!$C$6:$BC$47,Interest_Rate_Stresses_Setup!$A45,FALSE)</f>
        <v>5.4890000000000001E-2</v>
      </c>
      <c r="AR41" s="12">
        <f>HLOOKUP(AR$2,Interest_Rate_Stresses_Setup!$C$6:$BC$47,Interest_Rate_Stresses_Setup!$A45,FALSE)</f>
        <v>2.0970000000000003E-2</v>
      </c>
      <c r="AS41" s="12">
        <f>HLOOKUP(AS$2,Interest_Rate_Stresses_Setup!$C$6:$BC$47,Interest_Rate_Stresses_Setup!$A45,FALSE)</f>
        <v>4.1800000000000004E-2</v>
      </c>
      <c r="AT41" s="12">
        <f>HLOOKUP(AT$2,Interest_Rate_Stresses_Setup!$C$6:$BC$47,Interest_Rate_Stresses_Setup!$A45,FALSE)</f>
        <v>5.0700000000000002E-2</v>
      </c>
      <c r="AU41" s="12">
        <f>HLOOKUP(AU$2,Interest_Rate_Stresses_Setup!$C$6:$BC$47,Interest_Rate_Stresses_Setup!$A45,FALSE)</f>
        <v>5.3780000000000001E-2</v>
      </c>
      <c r="AV41" s="12">
        <f>HLOOKUP(AV$2,Interest_Rate_Stresses_Setup!$C$6:$BC$47,Interest_Rate_Stresses_Setup!$A45,FALSE)</f>
        <v>6.7349999999999993E-2</v>
      </c>
      <c r="AW41" s="12">
        <f>HLOOKUP(AW$2,Interest_Rate_Stresses_Setup!$C$6:$BC$47,Interest_Rate_Stresses_Setup!$A45,FALSE)</f>
        <v>4.265E-2</v>
      </c>
      <c r="AX41" s="12">
        <f>HLOOKUP(AX$2,Interest_Rate_Stresses_Setup!$C$6:$BC$47,Interest_Rate_Stresses_Setup!$A45,FALSE)</f>
        <v>2.1740000000000002E-2</v>
      </c>
      <c r="AY41" s="12">
        <f>HLOOKUP(AY$2,Interest_Rate_Stresses_Setup!$C$6:$BC$47,Interest_Rate_Stresses_Setup!$A45,FALSE)</f>
        <v>4.3890000000000005E-2</v>
      </c>
      <c r="AZ41" s="12">
        <f>HLOOKUP(AZ$2,Interest_Rate_Stresses_Setup!$C$6:$BC$47,Interest_Rate_Stresses_Setup!$A45,FALSE)</f>
        <v>8.2720000000000002E-2</v>
      </c>
      <c r="BA41" s="12">
        <f>HLOOKUP(BA$2,Interest_Rate_Stresses_Setup!$C$6:$BC$47,Interest_Rate_Stresses_Setup!$A45,FALSE)</f>
        <v>3.4430000000000002E-2</v>
      </c>
      <c r="BB41" s="12">
        <f>HLOOKUP(BB$2,Interest_Rate_Stresses_Setup!$C$6:$BC$47,Interest_Rate_Stresses_Setup!$A45,FALSE)</f>
        <v>5.2569999999999999E-2</v>
      </c>
      <c r="BC41" s="12">
        <f>HLOOKUP(BC$2,Interest_Rate_Stresses_Setup!$C$6:$BC$47,Interest_Rate_Stresses_Setup!$A45,FALSE)</f>
        <v>5.389E-2</v>
      </c>
      <c r="BD41" s="12">
        <f>HLOOKUP(BD$2,Interest_Rate_Stresses_Setup!$C$6:$BC$47,Interest_Rate_Stresses_Setup!$A45,FALSE)</f>
        <v>6.3780000000000003E-2</v>
      </c>
      <c r="BE41" s="12">
        <f>HLOOKUP(BE$2,Interest_Rate_Stresses_Setup!$C$6:$BC$47,Interest_Rate_Stresses_Setup!$A45,FALSE)</f>
        <v>4.224E-2</v>
      </c>
      <c r="BF41" s="12">
        <f>HLOOKUP(BF$2,Interest_Rate_Stresses_Setup!$C$6:$BC$47,Interest_Rate_Stresses_Setup!$A45,FALSE)</f>
        <v>7.17E-2</v>
      </c>
      <c r="BG41" s="12">
        <f>HLOOKUP(BG$2,Interest_Rate_Stresses_Setup!$C$6:$BC$47,Interest_Rate_Stresses_Setup!$A45,FALSE)</f>
        <v>2.0400000000000001E-2</v>
      </c>
      <c r="BH41" s="12">
        <f>HLOOKUP(BH$2,Interest_Rate_Stresses_Setup!$C$6:$BC$47,Interest_Rate_Stresses_Setup!$A45,FALSE)</f>
        <v>5.3450000000000004E-2</v>
      </c>
      <c r="BI41" s="12">
        <f>HLOOKUP(BI$2,Interest_Rate_Stresses_Setup!$C$6:$BC$47,Interest_Rate_Stresses_Setup!$A45,FALSE)</f>
        <v>8.1629999999999994E-2</v>
      </c>
      <c r="BJ41" s="12">
        <f>HLOOKUP(BJ$2,Interest_Rate_Stresses_Setup!$C$6:$BC$47,Interest_Rate_Stresses_Setup!$A45,FALSE)</f>
        <v>5.1880000000000003E-2</v>
      </c>
      <c r="BK41" s="12">
        <f>HLOOKUP(BK$2,Interest_Rate_Stresses_Setup!$C$6:$BC$47,Interest_Rate_Stresses_Setup!$A45,FALSE)</f>
        <v>4.197E-2</v>
      </c>
      <c r="BL41" s="12">
        <f>HLOOKUP(BL$2,Interest_Rate_Stresses_Setup!$C$6:$BC$47,Interest_Rate_Stresses_Setup!$A45,FALSE)</f>
        <v>8.1279999999999991E-2</v>
      </c>
      <c r="BM41" s="12">
        <f>HLOOKUP(BM$2,Interest_Rate_Stresses_Setup!$C$6:$BC$47,Interest_Rate_Stresses_Setup!$A45,FALSE)</f>
        <v>3.6159999999999998E-2</v>
      </c>
      <c r="BN41" s="12">
        <f>HLOOKUP(BN$2,Interest_Rate_Stresses_Setup!$C$6:$BC$47,Interest_Rate_Stresses_Setup!$A45,FALSE)</f>
        <v>3.8469999999999997E-2</v>
      </c>
      <c r="BO41" s="12">
        <f>HLOOKUP(BO$2,Interest_Rate_Stresses_Setup!$C$6:$BC$47,Interest_Rate_Stresses_Setup!$A45,FALSE)</f>
        <v>4.4650000000000002E-2</v>
      </c>
      <c r="BP41" s="12">
        <f>HLOOKUP(BP$2,Interest_Rate_Stresses_Setup!$C$6:$BC$47,Interest_Rate_Stresses_Setup!$A45,FALSE)</f>
        <v>8.496999999999999E-2</v>
      </c>
      <c r="BQ41" s="12">
        <f>HLOOKUP(BQ$2,Interest_Rate_Stresses_Setup!$C$6:$BC$47,Interest_Rate_Stresses_Setup!$A45,FALSE)</f>
        <v>3.5250000000000004E-2</v>
      </c>
      <c r="BR41" s="127">
        <f t="shared" si="1"/>
        <v>2.1740000000000002E-2</v>
      </c>
      <c r="BS41" s="16">
        <v>38</v>
      </c>
      <c r="BT41" s="12">
        <f>HLOOKUP(BT$2,Interest_Rate_Stresses_Setup!$C$50:$BC$91,Interest_Rate_Stresses_Setup!$A89,FALSE)</f>
        <v>1.6266099999999999E-2</v>
      </c>
      <c r="BU41" s="12">
        <f>HLOOKUP(BU$2,Interest_Rate_Stresses_Setup!$C$50:$BC$91,Interest_Rate_Stresses_Setup!$A89,FALSE)</f>
        <v>1.6024699999999999E-2</v>
      </c>
      <c r="BV41" s="12">
        <f>HLOOKUP(BV$2,Interest_Rate_Stresses_Setup!$C$50:$BC$91,Interest_Rate_Stresses_Setup!$A89,FALSE)</f>
        <v>2.6241599999999997E-2</v>
      </c>
      <c r="BW41" s="12">
        <f>HLOOKUP(BW$2,Interest_Rate_Stresses_Setup!$C$50:$BC$91,Interest_Rate_Stresses_Setup!$A89,FALSE)</f>
        <v>1.8857599999999999E-2</v>
      </c>
      <c r="BX41" s="12">
        <f>HLOOKUP(BX$2,Interest_Rate_Stresses_Setup!$C$50:$BC$91,Interest_Rate_Stresses_Setup!$A89,FALSE)</f>
        <v>1.6216399999999999E-2</v>
      </c>
      <c r="BY41" s="12">
        <f>HLOOKUP(BY$2,Interest_Rate_Stresses_Setup!$C$50:$BC$91,Interest_Rate_Stresses_Setup!$A89,FALSE)</f>
        <v>3.0849500000000002E-2</v>
      </c>
      <c r="BZ41" s="12">
        <f>HLOOKUP(BZ$2,Interest_Rate_Stresses_Setup!$C$50:$BC$91,Interest_Rate_Stresses_Setup!$A89,FALSE)</f>
        <v>3.1871899999999995E-2</v>
      </c>
      <c r="CA41" s="12">
        <f>HLOOKUP(CA$2,Interest_Rate_Stresses_Setup!$C$50:$BC$91,Interest_Rate_Stresses_Setup!$A89,FALSE)</f>
        <v>7.7887E-3</v>
      </c>
      <c r="CB41" s="12">
        <f>HLOOKUP(CB$2,Interest_Rate_Stresses_Setup!$C$50:$BC$91,Interest_Rate_Stresses_Setup!$A89,FALSE)</f>
        <v>2.2578000000000001E-2</v>
      </c>
      <c r="CC41" s="12">
        <f>HLOOKUP(CC$2,Interest_Rate_Stresses_Setup!$C$50:$BC$91,Interest_Rate_Stresses_Setup!$A89,FALSE)</f>
        <v>2.8896999999999999E-2</v>
      </c>
      <c r="CD41" s="12">
        <f>HLOOKUP(CD$2,Interest_Rate_Stresses_Setup!$C$50:$BC$91,Interest_Rate_Stresses_Setup!$A89,FALSE)</f>
        <v>3.1083799999999998E-2</v>
      </c>
      <c r="CE41" s="12">
        <f>HLOOKUP(CE$2,Interest_Rate_Stresses_Setup!$C$50:$BC$91,Interest_Rate_Stresses_Setup!$A89,FALSE)</f>
        <v>4.0718499999999998E-2</v>
      </c>
      <c r="CF41" s="12">
        <f>HLOOKUP(CF$2,Interest_Rate_Stresses_Setup!$C$50:$BC$91,Interest_Rate_Stresses_Setup!$A89,FALSE)</f>
        <v>2.3181499999999997E-2</v>
      </c>
      <c r="CG41" s="12">
        <f>HLOOKUP(CG$2,Interest_Rate_Stresses_Setup!$C$50:$BC$91,Interest_Rate_Stresses_Setup!$A89,FALSE)</f>
        <v>8.3353999999999998E-3</v>
      </c>
      <c r="CH41" s="12">
        <f>HLOOKUP(CH$2,Interest_Rate_Stresses_Setup!$C$50:$BC$91,Interest_Rate_Stresses_Setup!$A89,FALSE)</f>
        <v>2.4061900000000001E-2</v>
      </c>
      <c r="CI41" s="12">
        <f>HLOOKUP(CI$2,Interest_Rate_Stresses_Setup!$C$50:$BC$91,Interest_Rate_Stresses_Setup!$A89,FALSE)</f>
        <v>5.1631200000000002E-2</v>
      </c>
      <c r="CJ41" s="12">
        <f>HLOOKUP(CJ$2,Interest_Rate_Stresses_Setup!$C$50:$BC$91,Interest_Rate_Stresses_Setup!$A89,FALSE)</f>
        <v>1.7345300000000001E-2</v>
      </c>
      <c r="CK41" s="12">
        <f>HLOOKUP(CK$2,Interest_Rate_Stresses_Setup!$C$50:$BC$91,Interest_Rate_Stresses_Setup!$A89,FALSE)</f>
        <v>3.0224699999999997E-2</v>
      </c>
      <c r="CL41" s="12">
        <f>HLOOKUP(CL$2,Interest_Rate_Stresses_Setup!$C$50:$BC$91,Interest_Rate_Stresses_Setup!$A89,FALSE)</f>
        <v>3.1161899999999996E-2</v>
      </c>
      <c r="CM41" s="12">
        <f>HLOOKUP(CM$2,Interest_Rate_Stresses_Setup!$C$50:$BC$91,Interest_Rate_Stresses_Setup!$A89,FALSE)</f>
        <v>3.8183799999999997E-2</v>
      </c>
      <c r="CN41" s="12">
        <f>HLOOKUP(CN$2,Interest_Rate_Stresses_Setup!$C$50:$BC$91,Interest_Rate_Stresses_Setup!$A89,FALSE)</f>
        <v>2.2890399999999998E-2</v>
      </c>
      <c r="CO41" s="12">
        <f>HLOOKUP(CO$2,Interest_Rate_Stresses_Setup!$C$50:$BC$91,Interest_Rate_Stresses_Setup!$A89,FALSE)</f>
        <v>4.3806999999999999E-2</v>
      </c>
      <c r="CP41" s="12">
        <f>HLOOKUP(CP$2,Interest_Rate_Stresses_Setup!$C$50:$BC$91,Interest_Rate_Stresses_Setup!$A89,FALSE)</f>
        <v>7.3839999999999991E-3</v>
      </c>
      <c r="CQ41" s="12">
        <f>HLOOKUP(CQ$2,Interest_Rate_Stresses_Setup!$C$50:$BC$91,Interest_Rate_Stresses_Setup!$A89,FALSE)</f>
        <v>3.0849500000000002E-2</v>
      </c>
      <c r="CR41" s="12">
        <f>HLOOKUP(CR$2,Interest_Rate_Stresses_Setup!$C$50:$BC$91,Interest_Rate_Stresses_Setup!$A89,FALSE)</f>
        <v>5.0857299999999994E-2</v>
      </c>
      <c r="CS41" s="12">
        <f>HLOOKUP(CS$2,Interest_Rate_Stresses_Setup!$C$50:$BC$91,Interest_Rate_Stresses_Setup!$A89,FALSE)</f>
        <v>2.9734799999999999E-2</v>
      </c>
      <c r="CT41" s="12">
        <f>HLOOKUP(CT$2,Interest_Rate_Stresses_Setup!$C$50:$BC$91,Interest_Rate_Stresses_Setup!$A89,FALSE)</f>
        <v>2.2698699999999999E-2</v>
      </c>
      <c r="CU41" s="12">
        <f>HLOOKUP(CU$2,Interest_Rate_Stresses_Setup!$C$50:$BC$91,Interest_Rate_Stresses_Setup!$A89,FALSE)</f>
        <v>5.0608799999999995E-2</v>
      </c>
      <c r="CV41" s="12">
        <f>HLOOKUP(CV$2,Interest_Rate_Stresses_Setup!$C$50:$BC$91,Interest_Rate_Stresses_Setup!$A89,FALSE)</f>
        <v>1.8573599999999999E-2</v>
      </c>
      <c r="CW41" s="12">
        <f>HLOOKUP(CW$2,Interest_Rate_Stresses_Setup!$C$50:$BC$91,Interest_Rate_Stresses_Setup!$A89,FALSE)</f>
        <v>2.0213699999999998E-2</v>
      </c>
      <c r="CX41" s="12">
        <f>HLOOKUP(CX$2,Interest_Rate_Stresses_Setup!$C$50:$BC$91,Interest_Rate_Stresses_Setup!$A89,FALSE)</f>
        <v>2.4601499999999998E-2</v>
      </c>
      <c r="CY41" s="12">
        <f>HLOOKUP(CY$2,Interest_Rate_Stresses_Setup!$C$50:$BC$91,Interest_Rate_Stresses_Setup!$A89,FALSE)</f>
        <v>5.3228699999999997E-2</v>
      </c>
      <c r="CZ41" s="12">
        <f>HLOOKUP(CZ$2,Interest_Rate_Stresses_Setup!$C$50:$BC$91,Interest_Rate_Stresses_Setup!$A89,FALSE)</f>
        <v>1.7927499999999999E-2</v>
      </c>
      <c r="DA41" s="127">
        <f t="shared" si="2"/>
        <v>8.3353999999999998E-3</v>
      </c>
    </row>
    <row r="42" spans="1:105" x14ac:dyDescent="0.25">
      <c r="A42" s="11">
        <v>39</v>
      </c>
      <c r="B42" s="12">
        <f>HLOOKUP(B$2,EIOPA_Spot_Rates,EIOPA_RFR!$A51,FALSE)</f>
        <v>2.3349999999999999E-2</v>
      </c>
      <c r="C42" s="12">
        <f>HLOOKUP(C$2,EIOPA_Spot_Rates,EIOPA_RFR!$A51,FALSE)</f>
        <v>2.3019999999999999E-2</v>
      </c>
      <c r="D42" s="12">
        <f>HLOOKUP(D$2,EIOPA_Spot_Rates,EIOPA_RFR!$A51,FALSE)</f>
        <v>3.7080000000000002E-2</v>
      </c>
      <c r="E42" s="12">
        <f>HLOOKUP(E$2,EIOPA_Spot_Rates,EIOPA_RFR!$A51,FALSE)</f>
        <v>2.6929999999999999E-2</v>
      </c>
      <c r="F42" s="12">
        <f>HLOOKUP(F$2,EIOPA_Spot_Rates,EIOPA_RFR!$A51,FALSE)</f>
        <v>2.3279999999999999E-2</v>
      </c>
      <c r="G42" s="12">
        <f>HLOOKUP(G$2,EIOPA_Spot_Rates,EIOPA_RFR!$A51,FALSE)</f>
        <v>4.3439999999999999E-2</v>
      </c>
      <c r="H42" s="12">
        <f>HLOOKUP(H$2,EIOPA_Spot_Rates,EIOPA_RFR!$A51,FALSE)</f>
        <v>4.4830000000000002E-2</v>
      </c>
      <c r="I42" s="12">
        <f>HLOOKUP(I$2,EIOPA_Spot_Rates,EIOPA_RFR!$A51,FALSE)</f>
        <v>1.142E-2</v>
      </c>
      <c r="J42" s="12">
        <f>HLOOKUP(J$2,EIOPA_Spot_Rates,EIOPA_RFR!$A51,FALSE)</f>
        <v>3.2039999999999999E-2</v>
      </c>
      <c r="K42" s="12">
        <f>HLOOKUP(K$2,EIOPA_Spot_Rates,EIOPA_RFR!$A51,FALSE)</f>
        <v>4.0739999999999998E-2</v>
      </c>
      <c r="L42" s="12">
        <f>HLOOKUP(L$2,EIOPA_Spot_Rates,EIOPA_RFR!$A51,FALSE)</f>
        <v>4.3749999999999997E-2</v>
      </c>
      <c r="M42" s="12">
        <f>HLOOKUP(M$2,EIOPA_Spot_Rates,EIOPA_RFR!$A51,FALSE)</f>
        <v>5.6980000000000003E-2</v>
      </c>
      <c r="N42" s="12">
        <f>HLOOKUP(N$2,EIOPA_Spot_Rates,EIOPA_RFR!$A51,FALSE)</f>
        <v>3.2890000000000003E-2</v>
      </c>
      <c r="O42" s="12">
        <f>HLOOKUP(O$2,EIOPA_Spot_Rates,EIOPA_RFR!$A51,FALSE)</f>
        <v>1.1599999999999999E-2</v>
      </c>
      <c r="P42" s="12">
        <f>HLOOKUP(P$2,EIOPA_Spot_Rates,EIOPA_RFR!$A51,FALSE)</f>
        <v>3.4009999999999999E-2</v>
      </c>
      <c r="Q42" s="12">
        <f>HLOOKUP(Q$2,EIOPA_Spot_Rates,EIOPA_RFR!$A51,FALSE)</f>
        <v>7.2220000000000006E-2</v>
      </c>
      <c r="R42" s="12">
        <f>HLOOKUP(R$2,EIOPA_Spot_Rates,EIOPA_RFR!$A51,FALSE)</f>
        <v>2.4740000000000002E-2</v>
      </c>
      <c r="S42" s="12">
        <f>HLOOKUP(S$2,EIOPA_Spot_Rates,EIOPA_RFR!$A51,FALSE)</f>
        <v>4.2569999999999997E-2</v>
      </c>
      <c r="T42" s="12">
        <f>HLOOKUP(T$2,EIOPA_Spot_Rates,EIOPA_RFR!$A51,FALSE)</f>
        <v>4.3860000000000003E-2</v>
      </c>
      <c r="U42" s="12">
        <f>HLOOKUP(U$2,EIOPA_Spot_Rates,EIOPA_RFR!$A51,FALSE)</f>
        <v>5.3510000000000002E-2</v>
      </c>
      <c r="V42" s="12">
        <f>HLOOKUP(V$2,EIOPA_Spot_Rates,EIOPA_RFR!$A51,FALSE)</f>
        <v>3.2460000000000003E-2</v>
      </c>
      <c r="W42" s="12">
        <f>HLOOKUP(W$2,EIOPA_Spot_Rates,EIOPA_RFR!$A51,FALSE)</f>
        <v>6.148E-2</v>
      </c>
      <c r="X42" s="12">
        <f>HLOOKUP(X$2,EIOPA_Spot_Rates,EIOPA_RFR!$A51,FALSE)</f>
        <v>1.0800000000000001E-2</v>
      </c>
      <c r="Y42" s="12">
        <f>HLOOKUP(Y$2,EIOPA_Spot_Rates,EIOPA_RFR!$A51,FALSE)</f>
        <v>4.342E-2</v>
      </c>
      <c r="Z42" s="12">
        <f>HLOOKUP(Z$2,EIOPA_Spot_Rates,EIOPA_RFR!$A51,FALSE)</f>
        <v>7.1190000000000003E-2</v>
      </c>
      <c r="AA42" s="12">
        <f>HLOOKUP(AA$2,EIOPA_Spot_Rates,EIOPA_RFR!$A51,FALSE)</f>
        <v>4.1910000000000003E-2</v>
      </c>
      <c r="AB42" s="12">
        <f>HLOOKUP(AB$2,EIOPA_Spot_Rates,EIOPA_RFR!$A51,FALSE)</f>
        <v>3.2199999999999999E-2</v>
      </c>
      <c r="AC42" s="12">
        <f>HLOOKUP(AC$2,EIOPA_Spot_Rates,EIOPA_RFR!$A51,FALSE)</f>
        <v>7.0830000000000004E-2</v>
      </c>
      <c r="AD42" s="12">
        <f>HLOOKUP(AD$2,EIOPA_Spot_Rates,EIOPA_RFR!$A51,FALSE)</f>
        <v>2.6519999999999998E-2</v>
      </c>
      <c r="AE42" s="12">
        <f>HLOOKUP(AE$2,EIOPA_Spot_Rates,EIOPA_RFR!$A51,FALSE)</f>
        <v>2.879E-2</v>
      </c>
      <c r="AF42" s="12">
        <f>HLOOKUP(AF$2,EIOPA_Spot_Rates,EIOPA_RFR!$A51,FALSE)</f>
        <v>3.4819999999999997E-2</v>
      </c>
      <c r="AG42" s="12">
        <f>HLOOKUP(AG$2,EIOPA_Spot_Rates,EIOPA_RFR!$A51,FALSE)</f>
        <v>7.442E-2</v>
      </c>
      <c r="AH42" s="12">
        <f>HLOOKUP(AH$2,EIOPA_Spot_Rates,EIOPA_RFR!$A51,FALSE)</f>
        <v>2.5180000000000001E-2</v>
      </c>
      <c r="AI42" s="127">
        <f t="shared" si="0"/>
        <v>1.1599999999999999E-2</v>
      </c>
      <c r="AJ42" s="16">
        <v>39</v>
      </c>
      <c r="AK42" s="12">
        <f>HLOOKUP(AK$2,Interest_Rate_Stresses_Setup!$C$6:$BC$47,Interest_Rate_Stresses_Setup!$A46,FALSE)</f>
        <v>3.3349999999999998E-2</v>
      </c>
      <c r="AL42" s="12">
        <f>HLOOKUP(AL$2,Interest_Rate_Stresses_Setup!$C$6:$BC$47,Interest_Rate_Stresses_Setup!$A46,FALSE)</f>
        <v>3.3020000000000001E-2</v>
      </c>
      <c r="AM42" s="12">
        <f>HLOOKUP(AM$2,Interest_Rate_Stresses_Setup!$C$6:$BC$47,Interest_Rate_Stresses_Setup!$A46,FALSE)</f>
        <v>4.7080000000000004E-2</v>
      </c>
      <c r="AN42" s="12">
        <f>HLOOKUP(AN$2,Interest_Rate_Stresses_Setup!$C$6:$BC$47,Interest_Rate_Stresses_Setup!$A46,FALSE)</f>
        <v>3.6929999999999998E-2</v>
      </c>
      <c r="AO42" s="12">
        <f>HLOOKUP(AO$2,Interest_Rate_Stresses_Setup!$C$6:$BC$47,Interest_Rate_Stresses_Setup!$A46,FALSE)</f>
        <v>3.3279999999999997E-2</v>
      </c>
      <c r="AP42" s="12">
        <f>HLOOKUP(AP$2,Interest_Rate_Stresses_Setup!$C$6:$BC$47,Interest_Rate_Stresses_Setup!$A46,FALSE)</f>
        <v>5.3440000000000001E-2</v>
      </c>
      <c r="AQ42" s="12">
        <f>HLOOKUP(AQ$2,Interest_Rate_Stresses_Setup!$C$6:$BC$47,Interest_Rate_Stresses_Setup!$A46,FALSE)</f>
        <v>5.4830000000000004E-2</v>
      </c>
      <c r="AR42" s="12">
        <f>HLOOKUP(AR$2,Interest_Rate_Stresses_Setup!$C$6:$BC$47,Interest_Rate_Stresses_Setup!$A46,FALSE)</f>
        <v>2.1420000000000002E-2</v>
      </c>
      <c r="AS42" s="12">
        <f>HLOOKUP(AS$2,Interest_Rate_Stresses_Setup!$C$6:$BC$47,Interest_Rate_Stresses_Setup!$A46,FALSE)</f>
        <v>4.2040000000000001E-2</v>
      </c>
      <c r="AT42" s="12">
        <f>HLOOKUP(AT$2,Interest_Rate_Stresses_Setup!$C$6:$BC$47,Interest_Rate_Stresses_Setup!$A46,FALSE)</f>
        <v>5.074E-2</v>
      </c>
      <c r="AU42" s="12">
        <f>HLOOKUP(AU$2,Interest_Rate_Stresses_Setup!$C$6:$BC$47,Interest_Rate_Stresses_Setup!$A46,FALSE)</f>
        <v>5.3749999999999999E-2</v>
      </c>
      <c r="AV42" s="12">
        <f>HLOOKUP(AV$2,Interest_Rate_Stresses_Setup!$C$6:$BC$47,Interest_Rate_Stresses_Setup!$A46,FALSE)</f>
        <v>6.6979999999999998E-2</v>
      </c>
      <c r="AW42" s="12">
        <f>HLOOKUP(AW$2,Interest_Rate_Stresses_Setup!$C$6:$BC$47,Interest_Rate_Stresses_Setup!$A46,FALSE)</f>
        <v>4.2890000000000005E-2</v>
      </c>
      <c r="AX42" s="12">
        <f>HLOOKUP(AX$2,Interest_Rate_Stresses_Setup!$C$6:$BC$47,Interest_Rate_Stresses_Setup!$A46,FALSE)</f>
        <v>2.1600000000000001E-2</v>
      </c>
      <c r="AY42" s="12">
        <f>HLOOKUP(AY$2,Interest_Rate_Stresses_Setup!$C$6:$BC$47,Interest_Rate_Stresses_Setup!$A46,FALSE)</f>
        <v>4.4010000000000001E-2</v>
      </c>
      <c r="AZ42" s="12">
        <f>HLOOKUP(AZ$2,Interest_Rate_Stresses_Setup!$C$6:$BC$47,Interest_Rate_Stresses_Setup!$A46,FALSE)</f>
        <v>8.2220000000000001E-2</v>
      </c>
      <c r="BA42" s="12">
        <f>HLOOKUP(BA$2,Interest_Rate_Stresses_Setup!$C$6:$BC$47,Interest_Rate_Stresses_Setup!$A46,FALSE)</f>
        <v>3.474E-2</v>
      </c>
      <c r="BB42" s="12">
        <f>HLOOKUP(BB$2,Interest_Rate_Stresses_Setup!$C$6:$BC$47,Interest_Rate_Stresses_Setup!$A46,FALSE)</f>
        <v>5.2569999999999999E-2</v>
      </c>
      <c r="BC42" s="12">
        <f>HLOOKUP(BC$2,Interest_Rate_Stresses_Setup!$C$6:$BC$47,Interest_Rate_Stresses_Setup!$A46,FALSE)</f>
        <v>5.3860000000000005E-2</v>
      </c>
      <c r="BD42" s="12">
        <f>HLOOKUP(BD$2,Interest_Rate_Stresses_Setup!$C$6:$BC$47,Interest_Rate_Stresses_Setup!$A46,FALSE)</f>
        <v>6.3509999999999997E-2</v>
      </c>
      <c r="BE42" s="12">
        <f>HLOOKUP(BE$2,Interest_Rate_Stresses_Setup!$C$6:$BC$47,Interest_Rate_Stresses_Setup!$A46,FALSE)</f>
        <v>4.2460000000000005E-2</v>
      </c>
      <c r="BF42" s="12">
        <f>HLOOKUP(BF$2,Interest_Rate_Stresses_Setup!$C$6:$BC$47,Interest_Rate_Stresses_Setup!$A46,FALSE)</f>
        <v>7.1480000000000002E-2</v>
      </c>
      <c r="BG42" s="12">
        <f>HLOOKUP(BG$2,Interest_Rate_Stresses_Setup!$C$6:$BC$47,Interest_Rate_Stresses_Setup!$A46,FALSE)</f>
        <v>2.0799999999999999E-2</v>
      </c>
      <c r="BH42" s="12">
        <f>HLOOKUP(BH$2,Interest_Rate_Stresses_Setup!$C$6:$BC$47,Interest_Rate_Stresses_Setup!$A46,FALSE)</f>
        <v>5.3420000000000002E-2</v>
      </c>
      <c r="BI42" s="12">
        <f>HLOOKUP(BI$2,Interest_Rate_Stresses_Setup!$C$6:$BC$47,Interest_Rate_Stresses_Setup!$A46,FALSE)</f>
        <v>8.1189999999999998E-2</v>
      </c>
      <c r="BJ42" s="12">
        <f>HLOOKUP(BJ$2,Interest_Rate_Stresses_Setup!$C$6:$BC$47,Interest_Rate_Stresses_Setup!$A46,FALSE)</f>
        <v>5.1910000000000005E-2</v>
      </c>
      <c r="BK42" s="12">
        <f>HLOOKUP(BK$2,Interest_Rate_Stresses_Setup!$C$6:$BC$47,Interest_Rate_Stresses_Setup!$A46,FALSE)</f>
        <v>4.2200000000000001E-2</v>
      </c>
      <c r="BL42" s="12">
        <f>HLOOKUP(BL$2,Interest_Rate_Stresses_Setup!$C$6:$BC$47,Interest_Rate_Stresses_Setup!$A46,FALSE)</f>
        <v>8.0829999999999999E-2</v>
      </c>
      <c r="BM42" s="12">
        <f>HLOOKUP(BM$2,Interest_Rate_Stresses_Setup!$C$6:$BC$47,Interest_Rate_Stresses_Setup!$A46,FALSE)</f>
        <v>3.6519999999999997E-2</v>
      </c>
      <c r="BN42" s="12">
        <f>HLOOKUP(BN$2,Interest_Rate_Stresses_Setup!$C$6:$BC$47,Interest_Rate_Stresses_Setup!$A46,FALSE)</f>
        <v>3.8789999999999998E-2</v>
      </c>
      <c r="BO42" s="12">
        <f>HLOOKUP(BO$2,Interest_Rate_Stresses_Setup!$C$6:$BC$47,Interest_Rate_Stresses_Setup!$A46,FALSE)</f>
        <v>4.4819999999999999E-2</v>
      </c>
      <c r="BP42" s="12">
        <f>HLOOKUP(BP$2,Interest_Rate_Stresses_Setup!$C$6:$BC$47,Interest_Rate_Stresses_Setup!$A46,FALSE)</f>
        <v>8.4419999999999995E-2</v>
      </c>
      <c r="BQ42" s="12">
        <f>HLOOKUP(BQ$2,Interest_Rate_Stresses_Setup!$C$6:$BC$47,Interest_Rate_Stresses_Setup!$A46,FALSE)</f>
        <v>3.5180000000000003E-2</v>
      </c>
      <c r="BR42" s="127">
        <f t="shared" si="1"/>
        <v>2.1600000000000001E-2</v>
      </c>
      <c r="BS42" s="16">
        <v>39</v>
      </c>
      <c r="BT42" s="12">
        <f>HLOOKUP(BT$2,Interest_Rate_Stresses_Setup!$C$50:$BC$91,Interest_Rate_Stresses_Setup!$A90,FALSE)</f>
        <v>1.6578499999999999E-2</v>
      </c>
      <c r="BU42" s="12">
        <f>HLOOKUP(BU$2,Interest_Rate_Stresses_Setup!$C$50:$BC$91,Interest_Rate_Stresses_Setup!$A90,FALSE)</f>
        <v>1.63442E-2</v>
      </c>
      <c r="BV42" s="12">
        <f>HLOOKUP(BV$2,Interest_Rate_Stresses_Setup!$C$50:$BC$91,Interest_Rate_Stresses_Setup!$A90,FALSE)</f>
        <v>2.6326800000000001E-2</v>
      </c>
      <c r="BW42" s="12">
        <f>HLOOKUP(BW$2,Interest_Rate_Stresses_Setup!$C$50:$BC$91,Interest_Rate_Stresses_Setup!$A90,FALSE)</f>
        <v>1.91203E-2</v>
      </c>
      <c r="BX42" s="12">
        <f>HLOOKUP(BX$2,Interest_Rate_Stresses_Setup!$C$50:$BC$91,Interest_Rate_Stresses_Setup!$A90,FALSE)</f>
        <v>1.65288E-2</v>
      </c>
      <c r="BY42" s="12">
        <f>HLOOKUP(BY$2,Interest_Rate_Stresses_Setup!$C$50:$BC$91,Interest_Rate_Stresses_Setup!$A90,FALSE)</f>
        <v>3.0842399999999999E-2</v>
      </c>
      <c r="BZ42" s="12">
        <f>HLOOKUP(BZ$2,Interest_Rate_Stresses_Setup!$C$50:$BC$91,Interest_Rate_Stresses_Setup!$A90,FALSE)</f>
        <v>3.1829299999999998E-2</v>
      </c>
      <c r="CA42" s="12">
        <f>HLOOKUP(CA$2,Interest_Rate_Stresses_Setup!$C$50:$BC$91,Interest_Rate_Stresses_Setup!$A90,FALSE)</f>
        <v>8.1081999999999994E-3</v>
      </c>
      <c r="CB42" s="12">
        <f>HLOOKUP(CB$2,Interest_Rate_Stresses_Setup!$C$50:$BC$91,Interest_Rate_Stresses_Setup!$A90,FALSE)</f>
        <v>2.2748399999999998E-2</v>
      </c>
      <c r="CC42" s="12">
        <f>HLOOKUP(CC$2,Interest_Rate_Stresses_Setup!$C$50:$BC$91,Interest_Rate_Stresses_Setup!$A90,FALSE)</f>
        <v>2.8925399999999997E-2</v>
      </c>
      <c r="CD42" s="12">
        <f>HLOOKUP(CD$2,Interest_Rate_Stresses_Setup!$C$50:$BC$91,Interest_Rate_Stresses_Setup!$A90,FALSE)</f>
        <v>3.1062499999999996E-2</v>
      </c>
      <c r="CE42" s="12">
        <f>HLOOKUP(CE$2,Interest_Rate_Stresses_Setup!$C$50:$BC$91,Interest_Rate_Stresses_Setup!$A90,FALSE)</f>
        <v>4.04558E-2</v>
      </c>
      <c r="CF42" s="12">
        <f>HLOOKUP(CF$2,Interest_Rate_Stresses_Setup!$C$50:$BC$91,Interest_Rate_Stresses_Setup!$A90,FALSE)</f>
        <v>2.3351900000000002E-2</v>
      </c>
      <c r="CG42" s="12">
        <f>HLOOKUP(CG$2,Interest_Rate_Stresses_Setup!$C$50:$BC$91,Interest_Rate_Stresses_Setup!$A90,FALSE)</f>
        <v>8.2359999999999985E-3</v>
      </c>
      <c r="CH42" s="12">
        <f>HLOOKUP(CH$2,Interest_Rate_Stresses_Setup!$C$50:$BC$91,Interest_Rate_Stresses_Setup!$A90,FALSE)</f>
        <v>2.4147099999999998E-2</v>
      </c>
      <c r="CI42" s="12">
        <f>HLOOKUP(CI$2,Interest_Rate_Stresses_Setup!$C$50:$BC$91,Interest_Rate_Stresses_Setup!$A90,FALSE)</f>
        <v>5.1276200000000001E-2</v>
      </c>
      <c r="CJ42" s="12">
        <f>HLOOKUP(CJ$2,Interest_Rate_Stresses_Setup!$C$50:$BC$91,Interest_Rate_Stresses_Setup!$A90,FALSE)</f>
        <v>1.7565400000000002E-2</v>
      </c>
      <c r="CK42" s="12">
        <f>HLOOKUP(CK$2,Interest_Rate_Stresses_Setup!$C$50:$BC$91,Interest_Rate_Stresses_Setup!$A90,FALSE)</f>
        <v>3.0224699999999997E-2</v>
      </c>
      <c r="CL42" s="12">
        <f>HLOOKUP(CL$2,Interest_Rate_Stresses_Setup!$C$50:$BC$91,Interest_Rate_Stresses_Setup!$A90,FALSE)</f>
        <v>3.1140600000000001E-2</v>
      </c>
      <c r="CM42" s="12">
        <f>HLOOKUP(CM$2,Interest_Rate_Stresses_Setup!$C$50:$BC$91,Interest_Rate_Stresses_Setup!$A90,FALSE)</f>
        <v>3.7992100000000001E-2</v>
      </c>
      <c r="CN42" s="12">
        <f>HLOOKUP(CN$2,Interest_Rate_Stresses_Setup!$C$50:$BC$91,Interest_Rate_Stresses_Setup!$A90,FALSE)</f>
        <v>2.30466E-2</v>
      </c>
      <c r="CO42" s="12">
        <f>HLOOKUP(CO$2,Interest_Rate_Stresses_Setup!$C$50:$BC$91,Interest_Rate_Stresses_Setup!$A90,FALSE)</f>
        <v>4.3650799999999997E-2</v>
      </c>
      <c r="CP42" s="12">
        <f>HLOOKUP(CP$2,Interest_Rate_Stresses_Setup!$C$50:$BC$91,Interest_Rate_Stresses_Setup!$A90,FALSE)</f>
        <v>7.6680000000000003E-3</v>
      </c>
      <c r="CQ42" s="12">
        <f>HLOOKUP(CQ$2,Interest_Rate_Stresses_Setup!$C$50:$BC$91,Interest_Rate_Stresses_Setup!$A90,FALSE)</f>
        <v>3.08282E-2</v>
      </c>
      <c r="CR42" s="12">
        <f>HLOOKUP(CR$2,Interest_Rate_Stresses_Setup!$C$50:$BC$91,Interest_Rate_Stresses_Setup!$A90,FALSE)</f>
        <v>5.0544899999999997E-2</v>
      </c>
      <c r="CS42" s="12">
        <f>HLOOKUP(CS$2,Interest_Rate_Stresses_Setup!$C$50:$BC$91,Interest_Rate_Stresses_Setup!$A90,FALSE)</f>
        <v>2.9756100000000001E-2</v>
      </c>
      <c r="CT42" s="12">
        <f>HLOOKUP(CT$2,Interest_Rate_Stresses_Setup!$C$50:$BC$91,Interest_Rate_Stresses_Setup!$A90,FALSE)</f>
        <v>2.2861999999999997E-2</v>
      </c>
      <c r="CU42" s="12">
        <f>HLOOKUP(CU$2,Interest_Rate_Stresses_Setup!$C$50:$BC$91,Interest_Rate_Stresses_Setup!$A90,FALSE)</f>
        <v>5.0289300000000002E-2</v>
      </c>
      <c r="CV42" s="12">
        <f>HLOOKUP(CV$2,Interest_Rate_Stresses_Setup!$C$50:$BC$91,Interest_Rate_Stresses_Setup!$A90,FALSE)</f>
        <v>1.8829199999999997E-2</v>
      </c>
      <c r="CW42" s="12">
        <f>HLOOKUP(CW$2,Interest_Rate_Stresses_Setup!$C$50:$BC$91,Interest_Rate_Stresses_Setup!$A90,FALSE)</f>
        <v>2.0440899999999998E-2</v>
      </c>
      <c r="CX42" s="12">
        <f>HLOOKUP(CX$2,Interest_Rate_Stresses_Setup!$C$50:$BC$91,Interest_Rate_Stresses_Setup!$A90,FALSE)</f>
        <v>2.4722199999999996E-2</v>
      </c>
      <c r="CY42" s="12">
        <f>HLOOKUP(CY$2,Interest_Rate_Stresses_Setup!$C$50:$BC$91,Interest_Rate_Stresses_Setup!$A90,FALSE)</f>
        <v>5.2838199999999995E-2</v>
      </c>
      <c r="CZ42" s="12">
        <f>HLOOKUP(CZ$2,Interest_Rate_Stresses_Setup!$C$50:$BC$91,Interest_Rate_Stresses_Setup!$A90,FALSE)</f>
        <v>1.7877799999999999E-2</v>
      </c>
      <c r="DA42" s="127">
        <f t="shared" si="2"/>
        <v>8.2359999999999985E-3</v>
      </c>
    </row>
    <row r="43" spans="1:105" x14ac:dyDescent="0.25">
      <c r="A43" s="11">
        <v>40</v>
      </c>
      <c r="B43" s="12">
        <f>HLOOKUP(B$2,EIOPA_Spot_Rates,EIOPA_RFR!$A52,FALSE)</f>
        <v>2.3769999999999999E-2</v>
      </c>
      <c r="C43" s="12">
        <f>HLOOKUP(C$2,EIOPA_Spot_Rates,EIOPA_RFR!$A52,FALSE)</f>
        <v>2.3460000000000002E-2</v>
      </c>
      <c r="D43" s="12">
        <f>HLOOKUP(D$2,EIOPA_Spot_Rates,EIOPA_RFR!$A52,FALSE)</f>
        <v>3.7190000000000001E-2</v>
      </c>
      <c r="E43" s="12">
        <f>HLOOKUP(E$2,EIOPA_Spot_Rates,EIOPA_RFR!$A52,FALSE)</f>
        <v>2.7269999999999999E-2</v>
      </c>
      <c r="F43" s="12">
        <f>HLOOKUP(F$2,EIOPA_Spot_Rates,EIOPA_RFR!$A52,FALSE)</f>
        <v>2.3709999999999998E-2</v>
      </c>
      <c r="G43" s="12">
        <f>HLOOKUP(G$2,EIOPA_Spot_Rates,EIOPA_RFR!$A52,FALSE)</f>
        <v>4.3430000000000003E-2</v>
      </c>
      <c r="H43" s="12">
        <f>HLOOKUP(H$2,EIOPA_Spot_Rates,EIOPA_RFR!$A52,FALSE)</f>
        <v>4.4769999999999997E-2</v>
      </c>
      <c r="I43" s="12">
        <f>HLOOKUP(I$2,EIOPA_Spot_Rates,EIOPA_RFR!$A52,FALSE)</f>
        <v>1.1860000000000001E-2</v>
      </c>
      <c r="J43" s="12">
        <f>HLOOKUP(J$2,EIOPA_Spot_Rates,EIOPA_RFR!$A52,FALSE)</f>
        <v>3.2259999999999997E-2</v>
      </c>
      <c r="K43" s="12">
        <f>HLOOKUP(K$2,EIOPA_Spot_Rates,EIOPA_RFR!$A52,FALSE)</f>
        <v>4.079E-2</v>
      </c>
      <c r="L43" s="12">
        <f>HLOOKUP(L$2,EIOPA_Spot_Rates,EIOPA_RFR!$A52,FALSE)</f>
        <v>4.3720000000000002E-2</v>
      </c>
      <c r="M43" s="12">
        <f>HLOOKUP(M$2,EIOPA_Spot_Rates,EIOPA_RFR!$A52,FALSE)</f>
        <v>5.663E-2</v>
      </c>
      <c r="N43" s="12">
        <f>HLOOKUP(N$2,EIOPA_Spot_Rates,EIOPA_RFR!$A52,FALSE)</f>
        <v>3.3119999999999997E-2</v>
      </c>
      <c r="O43" s="12">
        <f>HLOOKUP(O$2,EIOPA_Spot_Rates,EIOPA_RFR!$A52,FALSE)</f>
        <v>1.1469999999999999E-2</v>
      </c>
      <c r="P43" s="12">
        <f>HLOOKUP(P$2,EIOPA_Spot_Rates,EIOPA_RFR!$A52,FALSE)</f>
        <v>3.4139999999999997E-2</v>
      </c>
      <c r="Q43" s="12">
        <f>HLOOKUP(Q$2,EIOPA_Spot_Rates,EIOPA_RFR!$A52,FALSE)</f>
        <v>7.1749999999999994E-2</v>
      </c>
      <c r="R43" s="12">
        <f>HLOOKUP(R$2,EIOPA_Spot_Rates,EIOPA_RFR!$A52,FALSE)</f>
        <v>2.5059999999999999E-2</v>
      </c>
      <c r="S43" s="12">
        <f>HLOOKUP(S$2,EIOPA_Spot_Rates,EIOPA_RFR!$A52,FALSE)</f>
        <v>4.2560000000000001E-2</v>
      </c>
      <c r="T43" s="12">
        <f>HLOOKUP(T$2,EIOPA_Spot_Rates,EIOPA_RFR!$A52,FALSE)</f>
        <v>4.3830000000000001E-2</v>
      </c>
      <c r="U43" s="12">
        <f>HLOOKUP(U$2,EIOPA_Spot_Rates,EIOPA_RFR!$A52,FALSE)</f>
        <v>5.3249999999999999E-2</v>
      </c>
      <c r="V43" s="12">
        <f>HLOOKUP(V$2,EIOPA_Spot_Rates,EIOPA_RFR!$A52,FALSE)</f>
        <v>3.2680000000000001E-2</v>
      </c>
      <c r="W43" s="12">
        <f>HLOOKUP(W$2,EIOPA_Spot_Rates,EIOPA_RFR!$A52,FALSE)</f>
        <v>6.1269999999999998E-2</v>
      </c>
      <c r="X43" s="12">
        <f>HLOOKUP(X$2,EIOPA_Spot_Rates,EIOPA_RFR!$A52,FALSE)</f>
        <v>1.12E-2</v>
      </c>
      <c r="Y43" s="12">
        <f>HLOOKUP(Y$2,EIOPA_Spot_Rates,EIOPA_RFR!$A52,FALSE)</f>
        <v>4.3400000000000001E-2</v>
      </c>
      <c r="Z43" s="12">
        <f>HLOOKUP(Z$2,EIOPA_Spot_Rates,EIOPA_RFR!$A52,FALSE)</f>
        <v>7.0760000000000003E-2</v>
      </c>
      <c r="AA43" s="12">
        <f>HLOOKUP(AA$2,EIOPA_Spot_Rates,EIOPA_RFR!$A52,FALSE)</f>
        <v>4.1930000000000002E-2</v>
      </c>
      <c r="AB43" s="12">
        <f>HLOOKUP(AB$2,EIOPA_Spot_Rates,EIOPA_RFR!$A52,FALSE)</f>
        <v>3.2410000000000001E-2</v>
      </c>
      <c r="AC43" s="12">
        <f>HLOOKUP(AC$2,EIOPA_Spot_Rates,EIOPA_RFR!$A52,FALSE)</f>
        <v>7.0389999999999994E-2</v>
      </c>
      <c r="AD43" s="12">
        <f>HLOOKUP(AD$2,EIOPA_Spot_Rates,EIOPA_RFR!$A52,FALSE)</f>
        <v>2.6870000000000002E-2</v>
      </c>
      <c r="AE43" s="12">
        <f>HLOOKUP(AE$2,EIOPA_Spot_Rates,EIOPA_RFR!$A52,FALSE)</f>
        <v>2.9090000000000001E-2</v>
      </c>
      <c r="AF43" s="12">
        <f>HLOOKUP(AF$2,EIOPA_Spot_Rates,EIOPA_RFR!$A52,FALSE)</f>
        <v>3.4979999999999997E-2</v>
      </c>
      <c r="AG43" s="12">
        <f>HLOOKUP(AG$2,EIOPA_Spot_Rates,EIOPA_RFR!$A52,FALSE)</f>
        <v>7.3880000000000001E-2</v>
      </c>
      <c r="AH43" s="12">
        <f>HLOOKUP(AH$2,EIOPA_Spot_Rates,EIOPA_RFR!$A52,FALSE)</f>
        <v>2.5090000000000001E-2</v>
      </c>
      <c r="AI43" s="127">
        <f t="shared" si="0"/>
        <v>1.1469999999999999E-2</v>
      </c>
      <c r="AJ43" s="16">
        <v>40</v>
      </c>
      <c r="AK43" s="12">
        <f>HLOOKUP(AK$2,Interest_Rate_Stresses_Setup!$C$6:$BC$47,Interest_Rate_Stresses_Setup!$A47,FALSE)</f>
        <v>3.3770000000000001E-2</v>
      </c>
      <c r="AL43" s="12">
        <f>HLOOKUP(AL$2,Interest_Rate_Stresses_Setup!$C$6:$BC$47,Interest_Rate_Stresses_Setup!$A47,FALSE)</f>
        <v>3.3460000000000004E-2</v>
      </c>
      <c r="AM43" s="12">
        <f>HLOOKUP(AM$2,Interest_Rate_Stresses_Setup!$C$6:$BC$47,Interest_Rate_Stresses_Setup!$A47,FALSE)</f>
        <v>4.7190000000000003E-2</v>
      </c>
      <c r="AN43" s="12">
        <f>HLOOKUP(AN$2,Interest_Rate_Stresses_Setup!$C$6:$BC$47,Interest_Rate_Stresses_Setup!$A47,FALSE)</f>
        <v>3.7269999999999998E-2</v>
      </c>
      <c r="AO43" s="12">
        <f>HLOOKUP(AO$2,Interest_Rate_Stresses_Setup!$C$6:$BC$47,Interest_Rate_Stresses_Setup!$A47,FALSE)</f>
        <v>3.3709999999999997E-2</v>
      </c>
      <c r="AP43" s="12">
        <f>HLOOKUP(AP$2,Interest_Rate_Stresses_Setup!$C$6:$BC$47,Interest_Rate_Stresses_Setup!$A47,FALSE)</f>
        <v>5.3430000000000005E-2</v>
      </c>
      <c r="AQ43" s="12">
        <f>HLOOKUP(AQ$2,Interest_Rate_Stresses_Setup!$C$6:$BC$47,Interest_Rate_Stresses_Setup!$A47,FALSE)</f>
        <v>5.4769999999999999E-2</v>
      </c>
      <c r="AR43" s="12">
        <f>HLOOKUP(AR$2,Interest_Rate_Stresses_Setup!$C$6:$BC$47,Interest_Rate_Stresses_Setup!$A47,FALSE)</f>
        <v>2.1860000000000001E-2</v>
      </c>
      <c r="AS43" s="12">
        <f>HLOOKUP(AS$2,Interest_Rate_Stresses_Setup!$C$6:$BC$47,Interest_Rate_Stresses_Setup!$A47,FALSE)</f>
        <v>4.2259999999999999E-2</v>
      </c>
      <c r="AT43" s="12">
        <f>HLOOKUP(AT$2,Interest_Rate_Stresses_Setup!$C$6:$BC$47,Interest_Rate_Stresses_Setup!$A47,FALSE)</f>
        <v>5.0790000000000002E-2</v>
      </c>
      <c r="AU43" s="12">
        <f>HLOOKUP(AU$2,Interest_Rate_Stresses_Setup!$C$6:$BC$47,Interest_Rate_Stresses_Setup!$A47,FALSE)</f>
        <v>5.3720000000000004E-2</v>
      </c>
      <c r="AV43" s="12">
        <f>HLOOKUP(AV$2,Interest_Rate_Stresses_Setup!$C$6:$BC$47,Interest_Rate_Stresses_Setup!$A47,FALSE)</f>
        <v>6.6629999999999995E-2</v>
      </c>
      <c r="AW43" s="12">
        <f>HLOOKUP(AW$2,Interest_Rate_Stresses_Setup!$C$6:$BC$47,Interest_Rate_Stresses_Setup!$A47,FALSE)</f>
        <v>4.3119999999999999E-2</v>
      </c>
      <c r="AX43" s="12">
        <f>HLOOKUP(AX$2,Interest_Rate_Stresses_Setup!$C$6:$BC$47,Interest_Rate_Stresses_Setup!$A47,FALSE)</f>
        <v>2.147E-2</v>
      </c>
      <c r="AY43" s="12">
        <f>HLOOKUP(AY$2,Interest_Rate_Stresses_Setup!$C$6:$BC$47,Interest_Rate_Stresses_Setup!$A47,FALSE)</f>
        <v>4.4139999999999999E-2</v>
      </c>
      <c r="AZ43" s="12">
        <f>HLOOKUP(AZ$2,Interest_Rate_Stresses_Setup!$C$6:$BC$47,Interest_Rate_Stresses_Setup!$A47,FALSE)</f>
        <v>8.1749999999999989E-2</v>
      </c>
      <c r="BA43" s="12">
        <f>HLOOKUP(BA$2,Interest_Rate_Stresses_Setup!$C$6:$BC$47,Interest_Rate_Stresses_Setup!$A47,FALSE)</f>
        <v>3.5060000000000001E-2</v>
      </c>
      <c r="BB43" s="12">
        <f>HLOOKUP(BB$2,Interest_Rate_Stresses_Setup!$C$6:$BC$47,Interest_Rate_Stresses_Setup!$A47,FALSE)</f>
        <v>5.2560000000000003E-2</v>
      </c>
      <c r="BC43" s="12">
        <f>HLOOKUP(BC$2,Interest_Rate_Stresses_Setup!$C$6:$BC$47,Interest_Rate_Stresses_Setup!$A47,FALSE)</f>
        <v>5.3830000000000003E-2</v>
      </c>
      <c r="BD43" s="12">
        <f>HLOOKUP(BD$2,Interest_Rate_Stresses_Setup!$C$6:$BC$47,Interest_Rate_Stresses_Setup!$A47,FALSE)</f>
        <v>6.3250000000000001E-2</v>
      </c>
      <c r="BE43" s="12">
        <f>HLOOKUP(BE$2,Interest_Rate_Stresses_Setup!$C$6:$BC$47,Interest_Rate_Stresses_Setup!$A47,FALSE)</f>
        <v>4.2680000000000003E-2</v>
      </c>
      <c r="BF43" s="12">
        <f>HLOOKUP(BF$2,Interest_Rate_Stresses_Setup!$C$6:$BC$47,Interest_Rate_Stresses_Setup!$A47,FALSE)</f>
        <v>7.127E-2</v>
      </c>
      <c r="BG43" s="12">
        <f>HLOOKUP(BG$2,Interest_Rate_Stresses_Setup!$C$6:$BC$47,Interest_Rate_Stresses_Setup!$A47,FALSE)</f>
        <v>2.12E-2</v>
      </c>
      <c r="BH43" s="12">
        <f>HLOOKUP(BH$2,Interest_Rate_Stresses_Setup!$C$6:$BC$47,Interest_Rate_Stresses_Setup!$A47,FALSE)</f>
        <v>5.3400000000000003E-2</v>
      </c>
      <c r="BI43" s="12">
        <f>HLOOKUP(BI$2,Interest_Rate_Stresses_Setup!$C$6:$BC$47,Interest_Rate_Stresses_Setup!$A47,FALSE)</f>
        <v>8.0759999999999998E-2</v>
      </c>
      <c r="BJ43" s="12">
        <f>HLOOKUP(BJ$2,Interest_Rate_Stresses_Setup!$C$6:$BC$47,Interest_Rate_Stresses_Setup!$A47,FALSE)</f>
        <v>5.1930000000000004E-2</v>
      </c>
      <c r="BK43" s="12">
        <f>HLOOKUP(BK$2,Interest_Rate_Stresses_Setup!$C$6:$BC$47,Interest_Rate_Stresses_Setup!$A47,FALSE)</f>
        <v>4.2410000000000003E-2</v>
      </c>
      <c r="BL43" s="12">
        <f>HLOOKUP(BL$2,Interest_Rate_Stresses_Setup!$C$6:$BC$47,Interest_Rate_Stresses_Setup!$A47,FALSE)</f>
        <v>8.0389999999999989E-2</v>
      </c>
      <c r="BM43" s="12">
        <f>HLOOKUP(BM$2,Interest_Rate_Stresses_Setup!$C$6:$BC$47,Interest_Rate_Stresses_Setup!$A47,FALSE)</f>
        <v>3.687E-2</v>
      </c>
      <c r="BN43" s="12">
        <f>HLOOKUP(BN$2,Interest_Rate_Stresses_Setup!$C$6:$BC$47,Interest_Rate_Stresses_Setup!$A47,FALSE)</f>
        <v>3.909E-2</v>
      </c>
      <c r="BO43" s="12">
        <f>HLOOKUP(BO$2,Interest_Rate_Stresses_Setup!$C$6:$BC$47,Interest_Rate_Stresses_Setup!$A47,FALSE)</f>
        <v>4.4979999999999999E-2</v>
      </c>
      <c r="BP43" s="12">
        <f>HLOOKUP(BP$2,Interest_Rate_Stresses_Setup!$C$6:$BC$47,Interest_Rate_Stresses_Setup!$A47,FALSE)</f>
        <v>8.3879999999999996E-2</v>
      </c>
      <c r="BQ43" s="12">
        <f>HLOOKUP(BQ$2,Interest_Rate_Stresses_Setup!$C$6:$BC$47,Interest_Rate_Stresses_Setup!$A47,FALSE)</f>
        <v>3.5090000000000003E-2</v>
      </c>
      <c r="BR43" s="127">
        <f t="shared" si="1"/>
        <v>2.147E-2</v>
      </c>
      <c r="BS43" s="16">
        <v>40</v>
      </c>
      <c r="BT43" s="12">
        <f>HLOOKUP(BT$2,Interest_Rate_Stresses_Setup!$C$50:$BC$91,Interest_Rate_Stresses_Setup!$A91,FALSE)</f>
        <v>1.6876699999999998E-2</v>
      </c>
      <c r="BU43" s="12">
        <f>HLOOKUP(BU$2,Interest_Rate_Stresses_Setup!$C$50:$BC$91,Interest_Rate_Stresses_Setup!$A91,FALSE)</f>
        <v>1.6656600000000001E-2</v>
      </c>
      <c r="BV43" s="12">
        <f>HLOOKUP(BV$2,Interest_Rate_Stresses_Setup!$C$50:$BC$91,Interest_Rate_Stresses_Setup!$A91,FALSE)</f>
        <v>2.6404899999999999E-2</v>
      </c>
      <c r="BW43" s="12">
        <f>HLOOKUP(BW$2,Interest_Rate_Stresses_Setup!$C$50:$BC$91,Interest_Rate_Stresses_Setup!$A91,FALSE)</f>
        <v>1.9361699999999999E-2</v>
      </c>
      <c r="BX43" s="12">
        <f>HLOOKUP(BX$2,Interest_Rate_Stresses_Setup!$C$50:$BC$91,Interest_Rate_Stresses_Setup!$A91,FALSE)</f>
        <v>1.6834099999999998E-2</v>
      </c>
      <c r="BY43" s="12">
        <f>HLOOKUP(BY$2,Interest_Rate_Stresses_Setup!$C$50:$BC$91,Interest_Rate_Stresses_Setup!$A91,FALSE)</f>
        <v>3.08353E-2</v>
      </c>
      <c r="BZ43" s="12">
        <f>HLOOKUP(BZ$2,Interest_Rate_Stresses_Setup!$C$50:$BC$91,Interest_Rate_Stresses_Setup!$A91,FALSE)</f>
        <v>3.1786699999999994E-2</v>
      </c>
      <c r="CA43" s="12">
        <f>HLOOKUP(CA$2,Interest_Rate_Stresses_Setup!$C$50:$BC$91,Interest_Rate_Stresses_Setup!$A91,FALSE)</f>
        <v>8.4206000000000003E-3</v>
      </c>
      <c r="CB43" s="12">
        <f>HLOOKUP(CB$2,Interest_Rate_Stresses_Setup!$C$50:$BC$91,Interest_Rate_Stresses_Setup!$A91,FALSE)</f>
        <v>2.2904599999999997E-2</v>
      </c>
      <c r="CC43" s="12">
        <f>HLOOKUP(CC$2,Interest_Rate_Stresses_Setup!$C$50:$BC$91,Interest_Rate_Stresses_Setup!$A91,FALSE)</f>
        <v>2.8960899999999998E-2</v>
      </c>
      <c r="CD43" s="12">
        <f>HLOOKUP(CD$2,Interest_Rate_Stresses_Setup!$C$50:$BC$91,Interest_Rate_Stresses_Setup!$A91,FALSE)</f>
        <v>3.1041200000000001E-2</v>
      </c>
      <c r="CE43" s="12">
        <f>HLOOKUP(CE$2,Interest_Rate_Stresses_Setup!$C$50:$BC$91,Interest_Rate_Stresses_Setup!$A91,FALSE)</f>
        <v>4.0207299999999994E-2</v>
      </c>
      <c r="CF43" s="12">
        <f>HLOOKUP(CF$2,Interest_Rate_Stresses_Setup!$C$50:$BC$91,Interest_Rate_Stresses_Setup!$A91,FALSE)</f>
        <v>2.3515199999999997E-2</v>
      </c>
      <c r="CG43" s="12">
        <f>HLOOKUP(CG$2,Interest_Rate_Stresses_Setup!$C$50:$BC$91,Interest_Rate_Stresses_Setup!$A91,FALSE)</f>
        <v>8.1436999999999985E-3</v>
      </c>
      <c r="CH43" s="12">
        <f>HLOOKUP(CH$2,Interest_Rate_Stresses_Setup!$C$50:$BC$91,Interest_Rate_Stresses_Setup!$A91,FALSE)</f>
        <v>2.4239399999999998E-2</v>
      </c>
      <c r="CI43" s="12">
        <f>HLOOKUP(CI$2,Interest_Rate_Stresses_Setup!$C$50:$BC$91,Interest_Rate_Stresses_Setup!$A91,FALSE)</f>
        <v>5.0942499999999995E-2</v>
      </c>
      <c r="CJ43" s="12">
        <f>HLOOKUP(CJ$2,Interest_Rate_Stresses_Setup!$C$50:$BC$91,Interest_Rate_Stresses_Setup!$A91,FALSE)</f>
        <v>1.7792599999999999E-2</v>
      </c>
      <c r="CK43" s="12">
        <f>HLOOKUP(CK$2,Interest_Rate_Stresses_Setup!$C$50:$BC$91,Interest_Rate_Stresses_Setup!$A91,FALSE)</f>
        <v>3.0217599999999997E-2</v>
      </c>
      <c r="CL43" s="12">
        <f>HLOOKUP(CL$2,Interest_Rate_Stresses_Setup!$C$50:$BC$91,Interest_Rate_Stresses_Setup!$A91,FALSE)</f>
        <v>3.1119299999999999E-2</v>
      </c>
      <c r="CM43" s="12">
        <f>HLOOKUP(CM$2,Interest_Rate_Stresses_Setup!$C$50:$BC$91,Interest_Rate_Stresses_Setup!$A91,FALSE)</f>
        <v>3.7807499999999994E-2</v>
      </c>
      <c r="CN43" s="12">
        <f>HLOOKUP(CN$2,Interest_Rate_Stresses_Setup!$C$50:$BC$91,Interest_Rate_Stresses_Setup!$A91,FALSE)</f>
        <v>2.3202799999999999E-2</v>
      </c>
      <c r="CO43" s="12">
        <f>HLOOKUP(CO$2,Interest_Rate_Stresses_Setup!$C$50:$BC$91,Interest_Rate_Stresses_Setup!$A91,FALSE)</f>
        <v>4.3501699999999997E-2</v>
      </c>
      <c r="CP43" s="12">
        <f>HLOOKUP(CP$2,Interest_Rate_Stresses_Setup!$C$50:$BC$91,Interest_Rate_Stresses_Setup!$A91,FALSE)</f>
        <v>7.951999999999999E-3</v>
      </c>
      <c r="CQ43" s="12">
        <f>HLOOKUP(CQ$2,Interest_Rate_Stresses_Setup!$C$50:$BC$91,Interest_Rate_Stresses_Setup!$A91,FALSE)</f>
        <v>3.0813999999999998E-2</v>
      </c>
      <c r="CR43" s="12">
        <f>HLOOKUP(CR$2,Interest_Rate_Stresses_Setup!$C$50:$BC$91,Interest_Rate_Stresses_Setup!$A91,FALSE)</f>
        <v>5.0239600000000002E-2</v>
      </c>
      <c r="CS43" s="12">
        <f>HLOOKUP(CS$2,Interest_Rate_Stresses_Setup!$C$50:$BC$91,Interest_Rate_Stresses_Setup!$A91,FALSE)</f>
        <v>2.97703E-2</v>
      </c>
      <c r="CT43" s="12">
        <f>HLOOKUP(CT$2,Interest_Rate_Stresses_Setup!$C$50:$BC$91,Interest_Rate_Stresses_Setup!$A91,FALSE)</f>
        <v>2.30111E-2</v>
      </c>
      <c r="CU43" s="12">
        <f>HLOOKUP(CU$2,Interest_Rate_Stresses_Setup!$C$50:$BC$91,Interest_Rate_Stresses_Setup!$A91,FALSE)</f>
        <v>4.9976899999999991E-2</v>
      </c>
      <c r="CV43" s="12">
        <f>HLOOKUP(CV$2,Interest_Rate_Stresses_Setup!$C$50:$BC$91,Interest_Rate_Stresses_Setup!$A91,FALSE)</f>
        <v>1.90777E-2</v>
      </c>
      <c r="CW43" s="12">
        <f>HLOOKUP(CW$2,Interest_Rate_Stresses_Setup!$C$50:$BC$91,Interest_Rate_Stresses_Setup!$A91,FALSE)</f>
        <v>2.0653899999999999E-2</v>
      </c>
      <c r="CX43" s="12">
        <f>HLOOKUP(CX$2,Interest_Rate_Stresses_Setup!$C$50:$BC$91,Interest_Rate_Stresses_Setup!$A91,FALSE)</f>
        <v>2.4835799999999998E-2</v>
      </c>
      <c r="CY43" s="12">
        <f>HLOOKUP(CY$2,Interest_Rate_Stresses_Setup!$C$50:$BC$91,Interest_Rate_Stresses_Setup!$A91,FALSE)</f>
        <v>5.2454799999999996E-2</v>
      </c>
      <c r="CZ43" s="12">
        <f>HLOOKUP(CZ$2,Interest_Rate_Stresses_Setup!$C$50:$BC$91,Interest_Rate_Stresses_Setup!$A91,FALSE)</f>
        <v>1.7813900000000001E-2</v>
      </c>
      <c r="DA43" s="127">
        <f t="shared" si="2"/>
        <v>8.1436999999999985E-3</v>
      </c>
    </row>
    <row r="44" spans="1:105" x14ac:dyDescent="0.25">
      <c r="A44" s="11">
        <v>41</v>
      </c>
      <c r="B44" s="13">
        <f>B43</f>
        <v>2.3769999999999999E-2</v>
      </c>
      <c r="C44" s="13">
        <f t="shared" ref="C44:C73" si="3">C43</f>
        <v>2.3460000000000002E-2</v>
      </c>
      <c r="D44" s="13">
        <f t="shared" ref="D44:D73" si="4">D43</f>
        <v>3.7190000000000001E-2</v>
      </c>
      <c r="E44" s="13">
        <f t="shared" ref="E44:E73" si="5">E43</f>
        <v>2.7269999999999999E-2</v>
      </c>
      <c r="F44" s="13">
        <f t="shared" ref="F44:F73" si="6">F43</f>
        <v>2.3709999999999998E-2</v>
      </c>
      <c r="G44" s="13">
        <f t="shared" ref="G44:G73" si="7">G43</f>
        <v>4.3430000000000003E-2</v>
      </c>
      <c r="H44" s="13">
        <f t="shared" ref="H44:H73" si="8">H43</f>
        <v>4.4769999999999997E-2</v>
      </c>
      <c r="I44" s="13">
        <f t="shared" ref="I44:I73" si="9">I43</f>
        <v>1.1860000000000001E-2</v>
      </c>
      <c r="J44" s="13">
        <f t="shared" ref="J44:J73" si="10">J43</f>
        <v>3.2259999999999997E-2</v>
      </c>
      <c r="K44" s="13">
        <f t="shared" ref="K44:K73" si="11">K43</f>
        <v>4.079E-2</v>
      </c>
      <c r="L44" s="13">
        <f t="shared" ref="L44:L73" si="12">L43</f>
        <v>4.3720000000000002E-2</v>
      </c>
      <c r="M44" s="13">
        <f t="shared" ref="M44:M73" si="13">M43</f>
        <v>5.663E-2</v>
      </c>
      <c r="N44" s="13">
        <f t="shared" ref="N44:N73" si="14">N43</f>
        <v>3.3119999999999997E-2</v>
      </c>
      <c r="O44" s="13">
        <f t="shared" ref="O44:O73" si="15">O43</f>
        <v>1.1469999999999999E-2</v>
      </c>
      <c r="P44" s="13">
        <f t="shared" ref="P44:P73" si="16">P43</f>
        <v>3.4139999999999997E-2</v>
      </c>
      <c r="Q44" s="13">
        <f t="shared" ref="Q44:Q73" si="17">Q43</f>
        <v>7.1749999999999994E-2</v>
      </c>
      <c r="R44" s="13">
        <f t="shared" ref="R44:R73" si="18">R43</f>
        <v>2.5059999999999999E-2</v>
      </c>
      <c r="S44" s="13">
        <f t="shared" ref="S44:S73" si="19">S43</f>
        <v>4.2560000000000001E-2</v>
      </c>
      <c r="T44" s="13">
        <f t="shared" ref="T44:T73" si="20">T43</f>
        <v>4.3830000000000001E-2</v>
      </c>
      <c r="U44" s="13">
        <f t="shared" ref="U44:U73" si="21">U43</f>
        <v>5.3249999999999999E-2</v>
      </c>
      <c r="V44" s="13">
        <f t="shared" ref="V44:V73" si="22">V43</f>
        <v>3.2680000000000001E-2</v>
      </c>
      <c r="W44" s="13">
        <f t="shared" ref="W44:W73" si="23">W43</f>
        <v>6.1269999999999998E-2</v>
      </c>
      <c r="X44" s="13">
        <f t="shared" ref="X44:X73" si="24">X43</f>
        <v>1.12E-2</v>
      </c>
      <c r="Y44" s="13">
        <f t="shared" ref="Y44:Y73" si="25">Y43</f>
        <v>4.3400000000000001E-2</v>
      </c>
      <c r="Z44" s="13">
        <f t="shared" ref="Z44:Z73" si="26">Z43</f>
        <v>7.0760000000000003E-2</v>
      </c>
      <c r="AA44" s="13">
        <f t="shared" ref="AA44:AA73" si="27">AA43</f>
        <v>4.1930000000000002E-2</v>
      </c>
      <c r="AB44" s="13">
        <f t="shared" ref="AB44:AB73" si="28">AB43</f>
        <v>3.2410000000000001E-2</v>
      </c>
      <c r="AC44" s="13">
        <f t="shared" ref="AC44:AC73" si="29">AC43</f>
        <v>7.0389999999999994E-2</v>
      </c>
      <c r="AD44" s="13">
        <f t="shared" ref="AD44:AD73" si="30">AD43</f>
        <v>2.6870000000000002E-2</v>
      </c>
      <c r="AE44" s="13">
        <f t="shared" ref="AE44:AE73" si="31">AE43</f>
        <v>2.9090000000000001E-2</v>
      </c>
      <c r="AF44" s="13">
        <f t="shared" ref="AF44:AF73" si="32">AF43</f>
        <v>3.4979999999999997E-2</v>
      </c>
      <c r="AG44" s="13">
        <f t="shared" ref="AG44:AG73" si="33">AG43</f>
        <v>7.3880000000000001E-2</v>
      </c>
      <c r="AH44" s="13">
        <f t="shared" ref="AH44:AH73" si="34">AH43</f>
        <v>2.5090000000000001E-2</v>
      </c>
      <c r="AI44" s="127">
        <f t="shared" si="0"/>
        <v>1.1469999999999999E-2</v>
      </c>
      <c r="AJ44" s="16">
        <v>41</v>
      </c>
      <c r="AK44" s="13">
        <f>AK43</f>
        <v>3.3770000000000001E-2</v>
      </c>
      <c r="AL44" s="13">
        <f t="shared" ref="AL44:AL73" si="35">AL43</f>
        <v>3.3460000000000004E-2</v>
      </c>
      <c r="AM44" s="13">
        <f t="shared" ref="AM44:AM73" si="36">AM43</f>
        <v>4.7190000000000003E-2</v>
      </c>
      <c r="AN44" s="13">
        <f t="shared" ref="AN44:AN73" si="37">AN43</f>
        <v>3.7269999999999998E-2</v>
      </c>
      <c r="AO44" s="13">
        <f t="shared" ref="AO44:AO73" si="38">AO43</f>
        <v>3.3709999999999997E-2</v>
      </c>
      <c r="AP44" s="13">
        <f t="shared" ref="AP44:AP73" si="39">AP43</f>
        <v>5.3430000000000005E-2</v>
      </c>
      <c r="AQ44" s="13">
        <f t="shared" ref="AQ44:AQ73" si="40">AQ43</f>
        <v>5.4769999999999999E-2</v>
      </c>
      <c r="AR44" s="13">
        <f t="shared" ref="AR44:AR73" si="41">AR43</f>
        <v>2.1860000000000001E-2</v>
      </c>
      <c r="AS44" s="13">
        <f t="shared" ref="AS44:AS73" si="42">AS43</f>
        <v>4.2259999999999999E-2</v>
      </c>
      <c r="AT44" s="13">
        <f t="shared" ref="AT44:AT73" si="43">AT43</f>
        <v>5.0790000000000002E-2</v>
      </c>
      <c r="AU44" s="13">
        <f t="shared" ref="AU44:AU73" si="44">AU43</f>
        <v>5.3720000000000004E-2</v>
      </c>
      <c r="AV44" s="13">
        <f t="shared" ref="AV44:AV73" si="45">AV43</f>
        <v>6.6629999999999995E-2</v>
      </c>
      <c r="AW44" s="13">
        <f t="shared" ref="AW44:AW73" si="46">AW43</f>
        <v>4.3119999999999999E-2</v>
      </c>
      <c r="AX44" s="13">
        <f t="shared" ref="AX44:AX73" si="47">AX43</f>
        <v>2.147E-2</v>
      </c>
      <c r="AY44" s="13">
        <f t="shared" ref="AY44:AY73" si="48">AY43</f>
        <v>4.4139999999999999E-2</v>
      </c>
      <c r="AZ44" s="13">
        <f t="shared" ref="AZ44:AZ73" si="49">AZ43</f>
        <v>8.1749999999999989E-2</v>
      </c>
      <c r="BA44" s="13">
        <f t="shared" ref="BA44:BA73" si="50">BA43</f>
        <v>3.5060000000000001E-2</v>
      </c>
      <c r="BB44" s="13">
        <f t="shared" ref="BB44:BB73" si="51">BB43</f>
        <v>5.2560000000000003E-2</v>
      </c>
      <c r="BC44" s="13">
        <f t="shared" ref="BC44:BC73" si="52">BC43</f>
        <v>5.3830000000000003E-2</v>
      </c>
      <c r="BD44" s="13">
        <f t="shared" ref="BD44:BD73" si="53">BD43</f>
        <v>6.3250000000000001E-2</v>
      </c>
      <c r="BE44" s="13">
        <f t="shared" ref="BE44:BE73" si="54">BE43</f>
        <v>4.2680000000000003E-2</v>
      </c>
      <c r="BF44" s="13">
        <f t="shared" ref="BF44:BF73" si="55">BF43</f>
        <v>7.127E-2</v>
      </c>
      <c r="BG44" s="13">
        <f t="shared" ref="BG44:BG73" si="56">BG43</f>
        <v>2.12E-2</v>
      </c>
      <c r="BH44" s="13">
        <f t="shared" ref="BH44:BH73" si="57">BH43</f>
        <v>5.3400000000000003E-2</v>
      </c>
      <c r="BI44" s="13">
        <f t="shared" ref="BI44:BI73" si="58">BI43</f>
        <v>8.0759999999999998E-2</v>
      </c>
      <c r="BJ44" s="13">
        <f t="shared" ref="BJ44:BJ73" si="59">BJ43</f>
        <v>5.1930000000000004E-2</v>
      </c>
      <c r="BK44" s="13">
        <f t="shared" ref="BK44:BK73" si="60">BK43</f>
        <v>4.2410000000000003E-2</v>
      </c>
      <c r="BL44" s="13">
        <f t="shared" ref="BL44:BL73" si="61">BL43</f>
        <v>8.0389999999999989E-2</v>
      </c>
      <c r="BM44" s="13">
        <f t="shared" ref="BM44:BM73" si="62">BM43</f>
        <v>3.687E-2</v>
      </c>
      <c r="BN44" s="13">
        <f t="shared" ref="BN44:BN73" si="63">BN43</f>
        <v>3.909E-2</v>
      </c>
      <c r="BO44" s="13">
        <f t="shared" ref="BO44:BO73" si="64">BO43</f>
        <v>4.4979999999999999E-2</v>
      </c>
      <c r="BP44" s="13">
        <f t="shared" ref="BP44:BP73" si="65">BP43</f>
        <v>8.3879999999999996E-2</v>
      </c>
      <c r="BQ44" s="13">
        <f t="shared" ref="BQ44:BQ73" si="66">BQ43</f>
        <v>3.5090000000000003E-2</v>
      </c>
      <c r="BR44" s="127">
        <f t="shared" si="1"/>
        <v>2.147E-2</v>
      </c>
      <c r="BS44" s="16">
        <v>41</v>
      </c>
      <c r="BT44" s="13">
        <f>BT43</f>
        <v>1.6876699999999998E-2</v>
      </c>
      <c r="BU44" s="13">
        <f t="shared" ref="BU44:BU73" si="67">BU43</f>
        <v>1.6656600000000001E-2</v>
      </c>
      <c r="BV44" s="13">
        <f t="shared" ref="BV44:BV73" si="68">BV43</f>
        <v>2.6404899999999999E-2</v>
      </c>
      <c r="BW44" s="13">
        <f t="shared" ref="BW44:BW73" si="69">BW43</f>
        <v>1.9361699999999999E-2</v>
      </c>
      <c r="BX44" s="13">
        <f t="shared" ref="BX44:BX73" si="70">BX43</f>
        <v>1.6834099999999998E-2</v>
      </c>
      <c r="BY44" s="13">
        <f t="shared" ref="BY44:BY73" si="71">BY43</f>
        <v>3.08353E-2</v>
      </c>
      <c r="BZ44" s="13">
        <f t="shared" ref="BZ44:BZ73" si="72">BZ43</f>
        <v>3.1786699999999994E-2</v>
      </c>
      <c r="CA44" s="13">
        <f t="shared" ref="CA44:CA73" si="73">CA43</f>
        <v>8.4206000000000003E-3</v>
      </c>
      <c r="CB44" s="13">
        <f t="shared" ref="CB44:CB73" si="74">CB43</f>
        <v>2.2904599999999997E-2</v>
      </c>
      <c r="CC44" s="13">
        <f t="shared" ref="CC44:CC73" si="75">CC43</f>
        <v>2.8960899999999998E-2</v>
      </c>
      <c r="CD44" s="13">
        <f t="shared" ref="CD44:CD73" si="76">CD43</f>
        <v>3.1041200000000001E-2</v>
      </c>
      <c r="CE44" s="13">
        <f t="shared" ref="CE44:CE73" si="77">CE43</f>
        <v>4.0207299999999994E-2</v>
      </c>
      <c r="CF44" s="13">
        <f t="shared" ref="CF44:CF73" si="78">CF43</f>
        <v>2.3515199999999997E-2</v>
      </c>
      <c r="CG44" s="13">
        <f t="shared" ref="CG44:CG73" si="79">CG43</f>
        <v>8.1436999999999985E-3</v>
      </c>
      <c r="CH44" s="13">
        <f t="shared" ref="CH44:CH73" si="80">CH43</f>
        <v>2.4239399999999998E-2</v>
      </c>
      <c r="CI44" s="13">
        <f t="shared" ref="CI44:CI73" si="81">CI43</f>
        <v>5.0942499999999995E-2</v>
      </c>
      <c r="CJ44" s="13">
        <f t="shared" ref="CJ44:CJ73" si="82">CJ43</f>
        <v>1.7792599999999999E-2</v>
      </c>
      <c r="CK44" s="13">
        <f t="shared" ref="CK44:CK73" si="83">CK43</f>
        <v>3.0217599999999997E-2</v>
      </c>
      <c r="CL44" s="13">
        <f t="shared" ref="CL44:CL73" si="84">CL43</f>
        <v>3.1119299999999999E-2</v>
      </c>
      <c r="CM44" s="13">
        <f t="shared" ref="CM44:CM73" si="85">CM43</f>
        <v>3.7807499999999994E-2</v>
      </c>
      <c r="CN44" s="13">
        <f t="shared" ref="CN44:CN73" si="86">CN43</f>
        <v>2.3202799999999999E-2</v>
      </c>
      <c r="CO44" s="13">
        <f t="shared" ref="CO44:CO73" si="87">CO43</f>
        <v>4.3501699999999997E-2</v>
      </c>
      <c r="CP44" s="13">
        <f t="shared" ref="CP44:CP73" si="88">CP43</f>
        <v>7.951999999999999E-3</v>
      </c>
      <c r="CQ44" s="13">
        <f t="shared" ref="CQ44:CQ73" si="89">CQ43</f>
        <v>3.0813999999999998E-2</v>
      </c>
      <c r="CR44" s="13">
        <f t="shared" ref="CR44:CR73" si="90">CR43</f>
        <v>5.0239600000000002E-2</v>
      </c>
      <c r="CS44" s="13">
        <f t="shared" ref="CS44:CS73" si="91">CS43</f>
        <v>2.97703E-2</v>
      </c>
      <c r="CT44" s="13">
        <f t="shared" ref="CT44:CT73" si="92">CT43</f>
        <v>2.30111E-2</v>
      </c>
      <c r="CU44" s="13">
        <f t="shared" ref="CU44:CU73" si="93">CU43</f>
        <v>4.9976899999999991E-2</v>
      </c>
      <c r="CV44" s="13">
        <f t="shared" ref="CV44:CV73" si="94">CV43</f>
        <v>1.90777E-2</v>
      </c>
      <c r="CW44" s="13">
        <f t="shared" ref="CW44:CW73" si="95">CW43</f>
        <v>2.0653899999999999E-2</v>
      </c>
      <c r="CX44" s="13">
        <f t="shared" ref="CX44:CX73" si="96">CX43</f>
        <v>2.4835799999999998E-2</v>
      </c>
      <c r="CY44" s="13">
        <f t="shared" ref="CY44:CY73" si="97">CY43</f>
        <v>5.2454799999999996E-2</v>
      </c>
      <c r="CZ44" s="13">
        <f t="shared" ref="CZ44:CZ73" si="98">CZ43</f>
        <v>1.7813900000000001E-2</v>
      </c>
      <c r="DA44" s="127">
        <f t="shared" si="2"/>
        <v>8.1436999999999985E-3</v>
      </c>
    </row>
    <row r="45" spans="1:105" x14ac:dyDescent="0.25">
      <c r="A45" s="11">
        <v>42</v>
      </c>
      <c r="B45" s="13">
        <f t="shared" ref="B45:B73" si="99">B44</f>
        <v>2.3769999999999999E-2</v>
      </c>
      <c r="C45" s="13">
        <f t="shared" si="3"/>
        <v>2.3460000000000002E-2</v>
      </c>
      <c r="D45" s="13">
        <f t="shared" si="4"/>
        <v>3.7190000000000001E-2</v>
      </c>
      <c r="E45" s="13">
        <f t="shared" si="5"/>
        <v>2.7269999999999999E-2</v>
      </c>
      <c r="F45" s="13">
        <f t="shared" si="6"/>
        <v>2.3709999999999998E-2</v>
      </c>
      <c r="G45" s="13">
        <f t="shared" si="7"/>
        <v>4.3430000000000003E-2</v>
      </c>
      <c r="H45" s="13">
        <f t="shared" si="8"/>
        <v>4.4769999999999997E-2</v>
      </c>
      <c r="I45" s="13">
        <f t="shared" si="9"/>
        <v>1.1860000000000001E-2</v>
      </c>
      <c r="J45" s="13">
        <f t="shared" si="10"/>
        <v>3.2259999999999997E-2</v>
      </c>
      <c r="K45" s="13">
        <f t="shared" si="11"/>
        <v>4.079E-2</v>
      </c>
      <c r="L45" s="13">
        <f t="shared" si="12"/>
        <v>4.3720000000000002E-2</v>
      </c>
      <c r="M45" s="13">
        <f t="shared" si="13"/>
        <v>5.663E-2</v>
      </c>
      <c r="N45" s="13">
        <f t="shared" si="14"/>
        <v>3.3119999999999997E-2</v>
      </c>
      <c r="O45" s="13">
        <f t="shared" si="15"/>
        <v>1.1469999999999999E-2</v>
      </c>
      <c r="P45" s="13">
        <f t="shared" si="16"/>
        <v>3.4139999999999997E-2</v>
      </c>
      <c r="Q45" s="13">
        <f t="shared" si="17"/>
        <v>7.1749999999999994E-2</v>
      </c>
      <c r="R45" s="13">
        <f t="shared" si="18"/>
        <v>2.5059999999999999E-2</v>
      </c>
      <c r="S45" s="13">
        <f t="shared" si="19"/>
        <v>4.2560000000000001E-2</v>
      </c>
      <c r="T45" s="13">
        <f t="shared" si="20"/>
        <v>4.3830000000000001E-2</v>
      </c>
      <c r="U45" s="13">
        <f t="shared" si="21"/>
        <v>5.3249999999999999E-2</v>
      </c>
      <c r="V45" s="13">
        <f t="shared" si="22"/>
        <v>3.2680000000000001E-2</v>
      </c>
      <c r="W45" s="13">
        <f t="shared" si="23"/>
        <v>6.1269999999999998E-2</v>
      </c>
      <c r="X45" s="13">
        <f t="shared" si="24"/>
        <v>1.12E-2</v>
      </c>
      <c r="Y45" s="13">
        <f t="shared" si="25"/>
        <v>4.3400000000000001E-2</v>
      </c>
      <c r="Z45" s="13">
        <f t="shared" si="26"/>
        <v>7.0760000000000003E-2</v>
      </c>
      <c r="AA45" s="13">
        <f t="shared" si="27"/>
        <v>4.1930000000000002E-2</v>
      </c>
      <c r="AB45" s="13">
        <f t="shared" si="28"/>
        <v>3.2410000000000001E-2</v>
      </c>
      <c r="AC45" s="13">
        <f t="shared" si="29"/>
        <v>7.0389999999999994E-2</v>
      </c>
      <c r="AD45" s="13">
        <f t="shared" si="30"/>
        <v>2.6870000000000002E-2</v>
      </c>
      <c r="AE45" s="13">
        <f t="shared" si="31"/>
        <v>2.9090000000000001E-2</v>
      </c>
      <c r="AF45" s="13">
        <f t="shared" si="32"/>
        <v>3.4979999999999997E-2</v>
      </c>
      <c r="AG45" s="13">
        <f t="shared" si="33"/>
        <v>7.3880000000000001E-2</v>
      </c>
      <c r="AH45" s="13">
        <f t="shared" si="34"/>
        <v>2.5090000000000001E-2</v>
      </c>
      <c r="AI45" s="127">
        <f t="shared" si="0"/>
        <v>1.1469999999999999E-2</v>
      </c>
      <c r="AJ45" s="16">
        <v>42</v>
      </c>
      <c r="AK45" s="13">
        <f t="shared" ref="AK45:AK73" si="100">AK44</f>
        <v>3.3770000000000001E-2</v>
      </c>
      <c r="AL45" s="13">
        <f t="shared" si="35"/>
        <v>3.3460000000000004E-2</v>
      </c>
      <c r="AM45" s="13">
        <f t="shared" si="36"/>
        <v>4.7190000000000003E-2</v>
      </c>
      <c r="AN45" s="13">
        <f t="shared" si="37"/>
        <v>3.7269999999999998E-2</v>
      </c>
      <c r="AO45" s="13">
        <f t="shared" si="38"/>
        <v>3.3709999999999997E-2</v>
      </c>
      <c r="AP45" s="13">
        <f t="shared" si="39"/>
        <v>5.3430000000000005E-2</v>
      </c>
      <c r="AQ45" s="13">
        <f t="shared" si="40"/>
        <v>5.4769999999999999E-2</v>
      </c>
      <c r="AR45" s="13">
        <f t="shared" si="41"/>
        <v>2.1860000000000001E-2</v>
      </c>
      <c r="AS45" s="13">
        <f t="shared" si="42"/>
        <v>4.2259999999999999E-2</v>
      </c>
      <c r="AT45" s="13">
        <f t="shared" si="43"/>
        <v>5.0790000000000002E-2</v>
      </c>
      <c r="AU45" s="13">
        <f t="shared" si="44"/>
        <v>5.3720000000000004E-2</v>
      </c>
      <c r="AV45" s="13">
        <f t="shared" si="45"/>
        <v>6.6629999999999995E-2</v>
      </c>
      <c r="AW45" s="13">
        <f t="shared" si="46"/>
        <v>4.3119999999999999E-2</v>
      </c>
      <c r="AX45" s="13">
        <f t="shared" si="47"/>
        <v>2.147E-2</v>
      </c>
      <c r="AY45" s="13">
        <f t="shared" si="48"/>
        <v>4.4139999999999999E-2</v>
      </c>
      <c r="AZ45" s="13">
        <f t="shared" si="49"/>
        <v>8.1749999999999989E-2</v>
      </c>
      <c r="BA45" s="13">
        <f t="shared" si="50"/>
        <v>3.5060000000000001E-2</v>
      </c>
      <c r="BB45" s="13">
        <f t="shared" si="51"/>
        <v>5.2560000000000003E-2</v>
      </c>
      <c r="BC45" s="13">
        <f t="shared" si="52"/>
        <v>5.3830000000000003E-2</v>
      </c>
      <c r="BD45" s="13">
        <f t="shared" si="53"/>
        <v>6.3250000000000001E-2</v>
      </c>
      <c r="BE45" s="13">
        <f t="shared" si="54"/>
        <v>4.2680000000000003E-2</v>
      </c>
      <c r="BF45" s="13">
        <f t="shared" si="55"/>
        <v>7.127E-2</v>
      </c>
      <c r="BG45" s="13">
        <f t="shared" si="56"/>
        <v>2.12E-2</v>
      </c>
      <c r="BH45" s="13">
        <f t="shared" si="57"/>
        <v>5.3400000000000003E-2</v>
      </c>
      <c r="BI45" s="13">
        <f t="shared" si="58"/>
        <v>8.0759999999999998E-2</v>
      </c>
      <c r="BJ45" s="13">
        <f t="shared" si="59"/>
        <v>5.1930000000000004E-2</v>
      </c>
      <c r="BK45" s="13">
        <f t="shared" si="60"/>
        <v>4.2410000000000003E-2</v>
      </c>
      <c r="BL45" s="13">
        <f t="shared" si="61"/>
        <v>8.0389999999999989E-2</v>
      </c>
      <c r="BM45" s="13">
        <f t="shared" si="62"/>
        <v>3.687E-2</v>
      </c>
      <c r="BN45" s="13">
        <f t="shared" si="63"/>
        <v>3.909E-2</v>
      </c>
      <c r="BO45" s="13">
        <f t="shared" si="64"/>
        <v>4.4979999999999999E-2</v>
      </c>
      <c r="BP45" s="13">
        <f t="shared" si="65"/>
        <v>8.3879999999999996E-2</v>
      </c>
      <c r="BQ45" s="13">
        <f t="shared" si="66"/>
        <v>3.5090000000000003E-2</v>
      </c>
      <c r="BR45" s="127">
        <f t="shared" si="1"/>
        <v>2.147E-2</v>
      </c>
      <c r="BS45" s="16">
        <v>42</v>
      </c>
      <c r="BT45" s="13">
        <f t="shared" ref="BT45:BT73" si="101">BT44</f>
        <v>1.6876699999999998E-2</v>
      </c>
      <c r="BU45" s="13">
        <f t="shared" si="67"/>
        <v>1.6656600000000001E-2</v>
      </c>
      <c r="BV45" s="13">
        <f t="shared" si="68"/>
        <v>2.6404899999999999E-2</v>
      </c>
      <c r="BW45" s="13">
        <f t="shared" si="69"/>
        <v>1.9361699999999999E-2</v>
      </c>
      <c r="BX45" s="13">
        <f t="shared" si="70"/>
        <v>1.6834099999999998E-2</v>
      </c>
      <c r="BY45" s="13">
        <f t="shared" si="71"/>
        <v>3.08353E-2</v>
      </c>
      <c r="BZ45" s="13">
        <f t="shared" si="72"/>
        <v>3.1786699999999994E-2</v>
      </c>
      <c r="CA45" s="13">
        <f t="shared" si="73"/>
        <v>8.4206000000000003E-3</v>
      </c>
      <c r="CB45" s="13">
        <f t="shared" si="74"/>
        <v>2.2904599999999997E-2</v>
      </c>
      <c r="CC45" s="13">
        <f t="shared" si="75"/>
        <v>2.8960899999999998E-2</v>
      </c>
      <c r="CD45" s="13">
        <f t="shared" si="76"/>
        <v>3.1041200000000001E-2</v>
      </c>
      <c r="CE45" s="13">
        <f t="shared" si="77"/>
        <v>4.0207299999999994E-2</v>
      </c>
      <c r="CF45" s="13">
        <f t="shared" si="78"/>
        <v>2.3515199999999997E-2</v>
      </c>
      <c r="CG45" s="13">
        <f t="shared" si="79"/>
        <v>8.1436999999999985E-3</v>
      </c>
      <c r="CH45" s="13">
        <f t="shared" si="80"/>
        <v>2.4239399999999998E-2</v>
      </c>
      <c r="CI45" s="13">
        <f t="shared" si="81"/>
        <v>5.0942499999999995E-2</v>
      </c>
      <c r="CJ45" s="13">
        <f t="shared" si="82"/>
        <v>1.7792599999999999E-2</v>
      </c>
      <c r="CK45" s="13">
        <f t="shared" si="83"/>
        <v>3.0217599999999997E-2</v>
      </c>
      <c r="CL45" s="13">
        <f t="shared" si="84"/>
        <v>3.1119299999999999E-2</v>
      </c>
      <c r="CM45" s="13">
        <f t="shared" si="85"/>
        <v>3.7807499999999994E-2</v>
      </c>
      <c r="CN45" s="13">
        <f t="shared" si="86"/>
        <v>2.3202799999999999E-2</v>
      </c>
      <c r="CO45" s="13">
        <f t="shared" si="87"/>
        <v>4.3501699999999997E-2</v>
      </c>
      <c r="CP45" s="13">
        <f t="shared" si="88"/>
        <v>7.951999999999999E-3</v>
      </c>
      <c r="CQ45" s="13">
        <f t="shared" si="89"/>
        <v>3.0813999999999998E-2</v>
      </c>
      <c r="CR45" s="13">
        <f t="shared" si="90"/>
        <v>5.0239600000000002E-2</v>
      </c>
      <c r="CS45" s="13">
        <f t="shared" si="91"/>
        <v>2.97703E-2</v>
      </c>
      <c r="CT45" s="13">
        <f t="shared" si="92"/>
        <v>2.30111E-2</v>
      </c>
      <c r="CU45" s="13">
        <f t="shared" si="93"/>
        <v>4.9976899999999991E-2</v>
      </c>
      <c r="CV45" s="13">
        <f t="shared" si="94"/>
        <v>1.90777E-2</v>
      </c>
      <c r="CW45" s="13">
        <f t="shared" si="95"/>
        <v>2.0653899999999999E-2</v>
      </c>
      <c r="CX45" s="13">
        <f t="shared" si="96"/>
        <v>2.4835799999999998E-2</v>
      </c>
      <c r="CY45" s="13">
        <f t="shared" si="97"/>
        <v>5.2454799999999996E-2</v>
      </c>
      <c r="CZ45" s="13">
        <f t="shared" si="98"/>
        <v>1.7813900000000001E-2</v>
      </c>
      <c r="DA45" s="127">
        <f t="shared" si="2"/>
        <v>8.1436999999999985E-3</v>
      </c>
    </row>
    <row r="46" spans="1:105" x14ac:dyDescent="0.25">
      <c r="A46" s="11">
        <v>43</v>
      </c>
      <c r="B46" s="13">
        <f t="shared" si="99"/>
        <v>2.3769999999999999E-2</v>
      </c>
      <c r="C46" s="13">
        <f t="shared" si="3"/>
        <v>2.3460000000000002E-2</v>
      </c>
      <c r="D46" s="13">
        <f t="shared" si="4"/>
        <v>3.7190000000000001E-2</v>
      </c>
      <c r="E46" s="13">
        <f t="shared" si="5"/>
        <v>2.7269999999999999E-2</v>
      </c>
      <c r="F46" s="13">
        <f t="shared" si="6"/>
        <v>2.3709999999999998E-2</v>
      </c>
      <c r="G46" s="13">
        <f t="shared" si="7"/>
        <v>4.3430000000000003E-2</v>
      </c>
      <c r="H46" s="13">
        <f t="shared" si="8"/>
        <v>4.4769999999999997E-2</v>
      </c>
      <c r="I46" s="13">
        <f t="shared" si="9"/>
        <v>1.1860000000000001E-2</v>
      </c>
      <c r="J46" s="13">
        <f t="shared" si="10"/>
        <v>3.2259999999999997E-2</v>
      </c>
      <c r="K46" s="13">
        <f t="shared" si="11"/>
        <v>4.079E-2</v>
      </c>
      <c r="L46" s="13">
        <f t="shared" si="12"/>
        <v>4.3720000000000002E-2</v>
      </c>
      <c r="M46" s="13">
        <f t="shared" si="13"/>
        <v>5.663E-2</v>
      </c>
      <c r="N46" s="13">
        <f t="shared" si="14"/>
        <v>3.3119999999999997E-2</v>
      </c>
      <c r="O46" s="13">
        <f t="shared" si="15"/>
        <v>1.1469999999999999E-2</v>
      </c>
      <c r="P46" s="13">
        <f t="shared" si="16"/>
        <v>3.4139999999999997E-2</v>
      </c>
      <c r="Q46" s="13">
        <f t="shared" si="17"/>
        <v>7.1749999999999994E-2</v>
      </c>
      <c r="R46" s="13">
        <f t="shared" si="18"/>
        <v>2.5059999999999999E-2</v>
      </c>
      <c r="S46" s="13">
        <f t="shared" si="19"/>
        <v>4.2560000000000001E-2</v>
      </c>
      <c r="T46" s="13">
        <f t="shared" si="20"/>
        <v>4.3830000000000001E-2</v>
      </c>
      <c r="U46" s="13">
        <f t="shared" si="21"/>
        <v>5.3249999999999999E-2</v>
      </c>
      <c r="V46" s="13">
        <f t="shared" si="22"/>
        <v>3.2680000000000001E-2</v>
      </c>
      <c r="W46" s="13">
        <f t="shared" si="23"/>
        <v>6.1269999999999998E-2</v>
      </c>
      <c r="X46" s="13">
        <f t="shared" si="24"/>
        <v>1.12E-2</v>
      </c>
      <c r="Y46" s="13">
        <f t="shared" si="25"/>
        <v>4.3400000000000001E-2</v>
      </c>
      <c r="Z46" s="13">
        <f t="shared" si="26"/>
        <v>7.0760000000000003E-2</v>
      </c>
      <c r="AA46" s="13">
        <f t="shared" si="27"/>
        <v>4.1930000000000002E-2</v>
      </c>
      <c r="AB46" s="13">
        <f t="shared" si="28"/>
        <v>3.2410000000000001E-2</v>
      </c>
      <c r="AC46" s="13">
        <f t="shared" si="29"/>
        <v>7.0389999999999994E-2</v>
      </c>
      <c r="AD46" s="13">
        <f t="shared" si="30"/>
        <v>2.6870000000000002E-2</v>
      </c>
      <c r="AE46" s="13">
        <f t="shared" si="31"/>
        <v>2.9090000000000001E-2</v>
      </c>
      <c r="AF46" s="13">
        <f t="shared" si="32"/>
        <v>3.4979999999999997E-2</v>
      </c>
      <c r="AG46" s="13">
        <f t="shared" si="33"/>
        <v>7.3880000000000001E-2</v>
      </c>
      <c r="AH46" s="13">
        <f t="shared" si="34"/>
        <v>2.5090000000000001E-2</v>
      </c>
      <c r="AI46" s="127">
        <f t="shared" si="0"/>
        <v>1.1469999999999999E-2</v>
      </c>
      <c r="AJ46" s="16">
        <v>43</v>
      </c>
      <c r="AK46" s="13">
        <f t="shared" si="100"/>
        <v>3.3770000000000001E-2</v>
      </c>
      <c r="AL46" s="13">
        <f t="shared" si="35"/>
        <v>3.3460000000000004E-2</v>
      </c>
      <c r="AM46" s="13">
        <f t="shared" si="36"/>
        <v>4.7190000000000003E-2</v>
      </c>
      <c r="AN46" s="13">
        <f t="shared" si="37"/>
        <v>3.7269999999999998E-2</v>
      </c>
      <c r="AO46" s="13">
        <f t="shared" si="38"/>
        <v>3.3709999999999997E-2</v>
      </c>
      <c r="AP46" s="13">
        <f t="shared" si="39"/>
        <v>5.3430000000000005E-2</v>
      </c>
      <c r="AQ46" s="13">
        <f t="shared" si="40"/>
        <v>5.4769999999999999E-2</v>
      </c>
      <c r="AR46" s="13">
        <f t="shared" si="41"/>
        <v>2.1860000000000001E-2</v>
      </c>
      <c r="AS46" s="13">
        <f t="shared" si="42"/>
        <v>4.2259999999999999E-2</v>
      </c>
      <c r="AT46" s="13">
        <f t="shared" si="43"/>
        <v>5.0790000000000002E-2</v>
      </c>
      <c r="AU46" s="13">
        <f t="shared" si="44"/>
        <v>5.3720000000000004E-2</v>
      </c>
      <c r="AV46" s="13">
        <f t="shared" si="45"/>
        <v>6.6629999999999995E-2</v>
      </c>
      <c r="AW46" s="13">
        <f t="shared" si="46"/>
        <v>4.3119999999999999E-2</v>
      </c>
      <c r="AX46" s="13">
        <f t="shared" si="47"/>
        <v>2.147E-2</v>
      </c>
      <c r="AY46" s="13">
        <f t="shared" si="48"/>
        <v>4.4139999999999999E-2</v>
      </c>
      <c r="AZ46" s="13">
        <f t="shared" si="49"/>
        <v>8.1749999999999989E-2</v>
      </c>
      <c r="BA46" s="13">
        <f t="shared" si="50"/>
        <v>3.5060000000000001E-2</v>
      </c>
      <c r="BB46" s="13">
        <f t="shared" si="51"/>
        <v>5.2560000000000003E-2</v>
      </c>
      <c r="BC46" s="13">
        <f t="shared" si="52"/>
        <v>5.3830000000000003E-2</v>
      </c>
      <c r="BD46" s="13">
        <f t="shared" si="53"/>
        <v>6.3250000000000001E-2</v>
      </c>
      <c r="BE46" s="13">
        <f t="shared" si="54"/>
        <v>4.2680000000000003E-2</v>
      </c>
      <c r="BF46" s="13">
        <f t="shared" si="55"/>
        <v>7.127E-2</v>
      </c>
      <c r="BG46" s="13">
        <f t="shared" si="56"/>
        <v>2.12E-2</v>
      </c>
      <c r="BH46" s="13">
        <f t="shared" si="57"/>
        <v>5.3400000000000003E-2</v>
      </c>
      <c r="BI46" s="13">
        <f t="shared" si="58"/>
        <v>8.0759999999999998E-2</v>
      </c>
      <c r="BJ46" s="13">
        <f t="shared" si="59"/>
        <v>5.1930000000000004E-2</v>
      </c>
      <c r="BK46" s="13">
        <f t="shared" si="60"/>
        <v>4.2410000000000003E-2</v>
      </c>
      <c r="BL46" s="13">
        <f t="shared" si="61"/>
        <v>8.0389999999999989E-2</v>
      </c>
      <c r="BM46" s="13">
        <f t="shared" si="62"/>
        <v>3.687E-2</v>
      </c>
      <c r="BN46" s="13">
        <f t="shared" si="63"/>
        <v>3.909E-2</v>
      </c>
      <c r="BO46" s="13">
        <f t="shared" si="64"/>
        <v>4.4979999999999999E-2</v>
      </c>
      <c r="BP46" s="13">
        <f t="shared" si="65"/>
        <v>8.3879999999999996E-2</v>
      </c>
      <c r="BQ46" s="13">
        <f t="shared" si="66"/>
        <v>3.5090000000000003E-2</v>
      </c>
      <c r="BR46" s="127">
        <f t="shared" si="1"/>
        <v>2.147E-2</v>
      </c>
      <c r="BS46" s="16">
        <v>43</v>
      </c>
      <c r="BT46" s="13">
        <f t="shared" si="101"/>
        <v>1.6876699999999998E-2</v>
      </c>
      <c r="BU46" s="13">
        <f t="shared" si="67"/>
        <v>1.6656600000000001E-2</v>
      </c>
      <c r="BV46" s="13">
        <f t="shared" si="68"/>
        <v>2.6404899999999999E-2</v>
      </c>
      <c r="BW46" s="13">
        <f t="shared" si="69"/>
        <v>1.9361699999999999E-2</v>
      </c>
      <c r="BX46" s="13">
        <f t="shared" si="70"/>
        <v>1.6834099999999998E-2</v>
      </c>
      <c r="BY46" s="13">
        <f t="shared" si="71"/>
        <v>3.08353E-2</v>
      </c>
      <c r="BZ46" s="13">
        <f t="shared" si="72"/>
        <v>3.1786699999999994E-2</v>
      </c>
      <c r="CA46" s="13">
        <f t="shared" si="73"/>
        <v>8.4206000000000003E-3</v>
      </c>
      <c r="CB46" s="13">
        <f t="shared" si="74"/>
        <v>2.2904599999999997E-2</v>
      </c>
      <c r="CC46" s="13">
        <f t="shared" si="75"/>
        <v>2.8960899999999998E-2</v>
      </c>
      <c r="CD46" s="13">
        <f t="shared" si="76"/>
        <v>3.1041200000000001E-2</v>
      </c>
      <c r="CE46" s="13">
        <f t="shared" si="77"/>
        <v>4.0207299999999994E-2</v>
      </c>
      <c r="CF46" s="13">
        <f t="shared" si="78"/>
        <v>2.3515199999999997E-2</v>
      </c>
      <c r="CG46" s="13">
        <f t="shared" si="79"/>
        <v>8.1436999999999985E-3</v>
      </c>
      <c r="CH46" s="13">
        <f t="shared" si="80"/>
        <v>2.4239399999999998E-2</v>
      </c>
      <c r="CI46" s="13">
        <f t="shared" si="81"/>
        <v>5.0942499999999995E-2</v>
      </c>
      <c r="CJ46" s="13">
        <f t="shared" si="82"/>
        <v>1.7792599999999999E-2</v>
      </c>
      <c r="CK46" s="13">
        <f t="shared" si="83"/>
        <v>3.0217599999999997E-2</v>
      </c>
      <c r="CL46" s="13">
        <f t="shared" si="84"/>
        <v>3.1119299999999999E-2</v>
      </c>
      <c r="CM46" s="13">
        <f t="shared" si="85"/>
        <v>3.7807499999999994E-2</v>
      </c>
      <c r="CN46" s="13">
        <f t="shared" si="86"/>
        <v>2.3202799999999999E-2</v>
      </c>
      <c r="CO46" s="13">
        <f t="shared" si="87"/>
        <v>4.3501699999999997E-2</v>
      </c>
      <c r="CP46" s="13">
        <f t="shared" si="88"/>
        <v>7.951999999999999E-3</v>
      </c>
      <c r="CQ46" s="13">
        <f t="shared" si="89"/>
        <v>3.0813999999999998E-2</v>
      </c>
      <c r="CR46" s="13">
        <f t="shared" si="90"/>
        <v>5.0239600000000002E-2</v>
      </c>
      <c r="CS46" s="13">
        <f t="shared" si="91"/>
        <v>2.97703E-2</v>
      </c>
      <c r="CT46" s="13">
        <f t="shared" si="92"/>
        <v>2.30111E-2</v>
      </c>
      <c r="CU46" s="13">
        <f t="shared" si="93"/>
        <v>4.9976899999999991E-2</v>
      </c>
      <c r="CV46" s="13">
        <f t="shared" si="94"/>
        <v>1.90777E-2</v>
      </c>
      <c r="CW46" s="13">
        <f t="shared" si="95"/>
        <v>2.0653899999999999E-2</v>
      </c>
      <c r="CX46" s="13">
        <f t="shared" si="96"/>
        <v>2.4835799999999998E-2</v>
      </c>
      <c r="CY46" s="13">
        <f t="shared" si="97"/>
        <v>5.2454799999999996E-2</v>
      </c>
      <c r="CZ46" s="13">
        <f t="shared" si="98"/>
        <v>1.7813900000000001E-2</v>
      </c>
      <c r="DA46" s="127">
        <f t="shared" si="2"/>
        <v>8.1436999999999985E-3</v>
      </c>
    </row>
    <row r="47" spans="1:105" x14ac:dyDescent="0.25">
      <c r="A47" s="11">
        <v>44</v>
      </c>
      <c r="B47" s="13">
        <f t="shared" si="99"/>
        <v>2.3769999999999999E-2</v>
      </c>
      <c r="C47" s="13">
        <f t="shared" si="3"/>
        <v>2.3460000000000002E-2</v>
      </c>
      <c r="D47" s="13">
        <f t="shared" si="4"/>
        <v>3.7190000000000001E-2</v>
      </c>
      <c r="E47" s="13">
        <f t="shared" si="5"/>
        <v>2.7269999999999999E-2</v>
      </c>
      <c r="F47" s="13">
        <f t="shared" si="6"/>
        <v>2.3709999999999998E-2</v>
      </c>
      <c r="G47" s="13">
        <f t="shared" si="7"/>
        <v>4.3430000000000003E-2</v>
      </c>
      <c r="H47" s="13">
        <f t="shared" si="8"/>
        <v>4.4769999999999997E-2</v>
      </c>
      <c r="I47" s="13">
        <f t="shared" si="9"/>
        <v>1.1860000000000001E-2</v>
      </c>
      <c r="J47" s="13">
        <f t="shared" si="10"/>
        <v>3.2259999999999997E-2</v>
      </c>
      <c r="K47" s="13">
        <f t="shared" si="11"/>
        <v>4.079E-2</v>
      </c>
      <c r="L47" s="13">
        <f t="shared" si="12"/>
        <v>4.3720000000000002E-2</v>
      </c>
      <c r="M47" s="13">
        <f t="shared" si="13"/>
        <v>5.663E-2</v>
      </c>
      <c r="N47" s="13">
        <f t="shared" si="14"/>
        <v>3.3119999999999997E-2</v>
      </c>
      <c r="O47" s="13">
        <f t="shared" si="15"/>
        <v>1.1469999999999999E-2</v>
      </c>
      <c r="P47" s="13">
        <f t="shared" si="16"/>
        <v>3.4139999999999997E-2</v>
      </c>
      <c r="Q47" s="13">
        <f t="shared" si="17"/>
        <v>7.1749999999999994E-2</v>
      </c>
      <c r="R47" s="13">
        <f t="shared" si="18"/>
        <v>2.5059999999999999E-2</v>
      </c>
      <c r="S47" s="13">
        <f t="shared" si="19"/>
        <v>4.2560000000000001E-2</v>
      </c>
      <c r="T47" s="13">
        <f t="shared" si="20"/>
        <v>4.3830000000000001E-2</v>
      </c>
      <c r="U47" s="13">
        <f t="shared" si="21"/>
        <v>5.3249999999999999E-2</v>
      </c>
      <c r="V47" s="13">
        <f t="shared" si="22"/>
        <v>3.2680000000000001E-2</v>
      </c>
      <c r="W47" s="13">
        <f t="shared" si="23"/>
        <v>6.1269999999999998E-2</v>
      </c>
      <c r="X47" s="13">
        <f t="shared" si="24"/>
        <v>1.12E-2</v>
      </c>
      <c r="Y47" s="13">
        <f t="shared" si="25"/>
        <v>4.3400000000000001E-2</v>
      </c>
      <c r="Z47" s="13">
        <f t="shared" si="26"/>
        <v>7.0760000000000003E-2</v>
      </c>
      <c r="AA47" s="13">
        <f t="shared" si="27"/>
        <v>4.1930000000000002E-2</v>
      </c>
      <c r="AB47" s="13">
        <f t="shared" si="28"/>
        <v>3.2410000000000001E-2</v>
      </c>
      <c r="AC47" s="13">
        <f t="shared" si="29"/>
        <v>7.0389999999999994E-2</v>
      </c>
      <c r="AD47" s="13">
        <f t="shared" si="30"/>
        <v>2.6870000000000002E-2</v>
      </c>
      <c r="AE47" s="13">
        <f t="shared" si="31"/>
        <v>2.9090000000000001E-2</v>
      </c>
      <c r="AF47" s="13">
        <f t="shared" si="32"/>
        <v>3.4979999999999997E-2</v>
      </c>
      <c r="AG47" s="13">
        <f t="shared" si="33"/>
        <v>7.3880000000000001E-2</v>
      </c>
      <c r="AH47" s="13">
        <f t="shared" si="34"/>
        <v>2.5090000000000001E-2</v>
      </c>
      <c r="AI47" s="127">
        <f t="shared" si="0"/>
        <v>1.1469999999999999E-2</v>
      </c>
      <c r="AJ47" s="16">
        <v>44</v>
      </c>
      <c r="AK47" s="13">
        <f t="shared" si="100"/>
        <v>3.3770000000000001E-2</v>
      </c>
      <c r="AL47" s="13">
        <f t="shared" si="35"/>
        <v>3.3460000000000004E-2</v>
      </c>
      <c r="AM47" s="13">
        <f t="shared" si="36"/>
        <v>4.7190000000000003E-2</v>
      </c>
      <c r="AN47" s="13">
        <f t="shared" si="37"/>
        <v>3.7269999999999998E-2</v>
      </c>
      <c r="AO47" s="13">
        <f t="shared" si="38"/>
        <v>3.3709999999999997E-2</v>
      </c>
      <c r="AP47" s="13">
        <f t="shared" si="39"/>
        <v>5.3430000000000005E-2</v>
      </c>
      <c r="AQ47" s="13">
        <f t="shared" si="40"/>
        <v>5.4769999999999999E-2</v>
      </c>
      <c r="AR47" s="13">
        <f t="shared" si="41"/>
        <v>2.1860000000000001E-2</v>
      </c>
      <c r="AS47" s="13">
        <f t="shared" si="42"/>
        <v>4.2259999999999999E-2</v>
      </c>
      <c r="AT47" s="13">
        <f t="shared" si="43"/>
        <v>5.0790000000000002E-2</v>
      </c>
      <c r="AU47" s="13">
        <f t="shared" si="44"/>
        <v>5.3720000000000004E-2</v>
      </c>
      <c r="AV47" s="13">
        <f t="shared" si="45"/>
        <v>6.6629999999999995E-2</v>
      </c>
      <c r="AW47" s="13">
        <f t="shared" si="46"/>
        <v>4.3119999999999999E-2</v>
      </c>
      <c r="AX47" s="13">
        <f t="shared" si="47"/>
        <v>2.147E-2</v>
      </c>
      <c r="AY47" s="13">
        <f t="shared" si="48"/>
        <v>4.4139999999999999E-2</v>
      </c>
      <c r="AZ47" s="13">
        <f t="shared" si="49"/>
        <v>8.1749999999999989E-2</v>
      </c>
      <c r="BA47" s="13">
        <f t="shared" si="50"/>
        <v>3.5060000000000001E-2</v>
      </c>
      <c r="BB47" s="13">
        <f t="shared" si="51"/>
        <v>5.2560000000000003E-2</v>
      </c>
      <c r="BC47" s="13">
        <f t="shared" si="52"/>
        <v>5.3830000000000003E-2</v>
      </c>
      <c r="BD47" s="13">
        <f t="shared" si="53"/>
        <v>6.3250000000000001E-2</v>
      </c>
      <c r="BE47" s="13">
        <f t="shared" si="54"/>
        <v>4.2680000000000003E-2</v>
      </c>
      <c r="BF47" s="13">
        <f t="shared" si="55"/>
        <v>7.127E-2</v>
      </c>
      <c r="BG47" s="13">
        <f t="shared" si="56"/>
        <v>2.12E-2</v>
      </c>
      <c r="BH47" s="13">
        <f t="shared" si="57"/>
        <v>5.3400000000000003E-2</v>
      </c>
      <c r="BI47" s="13">
        <f t="shared" si="58"/>
        <v>8.0759999999999998E-2</v>
      </c>
      <c r="BJ47" s="13">
        <f t="shared" si="59"/>
        <v>5.1930000000000004E-2</v>
      </c>
      <c r="BK47" s="13">
        <f t="shared" si="60"/>
        <v>4.2410000000000003E-2</v>
      </c>
      <c r="BL47" s="13">
        <f t="shared" si="61"/>
        <v>8.0389999999999989E-2</v>
      </c>
      <c r="BM47" s="13">
        <f t="shared" si="62"/>
        <v>3.687E-2</v>
      </c>
      <c r="BN47" s="13">
        <f t="shared" si="63"/>
        <v>3.909E-2</v>
      </c>
      <c r="BO47" s="13">
        <f t="shared" si="64"/>
        <v>4.4979999999999999E-2</v>
      </c>
      <c r="BP47" s="13">
        <f t="shared" si="65"/>
        <v>8.3879999999999996E-2</v>
      </c>
      <c r="BQ47" s="13">
        <f t="shared" si="66"/>
        <v>3.5090000000000003E-2</v>
      </c>
      <c r="BR47" s="127">
        <f t="shared" si="1"/>
        <v>2.147E-2</v>
      </c>
      <c r="BS47" s="16">
        <v>44</v>
      </c>
      <c r="BT47" s="13">
        <f t="shared" si="101"/>
        <v>1.6876699999999998E-2</v>
      </c>
      <c r="BU47" s="13">
        <f t="shared" si="67"/>
        <v>1.6656600000000001E-2</v>
      </c>
      <c r="BV47" s="13">
        <f t="shared" si="68"/>
        <v>2.6404899999999999E-2</v>
      </c>
      <c r="BW47" s="13">
        <f t="shared" si="69"/>
        <v>1.9361699999999999E-2</v>
      </c>
      <c r="BX47" s="13">
        <f t="shared" si="70"/>
        <v>1.6834099999999998E-2</v>
      </c>
      <c r="BY47" s="13">
        <f t="shared" si="71"/>
        <v>3.08353E-2</v>
      </c>
      <c r="BZ47" s="13">
        <f t="shared" si="72"/>
        <v>3.1786699999999994E-2</v>
      </c>
      <c r="CA47" s="13">
        <f t="shared" si="73"/>
        <v>8.4206000000000003E-3</v>
      </c>
      <c r="CB47" s="13">
        <f t="shared" si="74"/>
        <v>2.2904599999999997E-2</v>
      </c>
      <c r="CC47" s="13">
        <f t="shared" si="75"/>
        <v>2.8960899999999998E-2</v>
      </c>
      <c r="CD47" s="13">
        <f t="shared" si="76"/>
        <v>3.1041200000000001E-2</v>
      </c>
      <c r="CE47" s="13">
        <f t="shared" si="77"/>
        <v>4.0207299999999994E-2</v>
      </c>
      <c r="CF47" s="13">
        <f t="shared" si="78"/>
        <v>2.3515199999999997E-2</v>
      </c>
      <c r="CG47" s="13">
        <f t="shared" si="79"/>
        <v>8.1436999999999985E-3</v>
      </c>
      <c r="CH47" s="13">
        <f t="shared" si="80"/>
        <v>2.4239399999999998E-2</v>
      </c>
      <c r="CI47" s="13">
        <f t="shared" si="81"/>
        <v>5.0942499999999995E-2</v>
      </c>
      <c r="CJ47" s="13">
        <f t="shared" si="82"/>
        <v>1.7792599999999999E-2</v>
      </c>
      <c r="CK47" s="13">
        <f t="shared" si="83"/>
        <v>3.0217599999999997E-2</v>
      </c>
      <c r="CL47" s="13">
        <f t="shared" si="84"/>
        <v>3.1119299999999999E-2</v>
      </c>
      <c r="CM47" s="13">
        <f t="shared" si="85"/>
        <v>3.7807499999999994E-2</v>
      </c>
      <c r="CN47" s="13">
        <f t="shared" si="86"/>
        <v>2.3202799999999999E-2</v>
      </c>
      <c r="CO47" s="13">
        <f t="shared" si="87"/>
        <v>4.3501699999999997E-2</v>
      </c>
      <c r="CP47" s="13">
        <f t="shared" si="88"/>
        <v>7.951999999999999E-3</v>
      </c>
      <c r="CQ47" s="13">
        <f t="shared" si="89"/>
        <v>3.0813999999999998E-2</v>
      </c>
      <c r="CR47" s="13">
        <f t="shared" si="90"/>
        <v>5.0239600000000002E-2</v>
      </c>
      <c r="CS47" s="13">
        <f t="shared" si="91"/>
        <v>2.97703E-2</v>
      </c>
      <c r="CT47" s="13">
        <f t="shared" si="92"/>
        <v>2.30111E-2</v>
      </c>
      <c r="CU47" s="13">
        <f t="shared" si="93"/>
        <v>4.9976899999999991E-2</v>
      </c>
      <c r="CV47" s="13">
        <f t="shared" si="94"/>
        <v>1.90777E-2</v>
      </c>
      <c r="CW47" s="13">
        <f t="shared" si="95"/>
        <v>2.0653899999999999E-2</v>
      </c>
      <c r="CX47" s="13">
        <f t="shared" si="96"/>
        <v>2.4835799999999998E-2</v>
      </c>
      <c r="CY47" s="13">
        <f t="shared" si="97"/>
        <v>5.2454799999999996E-2</v>
      </c>
      <c r="CZ47" s="13">
        <f t="shared" si="98"/>
        <v>1.7813900000000001E-2</v>
      </c>
      <c r="DA47" s="127">
        <f t="shared" si="2"/>
        <v>8.1436999999999985E-3</v>
      </c>
    </row>
    <row r="48" spans="1:105" x14ac:dyDescent="0.25">
      <c r="A48" s="11">
        <v>45</v>
      </c>
      <c r="B48" s="13">
        <f t="shared" si="99"/>
        <v>2.3769999999999999E-2</v>
      </c>
      <c r="C48" s="13">
        <f t="shared" si="3"/>
        <v>2.3460000000000002E-2</v>
      </c>
      <c r="D48" s="13">
        <f t="shared" si="4"/>
        <v>3.7190000000000001E-2</v>
      </c>
      <c r="E48" s="13">
        <f t="shared" si="5"/>
        <v>2.7269999999999999E-2</v>
      </c>
      <c r="F48" s="13">
        <f t="shared" si="6"/>
        <v>2.3709999999999998E-2</v>
      </c>
      <c r="G48" s="13">
        <f t="shared" si="7"/>
        <v>4.3430000000000003E-2</v>
      </c>
      <c r="H48" s="13">
        <f t="shared" si="8"/>
        <v>4.4769999999999997E-2</v>
      </c>
      <c r="I48" s="13">
        <f t="shared" si="9"/>
        <v>1.1860000000000001E-2</v>
      </c>
      <c r="J48" s="13">
        <f t="shared" si="10"/>
        <v>3.2259999999999997E-2</v>
      </c>
      <c r="K48" s="13">
        <f t="shared" si="11"/>
        <v>4.079E-2</v>
      </c>
      <c r="L48" s="13">
        <f t="shared" si="12"/>
        <v>4.3720000000000002E-2</v>
      </c>
      <c r="M48" s="13">
        <f t="shared" si="13"/>
        <v>5.663E-2</v>
      </c>
      <c r="N48" s="13">
        <f t="shared" si="14"/>
        <v>3.3119999999999997E-2</v>
      </c>
      <c r="O48" s="13">
        <f t="shared" si="15"/>
        <v>1.1469999999999999E-2</v>
      </c>
      <c r="P48" s="13">
        <f t="shared" si="16"/>
        <v>3.4139999999999997E-2</v>
      </c>
      <c r="Q48" s="13">
        <f t="shared" si="17"/>
        <v>7.1749999999999994E-2</v>
      </c>
      <c r="R48" s="13">
        <f t="shared" si="18"/>
        <v>2.5059999999999999E-2</v>
      </c>
      <c r="S48" s="13">
        <f t="shared" si="19"/>
        <v>4.2560000000000001E-2</v>
      </c>
      <c r="T48" s="13">
        <f t="shared" si="20"/>
        <v>4.3830000000000001E-2</v>
      </c>
      <c r="U48" s="13">
        <f t="shared" si="21"/>
        <v>5.3249999999999999E-2</v>
      </c>
      <c r="V48" s="13">
        <f t="shared" si="22"/>
        <v>3.2680000000000001E-2</v>
      </c>
      <c r="W48" s="13">
        <f t="shared" si="23"/>
        <v>6.1269999999999998E-2</v>
      </c>
      <c r="X48" s="13">
        <f t="shared" si="24"/>
        <v>1.12E-2</v>
      </c>
      <c r="Y48" s="13">
        <f t="shared" si="25"/>
        <v>4.3400000000000001E-2</v>
      </c>
      <c r="Z48" s="13">
        <f t="shared" si="26"/>
        <v>7.0760000000000003E-2</v>
      </c>
      <c r="AA48" s="13">
        <f t="shared" si="27"/>
        <v>4.1930000000000002E-2</v>
      </c>
      <c r="AB48" s="13">
        <f t="shared" si="28"/>
        <v>3.2410000000000001E-2</v>
      </c>
      <c r="AC48" s="13">
        <f t="shared" si="29"/>
        <v>7.0389999999999994E-2</v>
      </c>
      <c r="AD48" s="13">
        <f t="shared" si="30"/>
        <v>2.6870000000000002E-2</v>
      </c>
      <c r="AE48" s="13">
        <f t="shared" si="31"/>
        <v>2.9090000000000001E-2</v>
      </c>
      <c r="AF48" s="13">
        <f t="shared" si="32"/>
        <v>3.4979999999999997E-2</v>
      </c>
      <c r="AG48" s="13">
        <f t="shared" si="33"/>
        <v>7.3880000000000001E-2</v>
      </c>
      <c r="AH48" s="13">
        <f t="shared" si="34"/>
        <v>2.5090000000000001E-2</v>
      </c>
      <c r="AI48" s="127">
        <f t="shared" si="0"/>
        <v>1.1469999999999999E-2</v>
      </c>
      <c r="AJ48" s="16">
        <v>45</v>
      </c>
      <c r="AK48" s="13">
        <f t="shared" si="100"/>
        <v>3.3770000000000001E-2</v>
      </c>
      <c r="AL48" s="13">
        <f t="shared" si="35"/>
        <v>3.3460000000000004E-2</v>
      </c>
      <c r="AM48" s="13">
        <f t="shared" si="36"/>
        <v>4.7190000000000003E-2</v>
      </c>
      <c r="AN48" s="13">
        <f t="shared" si="37"/>
        <v>3.7269999999999998E-2</v>
      </c>
      <c r="AO48" s="13">
        <f t="shared" si="38"/>
        <v>3.3709999999999997E-2</v>
      </c>
      <c r="AP48" s="13">
        <f t="shared" si="39"/>
        <v>5.3430000000000005E-2</v>
      </c>
      <c r="AQ48" s="13">
        <f t="shared" si="40"/>
        <v>5.4769999999999999E-2</v>
      </c>
      <c r="AR48" s="13">
        <f t="shared" si="41"/>
        <v>2.1860000000000001E-2</v>
      </c>
      <c r="AS48" s="13">
        <f t="shared" si="42"/>
        <v>4.2259999999999999E-2</v>
      </c>
      <c r="AT48" s="13">
        <f t="shared" si="43"/>
        <v>5.0790000000000002E-2</v>
      </c>
      <c r="AU48" s="13">
        <f t="shared" si="44"/>
        <v>5.3720000000000004E-2</v>
      </c>
      <c r="AV48" s="13">
        <f t="shared" si="45"/>
        <v>6.6629999999999995E-2</v>
      </c>
      <c r="AW48" s="13">
        <f t="shared" si="46"/>
        <v>4.3119999999999999E-2</v>
      </c>
      <c r="AX48" s="13">
        <f t="shared" si="47"/>
        <v>2.147E-2</v>
      </c>
      <c r="AY48" s="13">
        <f t="shared" si="48"/>
        <v>4.4139999999999999E-2</v>
      </c>
      <c r="AZ48" s="13">
        <f t="shared" si="49"/>
        <v>8.1749999999999989E-2</v>
      </c>
      <c r="BA48" s="13">
        <f t="shared" si="50"/>
        <v>3.5060000000000001E-2</v>
      </c>
      <c r="BB48" s="13">
        <f t="shared" si="51"/>
        <v>5.2560000000000003E-2</v>
      </c>
      <c r="BC48" s="13">
        <f t="shared" si="52"/>
        <v>5.3830000000000003E-2</v>
      </c>
      <c r="BD48" s="13">
        <f t="shared" si="53"/>
        <v>6.3250000000000001E-2</v>
      </c>
      <c r="BE48" s="13">
        <f t="shared" si="54"/>
        <v>4.2680000000000003E-2</v>
      </c>
      <c r="BF48" s="13">
        <f t="shared" si="55"/>
        <v>7.127E-2</v>
      </c>
      <c r="BG48" s="13">
        <f t="shared" si="56"/>
        <v>2.12E-2</v>
      </c>
      <c r="BH48" s="13">
        <f t="shared" si="57"/>
        <v>5.3400000000000003E-2</v>
      </c>
      <c r="BI48" s="13">
        <f t="shared" si="58"/>
        <v>8.0759999999999998E-2</v>
      </c>
      <c r="BJ48" s="13">
        <f t="shared" si="59"/>
        <v>5.1930000000000004E-2</v>
      </c>
      <c r="BK48" s="13">
        <f t="shared" si="60"/>
        <v>4.2410000000000003E-2</v>
      </c>
      <c r="BL48" s="13">
        <f t="shared" si="61"/>
        <v>8.0389999999999989E-2</v>
      </c>
      <c r="BM48" s="13">
        <f t="shared" si="62"/>
        <v>3.687E-2</v>
      </c>
      <c r="BN48" s="13">
        <f t="shared" si="63"/>
        <v>3.909E-2</v>
      </c>
      <c r="BO48" s="13">
        <f t="shared" si="64"/>
        <v>4.4979999999999999E-2</v>
      </c>
      <c r="BP48" s="13">
        <f t="shared" si="65"/>
        <v>8.3879999999999996E-2</v>
      </c>
      <c r="BQ48" s="13">
        <f t="shared" si="66"/>
        <v>3.5090000000000003E-2</v>
      </c>
      <c r="BR48" s="127">
        <f t="shared" si="1"/>
        <v>2.147E-2</v>
      </c>
      <c r="BS48" s="16">
        <v>45</v>
      </c>
      <c r="BT48" s="13">
        <f t="shared" si="101"/>
        <v>1.6876699999999998E-2</v>
      </c>
      <c r="BU48" s="13">
        <f t="shared" si="67"/>
        <v>1.6656600000000001E-2</v>
      </c>
      <c r="BV48" s="13">
        <f t="shared" si="68"/>
        <v>2.6404899999999999E-2</v>
      </c>
      <c r="BW48" s="13">
        <f t="shared" si="69"/>
        <v>1.9361699999999999E-2</v>
      </c>
      <c r="BX48" s="13">
        <f t="shared" si="70"/>
        <v>1.6834099999999998E-2</v>
      </c>
      <c r="BY48" s="13">
        <f t="shared" si="71"/>
        <v>3.08353E-2</v>
      </c>
      <c r="BZ48" s="13">
        <f t="shared" si="72"/>
        <v>3.1786699999999994E-2</v>
      </c>
      <c r="CA48" s="13">
        <f t="shared" si="73"/>
        <v>8.4206000000000003E-3</v>
      </c>
      <c r="CB48" s="13">
        <f t="shared" si="74"/>
        <v>2.2904599999999997E-2</v>
      </c>
      <c r="CC48" s="13">
        <f t="shared" si="75"/>
        <v>2.8960899999999998E-2</v>
      </c>
      <c r="CD48" s="13">
        <f t="shared" si="76"/>
        <v>3.1041200000000001E-2</v>
      </c>
      <c r="CE48" s="13">
        <f t="shared" si="77"/>
        <v>4.0207299999999994E-2</v>
      </c>
      <c r="CF48" s="13">
        <f t="shared" si="78"/>
        <v>2.3515199999999997E-2</v>
      </c>
      <c r="CG48" s="13">
        <f t="shared" si="79"/>
        <v>8.1436999999999985E-3</v>
      </c>
      <c r="CH48" s="13">
        <f t="shared" si="80"/>
        <v>2.4239399999999998E-2</v>
      </c>
      <c r="CI48" s="13">
        <f t="shared" si="81"/>
        <v>5.0942499999999995E-2</v>
      </c>
      <c r="CJ48" s="13">
        <f t="shared" si="82"/>
        <v>1.7792599999999999E-2</v>
      </c>
      <c r="CK48" s="13">
        <f t="shared" si="83"/>
        <v>3.0217599999999997E-2</v>
      </c>
      <c r="CL48" s="13">
        <f t="shared" si="84"/>
        <v>3.1119299999999999E-2</v>
      </c>
      <c r="CM48" s="13">
        <f t="shared" si="85"/>
        <v>3.7807499999999994E-2</v>
      </c>
      <c r="CN48" s="13">
        <f t="shared" si="86"/>
        <v>2.3202799999999999E-2</v>
      </c>
      <c r="CO48" s="13">
        <f t="shared" si="87"/>
        <v>4.3501699999999997E-2</v>
      </c>
      <c r="CP48" s="13">
        <f t="shared" si="88"/>
        <v>7.951999999999999E-3</v>
      </c>
      <c r="CQ48" s="13">
        <f t="shared" si="89"/>
        <v>3.0813999999999998E-2</v>
      </c>
      <c r="CR48" s="13">
        <f t="shared" si="90"/>
        <v>5.0239600000000002E-2</v>
      </c>
      <c r="CS48" s="13">
        <f t="shared" si="91"/>
        <v>2.97703E-2</v>
      </c>
      <c r="CT48" s="13">
        <f t="shared" si="92"/>
        <v>2.30111E-2</v>
      </c>
      <c r="CU48" s="13">
        <f t="shared" si="93"/>
        <v>4.9976899999999991E-2</v>
      </c>
      <c r="CV48" s="13">
        <f t="shared" si="94"/>
        <v>1.90777E-2</v>
      </c>
      <c r="CW48" s="13">
        <f t="shared" si="95"/>
        <v>2.0653899999999999E-2</v>
      </c>
      <c r="CX48" s="13">
        <f t="shared" si="96"/>
        <v>2.4835799999999998E-2</v>
      </c>
      <c r="CY48" s="13">
        <f t="shared" si="97"/>
        <v>5.2454799999999996E-2</v>
      </c>
      <c r="CZ48" s="13">
        <f t="shared" si="98"/>
        <v>1.7813900000000001E-2</v>
      </c>
      <c r="DA48" s="127">
        <f t="shared" si="2"/>
        <v>8.1436999999999985E-3</v>
      </c>
    </row>
    <row r="49" spans="1:105" x14ac:dyDescent="0.25">
      <c r="A49" s="11">
        <v>46</v>
      </c>
      <c r="B49" s="13">
        <f t="shared" si="99"/>
        <v>2.3769999999999999E-2</v>
      </c>
      <c r="C49" s="13">
        <f t="shared" si="3"/>
        <v>2.3460000000000002E-2</v>
      </c>
      <c r="D49" s="13">
        <f t="shared" si="4"/>
        <v>3.7190000000000001E-2</v>
      </c>
      <c r="E49" s="13">
        <f t="shared" si="5"/>
        <v>2.7269999999999999E-2</v>
      </c>
      <c r="F49" s="13">
        <f t="shared" si="6"/>
        <v>2.3709999999999998E-2</v>
      </c>
      <c r="G49" s="13">
        <f t="shared" si="7"/>
        <v>4.3430000000000003E-2</v>
      </c>
      <c r="H49" s="13">
        <f t="shared" si="8"/>
        <v>4.4769999999999997E-2</v>
      </c>
      <c r="I49" s="13">
        <f t="shared" si="9"/>
        <v>1.1860000000000001E-2</v>
      </c>
      <c r="J49" s="13">
        <f t="shared" si="10"/>
        <v>3.2259999999999997E-2</v>
      </c>
      <c r="K49" s="13">
        <f t="shared" si="11"/>
        <v>4.079E-2</v>
      </c>
      <c r="L49" s="13">
        <f t="shared" si="12"/>
        <v>4.3720000000000002E-2</v>
      </c>
      <c r="M49" s="13">
        <f t="shared" si="13"/>
        <v>5.663E-2</v>
      </c>
      <c r="N49" s="13">
        <f t="shared" si="14"/>
        <v>3.3119999999999997E-2</v>
      </c>
      <c r="O49" s="13">
        <f t="shared" si="15"/>
        <v>1.1469999999999999E-2</v>
      </c>
      <c r="P49" s="13">
        <f t="shared" si="16"/>
        <v>3.4139999999999997E-2</v>
      </c>
      <c r="Q49" s="13">
        <f t="shared" si="17"/>
        <v>7.1749999999999994E-2</v>
      </c>
      <c r="R49" s="13">
        <f t="shared" si="18"/>
        <v>2.5059999999999999E-2</v>
      </c>
      <c r="S49" s="13">
        <f t="shared" si="19"/>
        <v>4.2560000000000001E-2</v>
      </c>
      <c r="T49" s="13">
        <f t="shared" si="20"/>
        <v>4.3830000000000001E-2</v>
      </c>
      <c r="U49" s="13">
        <f t="shared" si="21"/>
        <v>5.3249999999999999E-2</v>
      </c>
      <c r="V49" s="13">
        <f t="shared" si="22"/>
        <v>3.2680000000000001E-2</v>
      </c>
      <c r="W49" s="13">
        <f t="shared" si="23"/>
        <v>6.1269999999999998E-2</v>
      </c>
      <c r="X49" s="13">
        <f t="shared" si="24"/>
        <v>1.12E-2</v>
      </c>
      <c r="Y49" s="13">
        <f t="shared" si="25"/>
        <v>4.3400000000000001E-2</v>
      </c>
      <c r="Z49" s="13">
        <f t="shared" si="26"/>
        <v>7.0760000000000003E-2</v>
      </c>
      <c r="AA49" s="13">
        <f t="shared" si="27"/>
        <v>4.1930000000000002E-2</v>
      </c>
      <c r="AB49" s="13">
        <f t="shared" si="28"/>
        <v>3.2410000000000001E-2</v>
      </c>
      <c r="AC49" s="13">
        <f t="shared" si="29"/>
        <v>7.0389999999999994E-2</v>
      </c>
      <c r="AD49" s="13">
        <f t="shared" si="30"/>
        <v>2.6870000000000002E-2</v>
      </c>
      <c r="AE49" s="13">
        <f t="shared" si="31"/>
        <v>2.9090000000000001E-2</v>
      </c>
      <c r="AF49" s="13">
        <f t="shared" si="32"/>
        <v>3.4979999999999997E-2</v>
      </c>
      <c r="AG49" s="13">
        <f t="shared" si="33"/>
        <v>7.3880000000000001E-2</v>
      </c>
      <c r="AH49" s="13">
        <f t="shared" si="34"/>
        <v>2.5090000000000001E-2</v>
      </c>
      <c r="AI49" s="127">
        <f t="shared" si="0"/>
        <v>1.1469999999999999E-2</v>
      </c>
      <c r="AJ49" s="16">
        <v>46</v>
      </c>
      <c r="AK49" s="13">
        <f t="shared" si="100"/>
        <v>3.3770000000000001E-2</v>
      </c>
      <c r="AL49" s="13">
        <f t="shared" si="35"/>
        <v>3.3460000000000004E-2</v>
      </c>
      <c r="AM49" s="13">
        <f t="shared" si="36"/>
        <v>4.7190000000000003E-2</v>
      </c>
      <c r="AN49" s="13">
        <f t="shared" si="37"/>
        <v>3.7269999999999998E-2</v>
      </c>
      <c r="AO49" s="13">
        <f t="shared" si="38"/>
        <v>3.3709999999999997E-2</v>
      </c>
      <c r="AP49" s="13">
        <f t="shared" si="39"/>
        <v>5.3430000000000005E-2</v>
      </c>
      <c r="AQ49" s="13">
        <f t="shared" si="40"/>
        <v>5.4769999999999999E-2</v>
      </c>
      <c r="AR49" s="13">
        <f t="shared" si="41"/>
        <v>2.1860000000000001E-2</v>
      </c>
      <c r="AS49" s="13">
        <f t="shared" si="42"/>
        <v>4.2259999999999999E-2</v>
      </c>
      <c r="AT49" s="13">
        <f t="shared" si="43"/>
        <v>5.0790000000000002E-2</v>
      </c>
      <c r="AU49" s="13">
        <f t="shared" si="44"/>
        <v>5.3720000000000004E-2</v>
      </c>
      <c r="AV49" s="13">
        <f t="shared" si="45"/>
        <v>6.6629999999999995E-2</v>
      </c>
      <c r="AW49" s="13">
        <f t="shared" si="46"/>
        <v>4.3119999999999999E-2</v>
      </c>
      <c r="AX49" s="13">
        <f t="shared" si="47"/>
        <v>2.147E-2</v>
      </c>
      <c r="AY49" s="13">
        <f t="shared" si="48"/>
        <v>4.4139999999999999E-2</v>
      </c>
      <c r="AZ49" s="13">
        <f t="shared" si="49"/>
        <v>8.1749999999999989E-2</v>
      </c>
      <c r="BA49" s="13">
        <f t="shared" si="50"/>
        <v>3.5060000000000001E-2</v>
      </c>
      <c r="BB49" s="13">
        <f t="shared" si="51"/>
        <v>5.2560000000000003E-2</v>
      </c>
      <c r="BC49" s="13">
        <f t="shared" si="52"/>
        <v>5.3830000000000003E-2</v>
      </c>
      <c r="BD49" s="13">
        <f t="shared" si="53"/>
        <v>6.3250000000000001E-2</v>
      </c>
      <c r="BE49" s="13">
        <f t="shared" si="54"/>
        <v>4.2680000000000003E-2</v>
      </c>
      <c r="BF49" s="13">
        <f t="shared" si="55"/>
        <v>7.127E-2</v>
      </c>
      <c r="BG49" s="13">
        <f t="shared" si="56"/>
        <v>2.12E-2</v>
      </c>
      <c r="BH49" s="13">
        <f t="shared" si="57"/>
        <v>5.3400000000000003E-2</v>
      </c>
      <c r="BI49" s="13">
        <f t="shared" si="58"/>
        <v>8.0759999999999998E-2</v>
      </c>
      <c r="BJ49" s="13">
        <f t="shared" si="59"/>
        <v>5.1930000000000004E-2</v>
      </c>
      <c r="BK49" s="13">
        <f t="shared" si="60"/>
        <v>4.2410000000000003E-2</v>
      </c>
      <c r="BL49" s="13">
        <f t="shared" si="61"/>
        <v>8.0389999999999989E-2</v>
      </c>
      <c r="BM49" s="13">
        <f t="shared" si="62"/>
        <v>3.687E-2</v>
      </c>
      <c r="BN49" s="13">
        <f t="shared" si="63"/>
        <v>3.909E-2</v>
      </c>
      <c r="BO49" s="13">
        <f t="shared" si="64"/>
        <v>4.4979999999999999E-2</v>
      </c>
      <c r="BP49" s="13">
        <f t="shared" si="65"/>
        <v>8.3879999999999996E-2</v>
      </c>
      <c r="BQ49" s="13">
        <f t="shared" si="66"/>
        <v>3.5090000000000003E-2</v>
      </c>
      <c r="BR49" s="127">
        <f t="shared" si="1"/>
        <v>2.147E-2</v>
      </c>
      <c r="BS49" s="16">
        <v>46</v>
      </c>
      <c r="BT49" s="13">
        <f t="shared" si="101"/>
        <v>1.6876699999999998E-2</v>
      </c>
      <c r="BU49" s="13">
        <f t="shared" si="67"/>
        <v>1.6656600000000001E-2</v>
      </c>
      <c r="BV49" s="13">
        <f t="shared" si="68"/>
        <v>2.6404899999999999E-2</v>
      </c>
      <c r="BW49" s="13">
        <f t="shared" si="69"/>
        <v>1.9361699999999999E-2</v>
      </c>
      <c r="BX49" s="13">
        <f t="shared" si="70"/>
        <v>1.6834099999999998E-2</v>
      </c>
      <c r="BY49" s="13">
        <f t="shared" si="71"/>
        <v>3.08353E-2</v>
      </c>
      <c r="BZ49" s="13">
        <f t="shared" si="72"/>
        <v>3.1786699999999994E-2</v>
      </c>
      <c r="CA49" s="13">
        <f t="shared" si="73"/>
        <v>8.4206000000000003E-3</v>
      </c>
      <c r="CB49" s="13">
        <f t="shared" si="74"/>
        <v>2.2904599999999997E-2</v>
      </c>
      <c r="CC49" s="13">
        <f t="shared" si="75"/>
        <v>2.8960899999999998E-2</v>
      </c>
      <c r="CD49" s="13">
        <f t="shared" si="76"/>
        <v>3.1041200000000001E-2</v>
      </c>
      <c r="CE49" s="13">
        <f t="shared" si="77"/>
        <v>4.0207299999999994E-2</v>
      </c>
      <c r="CF49" s="13">
        <f t="shared" si="78"/>
        <v>2.3515199999999997E-2</v>
      </c>
      <c r="CG49" s="13">
        <f t="shared" si="79"/>
        <v>8.1436999999999985E-3</v>
      </c>
      <c r="CH49" s="13">
        <f t="shared" si="80"/>
        <v>2.4239399999999998E-2</v>
      </c>
      <c r="CI49" s="13">
        <f t="shared" si="81"/>
        <v>5.0942499999999995E-2</v>
      </c>
      <c r="CJ49" s="13">
        <f t="shared" si="82"/>
        <v>1.7792599999999999E-2</v>
      </c>
      <c r="CK49" s="13">
        <f t="shared" si="83"/>
        <v>3.0217599999999997E-2</v>
      </c>
      <c r="CL49" s="13">
        <f t="shared" si="84"/>
        <v>3.1119299999999999E-2</v>
      </c>
      <c r="CM49" s="13">
        <f t="shared" si="85"/>
        <v>3.7807499999999994E-2</v>
      </c>
      <c r="CN49" s="13">
        <f t="shared" si="86"/>
        <v>2.3202799999999999E-2</v>
      </c>
      <c r="CO49" s="13">
        <f t="shared" si="87"/>
        <v>4.3501699999999997E-2</v>
      </c>
      <c r="CP49" s="13">
        <f t="shared" si="88"/>
        <v>7.951999999999999E-3</v>
      </c>
      <c r="CQ49" s="13">
        <f t="shared" si="89"/>
        <v>3.0813999999999998E-2</v>
      </c>
      <c r="CR49" s="13">
        <f t="shared" si="90"/>
        <v>5.0239600000000002E-2</v>
      </c>
      <c r="CS49" s="13">
        <f t="shared" si="91"/>
        <v>2.97703E-2</v>
      </c>
      <c r="CT49" s="13">
        <f t="shared" si="92"/>
        <v>2.30111E-2</v>
      </c>
      <c r="CU49" s="13">
        <f t="shared" si="93"/>
        <v>4.9976899999999991E-2</v>
      </c>
      <c r="CV49" s="13">
        <f t="shared" si="94"/>
        <v>1.90777E-2</v>
      </c>
      <c r="CW49" s="13">
        <f t="shared" si="95"/>
        <v>2.0653899999999999E-2</v>
      </c>
      <c r="CX49" s="13">
        <f t="shared" si="96"/>
        <v>2.4835799999999998E-2</v>
      </c>
      <c r="CY49" s="13">
        <f t="shared" si="97"/>
        <v>5.2454799999999996E-2</v>
      </c>
      <c r="CZ49" s="13">
        <f t="shared" si="98"/>
        <v>1.7813900000000001E-2</v>
      </c>
      <c r="DA49" s="127">
        <f t="shared" si="2"/>
        <v>8.1436999999999985E-3</v>
      </c>
    </row>
    <row r="50" spans="1:105" x14ac:dyDescent="0.25">
      <c r="A50" s="11">
        <v>47</v>
      </c>
      <c r="B50" s="13">
        <f t="shared" si="99"/>
        <v>2.3769999999999999E-2</v>
      </c>
      <c r="C50" s="13">
        <f t="shared" si="3"/>
        <v>2.3460000000000002E-2</v>
      </c>
      <c r="D50" s="13">
        <f t="shared" si="4"/>
        <v>3.7190000000000001E-2</v>
      </c>
      <c r="E50" s="13">
        <f t="shared" si="5"/>
        <v>2.7269999999999999E-2</v>
      </c>
      <c r="F50" s="13">
        <f t="shared" si="6"/>
        <v>2.3709999999999998E-2</v>
      </c>
      <c r="G50" s="13">
        <f t="shared" si="7"/>
        <v>4.3430000000000003E-2</v>
      </c>
      <c r="H50" s="13">
        <f t="shared" si="8"/>
        <v>4.4769999999999997E-2</v>
      </c>
      <c r="I50" s="13">
        <f t="shared" si="9"/>
        <v>1.1860000000000001E-2</v>
      </c>
      <c r="J50" s="13">
        <f t="shared" si="10"/>
        <v>3.2259999999999997E-2</v>
      </c>
      <c r="K50" s="13">
        <f t="shared" si="11"/>
        <v>4.079E-2</v>
      </c>
      <c r="L50" s="13">
        <f t="shared" si="12"/>
        <v>4.3720000000000002E-2</v>
      </c>
      <c r="M50" s="13">
        <f t="shared" si="13"/>
        <v>5.663E-2</v>
      </c>
      <c r="N50" s="13">
        <f t="shared" si="14"/>
        <v>3.3119999999999997E-2</v>
      </c>
      <c r="O50" s="13">
        <f t="shared" si="15"/>
        <v>1.1469999999999999E-2</v>
      </c>
      <c r="P50" s="13">
        <f t="shared" si="16"/>
        <v>3.4139999999999997E-2</v>
      </c>
      <c r="Q50" s="13">
        <f t="shared" si="17"/>
        <v>7.1749999999999994E-2</v>
      </c>
      <c r="R50" s="13">
        <f t="shared" si="18"/>
        <v>2.5059999999999999E-2</v>
      </c>
      <c r="S50" s="13">
        <f t="shared" si="19"/>
        <v>4.2560000000000001E-2</v>
      </c>
      <c r="T50" s="13">
        <f t="shared" si="20"/>
        <v>4.3830000000000001E-2</v>
      </c>
      <c r="U50" s="13">
        <f t="shared" si="21"/>
        <v>5.3249999999999999E-2</v>
      </c>
      <c r="V50" s="13">
        <f t="shared" si="22"/>
        <v>3.2680000000000001E-2</v>
      </c>
      <c r="W50" s="13">
        <f t="shared" si="23"/>
        <v>6.1269999999999998E-2</v>
      </c>
      <c r="X50" s="13">
        <f t="shared" si="24"/>
        <v>1.12E-2</v>
      </c>
      <c r="Y50" s="13">
        <f t="shared" si="25"/>
        <v>4.3400000000000001E-2</v>
      </c>
      <c r="Z50" s="13">
        <f t="shared" si="26"/>
        <v>7.0760000000000003E-2</v>
      </c>
      <c r="AA50" s="13">
        <f t="shared" si="27"/>
        <v>4.1930000000000002E-2</v>
      </c>
      <c r="AB50" s="13">
        <f t="shared" si="28"/>
        <v>3.2410000000000001E-2</v>
      </c>
      <c r="AC50" s="13">
        <f t="shared" si="29"/>
        <v>7.0389999999999994E-2</v>
      </c>
      <c r="AD50" s="13">
        <f t="shared" si="30"/>
        <v>2.6870000000000002E-2</v>
      </c>
      <c r="AE50" s="13">
        <f t="shared" si="31"/>
        <v>2.9090000000000001E-2</v>
      </c>
      <c r="AF50" s="13">
        <f t="shared" si="32"/>
        <v>3.4979999999999997E-2</v>
      </c>
      <c r="AG50" s="13">
        <f t="shared" si="33"/>
        <v>7.3880000000000001E-2</v>
      </c>
      <c r="AH50" s="13">
        <f t="shared" si="34"/>
        <v>2.5090000000000001E-2</v>
      </c>
      <c r="AI50" s="127">
        <f t="shared" si="0"/>
        <v>1.1469999999999999E-2</v>
      </c>
      <c r="AJ50" s="16">
        <v>47</v>
      </c>
      <c r="AK50" s="13">
        <f t="shared" si="100"/>
        <v>3.3770000000000001E-2</v>
      </c>
      <c r="AL50" s="13">
        <f t="shared" si="35"/>
        <v>3.3460000000000004E-2</v>
      </c>
      <c r="AM50" s="13">
        <f t="shared" si="36"/>
        <v>4.7190000000000003E-2</v>
      </c>
      <c r="AN50" s="13">
        <f t="shared" si="37"/>
        <v>3.7269999999999998E-2</v>
      </c>
      <c r="AO50" s="13">
        <f t="shared" si="38"/>
        <v>3.3709999999999997E-2</v>
      </c>
      <c r="AP50" s="13">
        <f t="shared" si="39"/>
        <v>5.3430000000000005E-2</v>
      </c>
      <c r="AQ50" s="13">
        <f t="shared" si="40"/>
        <v>5.4769999999999999E-2</v>
      </c>
      <c r="AR50" s="13">
        <f t="shared" si="41"/>
        <v>2.1860000000000001E-2</v>
      </c>
      <c r="AS50" s="13">
        <f t="shared" si="42"/>
        <v>4.2259999999999999E-2</v>
      </c>
      <c r="AT50" s="13">
        <f t="shared" si="43"/>
        <v>5.0790000000000002E-2</v>
      </c>
      <c r="AU50" s="13">
        <f t="shared" si="44"/>
        <v>5.3720000000000004E-2</v>
      </c>
      <c r="AV50" s="13">
        <f t="shared" si="45"/>
        <v>6.6629999999999995E-2</v>
      </c>
      <c r="AW50" s="13">
        <f t="shared" si="46"/>
        <v>4.3119999999999999E-2</v>
      </c>
      <c r="AX50" s="13">
        <f t="shared" si="47"/>
        <v>2.147E-2</v>
      </c>
      <c r="AY50" s="13">
        <f t="shared" si="48"/>
        <v>4.4139999999999999E-2</v>
      </c>
      <c r="AZ50" s="13">
        <f t="shared" si="49"/>
        <v>8.1749999999999989E-2</v>
      </c>
      <c r="BA50" s="13">
        <f t="shared" si="50"/>
        <v>3.5060000000000001E-2</v>
      </c>
      <c r="BB50" s="13">
        <f t="shared" si="51"/>
        <v>5.2560000000000003E-2</v>
      </c>
      <c r="BC50" s="13">
        <f t="shared" si="52"/>
        <v>5.3830000000000003E-2</v>
      </c>
      <c r="BD50" s="13">
        <f t="shared" si="53"/>
        <v>6.3250000000000001E-2</v>
      </c>
      <c r="BE50" s="13">
        <f t="shared" si="54"/>
        <v>4.2680000000000003E-2</v>
      </c>
      <c r="BF50" s="13">
        <f t="shared" si="55"/>
        <v>7.127E-2</v>
      </c>
      <c r="BG50" s="13">
        <f t="shared" si="56"/>
        <v>2.12E-2</v>
      </c>
      <c r="BH50" s="13">
        <f t="shared" si="57"/>
        <v>5.3400000000000003E-2</v>
      </c>
      <c r="BI50" s="13">
        <f t="shared" si="58"/>
        <v>8.0759999999999998E-2</v>
      </c>
      <c r="BJ50" s="13">
        <f t="shared" si="59"/>
        <v>5.1930000000000004E-2</v>
      </c>
      <c r="BK50" s="13">
        <f t="shared" si="60"/>
        <v>4.2410000000000003E-2</v>
      </c>
      <c r="BL50" s="13">
        <f t="shared" si="61"/>
        <v>8.0389999999999989E-2</v>
      </c>
      <c r="BM50" s="13">
        <f t="shared" si="62"/>
        <v>3.687E-2</v>
      </c>
      <c r="BN50" s="13">
        <f t="shared" si="63"/>
        <v>3.909E-2</v>
      </c>
      <c r="BO50" s="13">
        <f t="shared" si="64"/>
        <v>4.4979999999999999E-2</v>
      </c>
      <c r="BP50" s="13">
        <f t="shared" si="65"/>
        <v>8.3879999999999996E-2</v>
      </c>
      <c r="BQ50" s="13">
        <f t="shared" si="66"/>
        <v>3.5090000000000003E-2</v>
      </c>
      <c r="BR50" s="127">
        <f t="shared" si="1"/>
        <v>2.147E-2</v>
      </c>
      <c r="BS50" s="16">
        <v>47</v>
      </c>
      <c r="BT50" s="13">
        <f t="shared" si="101"/>
        <v>1.6876699999999998E-2</v>
      </c>
      <c r="BU50" s="13">
        <f t="shared" si="67"/>
        <v>1.6656600000000001E-2</v>
      </c>
      <c r="BV50" s="13">
        <f t="shared" si="68"/>
        <v>2.6404899999999999E-2</v>
      </c>
      <c r="BW50" s="13">
        <f t="shared" si="69"/>
        <v>1.9361699999999999E-2</v>
      </c>
      <c r="BX50" s="13">
        <f t="shared" si="70"/>
        <v>1.6834099999999998E-2</v>
      </c>
      <c r="BY50" s="13">
        <f t="shared" si="71"/>
        <v>3.08353E-2</v>
      </c>
      <c r="BZ50" s="13">
        <f t="shared" si="72"/>
        <v>3.1786699999999994E-2</v>
      </c>
      <c r="CA50" s="13">
        <f t="shared" si="73"/>
        <v>8.4206000000000003E-3</v>
      </c>
      <c r="CB50" s="13">
        <f t="shared" si="74"/>
        <v>2.2904599999999997E-2</v>
      </c>
      <c r="CC50" s="13">
        <f t="shared" si="75"/>
        <v>2.8960899999999998E-2</v>
      </c>
      <c r="CD50" s="13">
        <f t="shared" si="76"/>
        <v>3.1041200000000001E-2</v>
      </c>
      <c r="CE50" s="13">
        <f t="shared" si="77"/>
        <v>4.0207299999999994E-2</v>
      </c>
      <c r="CF50" s="13">
        <f t="shared" si="78"/>
        <v>2.3515199999999997E-2</v>
      </c>
      <c r="CG50" s="13">
        <f t="shared" si="79"/>
        <v>8.1436999999999985E-3</v>
      </c>
      <c r="CH50" s="13">
        <f t="shared" si="80"/>
        <v>2.4239399999999998E-2</v>
      </c>
      <c r="CI50" s="13">
        <f t="shared" si="81"/>
        <v>5.0942499999999995E-2</v>
      </c>
      <c r="CJ50" s="13">
        <f t="shared" si="82"/>
        <v>1.7792599999999999E-2</v>
      </c>
      <c r="CK50" s="13">
        <f t="shared" si="83"/>
        <v>3.0217599999999997E-2</v>
      </c>
      <c r="CL50" s="13">
        <f t="shared" si="84"/>
        <v>3.1119299999999999E-2</v>
      </c>
      <c r="CM50" s="13">
        <f t="shared" si="85"/>
        <v>3.7807499999999994E-2</v>
      </c>
      <c r="CN50" s="13">
        <f t="shared" si="86"/>
        <v>2.3202799999999999E-2</v>
      </c>
      <c r="CO50" s="13">
        <f t="shared" si="87"/>
        <v>4.3501699999999997E-2</v>
      </c>
      <c r="CP50" s="13">
        <f t="shared" si="88"/>
        <v>7.951999999999999E-3</v>
      </c>
      <c r="CQ50" s="13">
        <f t="shared" si="89"/>
        <v>3.0813999999999998E-2</v>
      </c>
      <c r="CR50" s="13">
        <f t="shared" si="90"/>
        <v>5.0239600000000002E-2</v>
      </c>
      <c r="CS50" s="13">
        <f t="shared" si="91"/>
        <v>2.97703E-2</v>
      </c>
      <c r="CT50" s="13">
        <f t="shared" si="92"/>
        <v>2.30111E-2</v>
      </c>
      <c r="CU50" s="13">
        <f t="shared" si="93"/>
        <v>4.9976899999999991E-2</v>
      </c>
      <c r="CV50" s="13">
        <f t="shared" si="94"/>
        <v>1.90777E-2</v>
      </c>
      <c r="CW50" s="13">
        <f t="shared" si="95"/>
        <v>2.0653899999999999E-2</v>
      </c>
      <c r="CX50" s="13">
        <f t="shared" si="96"/>
        <v>2.4835799999999998E-2</v>
      </c>
      <c r="CY50" s="13">
        <f t="shared" si="97"/>
        <v>5.2454799999999996E-2</v>
      </c>
      <c r="CZ50" s="13">
        <f t="shared" si="98"/>
        <v>1.7813900000000001E-2</v>
      </c>
      <c r="DA50" s="127">
        <f t="shared" si="2"/>
        <v>8.1436999999999985E-3</v>
      </c>
    </row>
    <row r="51" spans="1:105" x14ac:dyDescent="0.25">
      <c r="A51" s="11">
        <v>48</v>
      </c>
      <c r="B51" s="13">
        <f t="shared" si="99"/>
        <v>2.3769999999999999E-2</v>
      </c>
      <c r="C51" s="13">
        <f t="shared" si="3"/>
        <v>2.3460000000000002E-2</v>
      </c>
      <c r="D51" s="13">
        <f t="shared" si="4"/>
        <v>3.7190000000000001E-2</v>
      </c>
      <c r="E51" s="13">
        <f t="shared" si="5"/>
        <v>2.7269999999999999E-2</v>
      </c>
      <c r="F51" s="13">
        <f t="shared" si="6"/>
        <v>2.3709999999999998E-2</v>
      </c>
      <c r="G51" s="13">
        <f t="shared" si="7"/>
        <v>4.3430000000000003E-2</v>
      </c>
      <c r="H51" s="13">
        <f t="shared" si="8"/>
        <v>4.4769999999999997E-2</v>
      </c>
      <c r="I51" s="13">
        <f t="shared" si="9"/>
        <v>1.1860000000000001E-2</v>
      </c>
      <c r="J51" s="13">
        <f t="shared" si="10"/>
        <v>3.2259999999999997E-2</v>
      </c>
      <c r="K51" s="13">
        <f t="shared" si="11"/>
        <v>4.079E-2</v>
      </c>
      <c r="L51" s="13">
        <f t="shared" si="12"/>
        <v>4.3720000000000002E-2</v>
      </c>
      <c r="M51" s="13">
        <f t="shared" si="13"/>
        <v>5.663E-2</v>
      </c>
      <c r="N51" s="13">
        <f t="shared" si="14"/>
        <v>3.3119999999999997E-2</v>
      </c>
      <c r="O51" s="13">
        <f t="shared" si="15"/>
        <v>1.1469999999999999E-2</v>
      </c>
      <c r="P51" s="13">
        <f t="shared" si="16"/>
        <v>3.4139999999999997E-2</v>
      </c>
      <c r="Q51" s="13">
        <f t="shared" si="17"/>
        <v>7.1749999999999994E-2</v>
      </c>
      <c r="R51" s="13">
        <f t="shared" si="18"/>
        <v>2.5059999999999999E-2</v>
      </c>
      <c r="S51" s="13">
        <f t="shared" si="19"/>
        <v>4.2560000000000001E-2</v>
      </c>
      <c r="T51" s="13">
        <f t="shared" si="20"/>
        <v>4.3830000000000001E-2</v>
      </c>
      <c r="U51" s="13">
        <f t="shared" si="21"/>
        <v>5.3249999999999999E-2</v>
      </c>
      <c r="V51" s="13">
        <f t="shared" si="22"/>
        <v>3.2680000000000001E-2</v>
      </c>
      <c r="W51" s="13">
        <f t="shared" si="23"/>
        <v>6.1269999999999998E-2</v>
      </c>
      <c r="X51" s="13">
        <f t="shared" si="24"/>
        <v>1.12E-2</v>
      </c>
      <c r="Y51" s="13">
        <f t="shared" si="25"/>
        <v>4.3400000000000001E-2</v>
      </c>
      <c r="Z51" s="13">
        <f t="shared" si="26"/>
        <v>7.0760000000000003E-2</v>
      </c>
      <c r="AA51" s="13">
        <f t="shared" si="27"/>
        <v>4.1930000000000002E-2</v>
      </c>
      <c r="AB51" s="13">
        <f t="shared" si="28"/>
        <v>3.2410000000000001E-2</v>
      </c>
      <c r="AC51" s="13">
        <f t="shared" si="29"/>
        <v>7.0389999999999994E-2</v>
      </c>
      <c r="AD51" s="13">
        <f t="shared" si="30"/>
        <v>2.6870000000000002E-2</v>
      </c>
      <c r="AE51" s="13">
        <f t="shared" si="31"/>
        <v>2.9090000000000001E-2</v>
      </c>
      <c r="AF51" s="13">
        <f t="shared" si="32"/>
        <v>3.4979999999999997E-2</v>
      </c>
      <c r="AG51" s="13">
        <f t="shared" si="33"/>
        <v>7.3880000000000001E-2</v>
      </c>
      <c r="AH51" s="13">
        <f t="shared" si="34"/>
        <v>2.5090000000000001E-2</v>
      </c>
      <c r="AI51" s="127">
        <f t="shared" si="0"/>
        <v>1.1469999999999999E-2</v>
      </c>
      <c r="AJ51" s="16">
        <v>48</v>
      </c>
      <c r="AK51" s="13">
        <f t="shared" si="100"/>
        <v>3.3770000000000001E-2</v>
      </c>
      <c r="AL51" s="13">
        <f t="shared" si="35"/>
        <v>3.3460000000000004E-2</v>
      </c>
      <c r="AM51" s="13">
        <f t="shared" si="36"/>
        <v>4.7190000000000003E-2</v>
      </c>
      <c r="AN51" s="13">
        <f t="shared" si="37"/>
        <v>3.7269999999999998E-2</v>
      </c>
      <c r="AO51" s="13">
        <f t="shared" si="38"/>
        <v>3.3709999999999997E-2</v>
      </c>
      <c r="AP51" s="13">
        <f t="shared" si="39"/>
        <v>5.3430000000000005E-2</v>
      </c>
      <c r="AQ51" s="13">
        <f t="shared" si="40"/>
        <v>5.4769999999999999E-2</v>
      </c>
      <c r="AR51" s="13">
        <f t="shared" si="41"/>
        <v>2.1860000000000001E-2</v>
      </c>
      <c r="AS51" s="13">
        <f t="shared" si="42"/>
        <v>4.2259999999999999E-2</v>
      </c>
      <c r="AT51" s="13">
        <f t="shared" si="43"/>
        <v>5.0790000000000002E-2</v>
      </c>
      <c r="AU51" s="13">
        <f t="shared" si="44"/>
        <v>5.3720000000000004E-2</v>
      </c>
      <c r="AV51" s="13">
        <f t="shared" si="45"/>
        <v>6.6629999999999995E-2</v>
      </c>
      <c r="AW51" s="13">
        <f t="shared" si="46"/>
        <v>4.3119999999999999E-2</v>
      </c>
      <c r="AX51" s="13">
        <f t="shared" si="47"/>
        <v>2.147E-2</v>
      </c>
      <c r="AY51" s="13">
        <f t="shared" si="48"/>
        <v>4.4139999999999999E-2</v>
      </c>
      <c r="AZ51" s="13">
        <f t="shared" si="49"/>
        <v>8.1749999999999989E-2</v>
      </c>
      <c r="BA51" s="13">
        <f t="shared" si="50"/>
        <v>3.5060000000000001E-2</v>
      </c>
      <c r="BB51" s="13">
        <f t="shared" si="51"/>
        <v>5.2560000000000003E-2</v>
      </c>
      <c r="BC51" s="13">
        <f t="shared" si="52"/>
        <v>5.3830000000000003E-2</v>
      </c>
      <c r="BD51" s="13">
        <f t="shared" si="53"/>
        <v>6.3250000000000001E-2</v>
      </c>
      <c r="BE51" s="13">
        <f t="shared" si="54"/>
        <v>4.2680000000000003E-2</v>
      </c>
      <c r="BF51" s="13">
        <f t="shared" si="55"/>
        <v>7.127E-2</v>
      </c>
      <c r="BG51" s="13">
        <f t="shared" si="56"/>
        <v>2.12E-2</v>
      </c>
      <c r="BH51" s="13">
        <f t="shared" si="57"/>
        <v>5.3400000000000003E-2</v>
      </c>
      <c r="BI51" s="13">
        <f t="shared" si="58"/>
        <v>8.0759999999999998E-2</v>
      </c>
      <c r="BJ51" s="13">
        <f t="shared" si="59"/>
        <v>5.1930000000000004E-2</v>
      </c>
      <c r="BK51" s="13">
        <f t="shared" si="60"/>
        <v>4.2410000000000003E-2</v>
      </c>
      <c r="BL51" s="13">
        <f t="shared" si="61"/>
        <v>8.0389999999999989E-2</v>
      </c>
      <c r="BM51" s="13">
        <f t="shared" si="62"/>
        <v>3.687E-2</v>
      </c>
      <c r="BN51" s="13">
        <f t="shared" si="63"/>
        <v>3.909E-2</v>
      </c>
      <c r="BO51" s="13">
        <f t="shared" si="64"/>
        <v>4.4979999999999999E-2</v>
      </c>
      <c r="BP51" s="13">
        <f t="shared" si="65"/>
        <v>8.3879999999999996E-2</v>
      </c>
      <c r="BQ51" s="13">
        <f t="shared" si="66"/>
        <v>3.5090000000000003E-2</v>
      </c>
      <c r="BR51" s="127">
        <f t="shared" si="1"/>
        <v>2.147E-2</v>
      </c>
      <c r="BS51" s="16">
        <v>48</v>
      </c>
      <c r="BT51" s="13">
        <f t="shared" si="101"/>
        <v>1.6876699999999998E-2</v>
      </c>
      <c r="BU51" s="13">
        <f t="shared" si="67"/>
        <v>1.6656600000000001E-2</v>
      </c>
      <c r="BV51" s="13">
        <f t="shared" si="68"/>
        <v>2.6404899999999999E-2</v>
      </c>
      <c r="BW51" s="13">
        <f t="shared" si="69"/>
        <v>1.9361699999999999E-2</v>
      </c>
      <c r="BX51" s="13">
        <f t="shared" si="70"/>
        <v>1.6834099999999998E-2</v>
      </c>
      <c r="BY51" s="13">
        <f t="shared" si="71"/>
        <v>3.08353E-2</v>
      </c>
      <c r="BZ51" s="13">
        <f t="shared" si="72"/>
        <v>3.1786699999999994E-2</v>
      </c>
      <c r="CA51" s="13">
        <f t="shared" si="73"/>
        <v>8.4206000000000003E-3</v>
      </c>
      <c r="CB51" s="13">
        <f t="shared" si="74"/>
        <v>2.2904599999999997E-2</v>
      </c>
      <c r="CC51" s="13">
        <f t="shared" si="75"/>
        <v>2.8960899999999998E-2</v>
      </c>
      <c r="CD51" s="13">
        <f t="shared" si="76"/>
        <v>3.1041200000000001E-2</v>
      </c>
      <c r="CE51" s="13">
        <f t="shared" si="77"/>
        <v>4.0207299999999994E-2</v>
      </c>
      <c r="CF51" s="13">
        <f t="shared" si="78"/>
        <v>2.3515199999999997E-2</v>
      </c>
      <c r="CG51" s="13">
        <f t="shared" si="79"/>
        <v>8.1436999999999985E-3</v>
      </c>
      <c r="CH51" s="13">
        <f t="shared" si="80"/>
        <v>2.4239399999999998E-2</v>
      </c>
      <c r="CI51" s="13">
        <f t="shared" si="81"/>
        <v>5.0942499999999995E-2</v>
      </c>
      <c r="CJ51" s="13">
        <f t="shared" si="82"/>
        <v>1.7792599999999999E-2</v>
      </c>
      <c r="CK51" s="13">
        <f t="shared" si="83"/>
        <v>3.0217599999999997E-2</v>
      </c>
      <c r="CL51" s="13">
        <f t="shared" si="84"/>
        <v>3.1119299999999999E-2</v>
      </c>
      <c r="CM51" s="13">
        <f t="shared" si="85"/>
        <v>3.7807499999999994E-2</v>
      </c>
      <c r="CN51" s="13">
        <f t="shared" si="86"/>
        <v>2.3202799999999999E-2</v>
      </c>
      <c r="CO51" s="13">
        <f t="shared" si="87"/>
        <v>4.3501699999999997E-2</v>
      </c>
      <c r="CP51" s="13">
        <f t="shared" si="88"/>
        <v>7.951999999999999E-3</v>
      </c>
      <c r="CQ51" s="13">
        <f t="shared" si="89"/>
        <v>3.0813999999999998E-2</v>
      </c>
      <c r="CR51" s="13">
        <f t="shared" si="90"/>
        <v>5.0239600000000002E-2</v>
      </c>
      <c r="CS51" s="13">
        <f t="shared" si="91"/>
        <v>2.97703E-2</v>
      </c>
      <c r="CT51" s="13">
        <f t="shared" si="92"/>
        <v>2.30111E-2</v>
      </c>
      <c r="CU51" s="13">
        <f t="shared" si="93"/>
        <v>4.9976899999999991E-2</v>
      </c>
      <c r="CV51" s="13">
        <f t="shared" si="94"/>
        <v>1.90777E-2</v>
      </c>
      <c r="CW51" s="13">
        <f t="shared" si="95"/>
        <v>2.0653899999999999E-2</v>
      </c>
      <c r="CX51" s="13">
        <f t="shared" si="96"/>
        <v>2.4835799999999998E-2</v>
      </c>
      <c r="CY51" s="13">
        <f t="shared" si="97"/>
        <v>5.2454799999999996E-2</v>
      </c>
      <c r="CZ51" s="13">
        <f t="shared" si="98"/>
        <v>1.7813900000000001E-2</v>
      </c>
      <c r="DA51" s="127">
        <f t="shared" si="2"/>
        <v>8.1436999999999985E-3</v>
      </c>
    </row>
    <row r="52" spans="1:105" x14ac:dyDescent="0.25">
      <c r="A52" s="11">
        <v>49</v>
      </c>
      <c r="B52" s="13">
        <f t="shared" si="99"/>
        <v>2.3769999999999999E-2</v>
      </c>
      <c r="C52" s="13">
        <f t="shared" si="3"/>
        <v>2.3460000000000002E-2</v>
      </c>
      <c r="D52" s="13">
        <f t="shared" si="4"/>
        <v>3.7190000000000001E-2</v>
      </c>
      <c r="E52" s="13">
        <f t="shared" si="5"/>
        <v>2.7269999999999999E-2</v>
      </c>
      <c r="F52" s="13">
        <f t="shared" si="6"/>
        <v>2.3709999999999998E-2</v>
      </c>
      <c r="G52" s="13">
        <f t="shared" si="7"/>
        <v>4.3430000000000003E-2</v>
      </c>
      <c r="H52" s="13">
        <f t="shared" si="8"/>
        <v>4.4769999999999997E-2</v>
      </c>
      <c r="I52" s="13">
        <f t="shared" si="9"/>
        <v>1.1860000000000001E-2</v>
      </c>
      <c r="J52" s="13">
        <f t="shared" si="10"/>
        <v>3.2259999999999997E-2</v>
      </c>
      <c r="K52" s="13">
        <f t="shared" si="11"/>
        <v>4.079E-2</v>
      </c>
      <c r="L52" s="13">
        <f t="shared" si="12"/>
        <v>4.3720000000000002E-2</v>
      </c>
      <c r="M52" s="13">
        <f t="shared" si="13"/>
        <v>5.663E-2</v>
      </c>
      <c r="N52" s="13">
        <f t="shared" si="14"/>
        <v>3.3119999999999997E-2</v>
      </c>
      <c r="O52" s="13">
        <f t="shared" si="15"/>
        <v>1.1469999999999999E-2</v>
      </c>
      <c r="P52" s="13">
        <f t="shared" si="16"/>
        <v>3.4139999999999997E-2</v>
      </c>
      <c r="Q52" s="13">
        <f t="shared" si="17"/>
        <v>7.1749999999999994E-2</v>
      </c>
      <c r="R52" s="13">
        <f t="shared" si="18"/>
        <v>2.5059999999999999E-2</v>
      </c>
      <c r="S52" s="13">
        <f t="shared" si="19"/>
        <v>4.2560000000000001E-2</v>
      </c>
      <c r="T52" s="13">
        <f t="shared" si="20"/>
        <v>4.3830000000000001E-2</v>
      </c>
      <c r="U52" s="13">
        <f t="shared" si="21"/>
        <v>5.3249999999999999E-2</v>
      </c>
      <c r="V52" s="13">
        <f t="shared" si="22"/>
        <v>3.2680000000000001E-2</v>
      </c>
      <c r="W52" s="13">
        <f t="shared" si="23"/>
        <v>6.1269999999999998E-2</v>
      </c>
      <c r="X52" s="13">
        <f t="shared" si="24"/>
        <v>1.12E-2</v>
      </c>
      <c r="Y52" s="13">
        <f t="shared" si="25"/>
        <v>4.3400000000000001E-2</v>
      </c>
      <c r="Z52" s="13">
        <f t="shared" si="26"/>
        <v>7.0760000000000003E-2</v>
      </c>
      <c r="AA52" s="13">
        <f t="shared" si="27"/>
        <v>4.1930000000000002E-2</v>
      </c>
      <c r="AB52" s="13">
        <f t="shared" si="28"/>
        <v>3.2410000000000001E-2</v>
      </c>
      <c r="AC52" s="13">
        <f t="shared" si="29"/>
        <v>7.0389999999999994E-2</v>
      </c>
      <c r="AD52" s="13">
        <f t="shared" si="30"/>
        <v>2.6870000000000002E-2</v>
      </c>
      <c r="AE52" s="13">
        <f t="shared" si="31"/>
        <v>2.9090000000000001E-2</v>
      </c>
      <c r="AF52" s="13">
        <f t="shared" si="32"/>
        <v>3.4979999999999997E-2</v>
      </c>
      <c r="AG52" s="13">
        <f t="shared" si="33"/>
        <v>7.3880000000000001E-2</v>
      </c>
      <c r="AH52" s="13">
        <f t="shared" si="34"/>
        <v>2.5090000000000001E-2</v>
      </c>
      <c r="AI52" s="127">
        <f t="shared" si="0"/>
        <v>1.1469999999999999E-2</v>
      </c>
      <c r="AJ52" s="16">
        <v>49</v>
      </c>
      <c r="AK52" s="13">
        <f t="shared" si="100"/>
        <v>3.3770000000000001E-2</v>
      </c>
      <c r="AL52" s="13">
        <f t="shared" si="35"/>
        <v>3.3460000000000004E-2</v>
      </c>
      <c r="AM52" s="13">
        <f t="shared" si="36"/>
        <v>4.7190000000000003E-2</v>
      </c>
      <c r="AN52" s="13">
        <f t="shared" si="37"/>
        <v>3.7269999999999998E-2</v>
      </c>
      <c r="AO52" s="13">
        <f t="shared" si="38"/>
        <v>3.3709999999999997E-2</v>
      </c>
      <c r="AP52" s="13">
        <f t="shared" si="39"/>
        <v>5.3430000000000005E-2</v>
      </c>
      <c r="AQ52" s="13">
        <f t="shared" si="40"/>
        <v>5.4769999999999999E-2</v>
      </c>
      <c r="AR52" s="13">
        <f t="shared" si="41"/>
        <v>2.1860000000000001E-2</v>
      </c>
      <c r="AS52" s="13">
        <f t="shared" si="42"/>
        <v>4.2259999999999999E-2</v>
      </c>
      <c r="AT52" s="13">
        <f t="shared" si="43"/>
        <v>5.0790000000000002E-2</v>
      </c>
      <c r="AU52" s="13">
        <f t="shared" si="44"/>
        <v>5.3720000000000004E-2</v>
      </c>
      <c r="AV52" s="13">
        <f t="shared" si="45"/>
        <v>6.6629999999999995E-2</v>
      </c>
      <c r="AW52" s="13">
        <f t="shared" si="46"/>
        <v>4.3119999999999999E-2</v>
      </c>
      <c r="AX52" s="13">
        <f t="shared" si="47"/>
        <v>2.147E-2</v>
      </c>
      <c r="AY52" s="13">
        <f t="shared" si="48"/>
        <v>4.4139999999999999E-2</v>
      </c>
      <c r="AZ52" s="13">
        <f t="shared" si="49"/>
        <v>8.1749999999999989E-2</v>
      </c>
      <c r="BA52" s="13">
        <f t="shared" si="50"/>
        <v>3.5060000000000001E-2</v>
      </c>
      <c r="BB52" s="13">
        <f t="shared" si="51"/>
        <v>5.2560000000000003E-2</v>
      </c>
      <c r="BC52" s="13">
        <f t="shared" si="52"/>
        <v>5.3830000000000003E-2</v>
      </c>
      <c r="BD52" s="13">
        <f t="shared" si="53"/>
        <v>6.3250000000000001E-2</v>
      </c>
      <c r="BE52" s="13">
        <f t="shared" si="54"/>
        <v>4.2680000000000003E-2</v>
      </c>
      <c r="BF52" s="13">
        <f t="shared" si="55"/>
        <v>7.127E-2</v>
      </c>
      <c r="BG52" s="13">
        <f t="shared" si="56"/>
        <v>2.12E-2</v>
      </c>
      <c r="BH52" s="13">
        <f t="shared" si="57"/>
        <v>5.3400000000000003E-2</v>
      </c>
      <c r="BI52" s="13">
        <f t="shared" si="58"/>
        <v>8.0759999999999998E-2</v>
      </c>
      <c r="BJ52" s="13">
        <f t="shared" si="59"/>
        <v>5.1930000000000004E-2</v>
      </c>
      <c r="BK52" s="13">
        <f t="shared" si="60"/>
        <v>4.2410000000000003E-2</v>
      </c>
      <c r="BL52" s="13">
        <f t="shared" si="61"/>
        <v>8.0389999999999989E-2</v>
      </c>
      <c r="BM52" s="13">
        <f t="shared" si="62"/>
        <v>3.687E-2</v>
      </c>
      <c r="BN52" s="13">
        <f t="shared" si="63"/>
        <v>3.909E-2</v>
      </c>
      <c r="BO52" s="13">
        <f t="shared" si="64"/>
        <v>4.4979999999999999E-2</v>
      </c>
      <c r="BP52" s="13">
        <f t="shared" si="65"/>
        <v>8.3879999999999996E-2</v>
      </c>
      <c r="BQ52" s="13">
        <f t="shared" si="66"/>
        <v>3.5090000000000003E-2</v>
      </c>
      <c r="BR52" s="127">
        <f t="shared" si="1"/>
        <v>2.147E-2</v>
      </c>
      <c r="BS52" s="16">
        <v>49</v>
      </c>
      <c r="BT52" s="13">
        <f t="shared" si="101"/>
        <v>1.6876699999999998E-2</v>
      </c>
      <c r="BU52" s="13">
        <f t="shared" si="67"/>
        <v>1.6656600000000001E-2</v>
      </c>
      <c r="BV52" s="13">
        <f t="shared" si="68"/>
        <v>2.6404899999999999E-2</v>
      </c>
      <c r="BW52" s="13">
        <f t="shared" si="69"/>
        <v>1.9361699999999999E-2</v>
      </c>
      <c r="BX52" s="13">
        <f t="shared" si="70"/>
        <v>1.6834099999999998E-2</v>
      </c>
      <c r="BY52" s="13">
        <f t="shared" si="71"/>
        <v>3.08353E-2</v>
      </c>
      <c r="BZ52" s="13">
        <f t="shared" si="72"/>
        <v>3.1786699999999994E-2</v>
      </c>
      <c r="CA52" s="13">
        <f t="shared" si="73"/>
        <v>8.4206000000000003E-3</v>
      </c>
      <c r="CB52" s="13">
        <f t="shared" si="74"/>
        <v>2.2904599999999997E-2</v>
      </c>
      <c r="CC52" s="13">
        <f t="shared" si="75"/>
        <v>2.8960899999999998E-2</v>
      </c>
      <c r="CD52" s="13">
        <f t="shared" si="76"/>
        <v>3.1041200000000001E-2</v>
      </c>
      <c r="CE52" s="13">
        <f t="shared" si="77"/>
        <v>4.0207299999999994E-2</v>
      </c>
      <c r="CF52" s="13">
        <f t="shared" si="78"/>
        <v>2.3515199999999997E-2</v>
      </c>
      <c r="CG52" s="13">
        <f t="shared" si="79"/>
        <v>8.1436999999999985E-3</v>
      </c>
      <c r="CH52" s="13">
        <f t="shared" si="80"/>
        <v>2.4239399999999998E-2</v>
      </c>
      <c r="CI52" s="13">
        <f t="shared" si="81"/>
        <v>5.0942499999999995E-2</v>
      </c>
      <c r="CJ52" s="13">
        <f t="shared" si="82"/>
        <v>1.7792599999999999E-2</v>
      </c>
      <c r="CK52" s="13">
        <f t="shared" si="83"/>
        <v>3.0217599999999997E-2</v>
      </c>
      <c r="CL52" s="13">
        <f t="shared" si="84"/>
        <v>3.1119299999999999E-2</v>
      </c>
      <c r="CM52" s="13">
        <f t="shared" si="85"/>
        <v>3.7807499999999994E-2</v>
      </c>
      <c r="CN52" s="13">
        <f t="shared" si="86"/>
        <v>2.3202799999999999E-2</v>
      </c>
      <c r="CO52" s="13">
        <f t="shared" si="87"/>
        <v>4.3501699999999997E-2</v>
      </c>
      <c r="CP52" s="13">
        <f t="shared" si="88"/>
        <v>7.951999999999999E-3</v>
      </c>
      <c r="CQ52" s="13">
        <f t="shared" si="89"/>
        <v>3.0813999999999998E-2</v>
      </c>
      <c r="CR52" s="13">
        <f t="shared" si="90"/>
        <v>5.0239600000000002E-2</v>
      </c>
      <c r="CS52" s="13">
        <f t="shared" si="91"/>
        <v>2.97703E-2</v>
      </c>
      <c r="CT52" s="13">
        <f t="shared" si="92"/>
        <v>2.30111E-2</v>
      </c>
      <c r="CU52" s="13">
        <f t="shared" si="93"/>
        <v>4.9976899999999991E-2</v>
      </c>
      <c r="CV52" s="13">
        <f t="shared" si="94"/>
        <v>1.90777E-2</v>
      </c>
      <c r="CW52" s="13">
        <f t="shared" si="95"/>
        <v>2.0653899999999999E-2</v>
      </c>
      <c r="CX52" s="13">
        <f t="shared" si="96"/>
        <v>2.4835799999999998E-2</v>
      </c>
      <c r="CY52" s="13">
        <f t="shared" si="97"/>
        <v>5.2454799999999996E-2</v>
      </c>
      <c r="CZ52" s="13">
        <f t="shared" si="98"/>
        <v>1.7813900000000001E-2</v>
      </c>
      <c r="DA52" s="127">
        <f t="shared" si="2"/>
        <v>8.1436999999999985E-3</v>
      </c>
    </row>
    <row r="53" spans="1:105" x14ac:dyDescent="0.25">
      <c r="A53" s="11">
        <v>50</v>
      </c>
      <c r="B53" s="13">
        <f t="shared" si="99"/>
        <v>2.3769999999999999E-2</v>
      </c>
      <c r="C53" s="13">
        <f t="shared" si="3"/>
        <v>2.3460000000000002E-2</v>
      </c>
      <c r="D53" s="13">
        <f t="shared" si="4"/>
        <v>3.7190000000000001E-2</v>
      </c>
      <c r="E53" s="13">
        <f t="shared" si="5"/>
        <v>2.7269999999999999E-2</v>
      </c>
      <c r="F53" s="13">
        <f t="shared" si="6"/>
        <v>2.3709999999999998E-2</v>
      </c>
      <c r="G53" s="13">
        <f t="shared" si="7"/>
        <v>4.3430000000000003E-2</v>
      </c>
      <c r="H53" s="13">
        <f t="shared" si="8"/>
        <v>4.4769999999999997E-2</v>
      </c>
      <c r="I53" s="13">
        <f t="shared" si="9"/>
        <v>1.1860000000000001E-2</v>
      </c>
      <c r="J53" s="13">
        <f t="shared" si="10"/>
        <v>3.2259999999999997E-2</v>
      </c>
      <c r="K53" s="13">
        <f t="shared" si="11"/>
        <v>4.079E-2</v>
      </c>
      <c r="L53" s="13">
        <f t="shared" si="12"/>
        <v>4.3720000000000002E-2</v>
      </c>
      <c r="M53" s="13">
        <f t="shared" si="13"/>
        <v>5.663E-2</v>
      </c>
      <c r="N53" s="13">
        <f t="shared" si="14"/>
        <v>3.3119999999999997E-2</v>
      </c>
      <c r="O53" s="13">
        <f t="shared" si="15"/>
        <v>1.1469999999999999E-2</v>
      </c>
      <c r="P53" s="13">
        <f t="shared" si="16"/>
        <v>3.4139999999999997E-2</v>
      </c>
      <c r="Q53" s="13">
        <f t="shared" si="17"/>
        <v>7.1749999999999994E-2</v>
      </c>
      <c r="R53" s="13">
        <f t="shared" si="18"/>
        <v>2.5059999999999999E-2</v>
      </c>
      <c r="S53" s="13">
        <f t="shared" si="19"/>
        <v>4.2560000000000001E-2</v>
      </c>
      <c r="T53" s="13">
        <f t="shared" si="20"/>
        <v>4.3830000000000001E-2</v>
      </c>
      <c r="U53" s="13">
        <f t="shared" si="21"/>
        <v>5.3249999999999999E-2</v>
      </c>
      <c r="V53" s="13">
        <f t="shared" si="22"/>
        <v>3.2680000000000001E-2</v>
      </c>
      <c r="W53" s="13">
        <f t="shared" si="23"/>
        <v>6.1269999999999998E-2</v>
      </c>
      <c r="X53" s="13">
        <f t="shared" si="24"/>
        <v>1.12E-2</v>
      </c>
      <c r="Y53" s="13">
        <f t="shared" si="25"/>
        <v>4.3400000000000001E-2</v>
      </c>
      <c r="Z53" s="13">
        <f t="shared" si="26"/>
        <v>7.0760000000000003E-2</v>
      </c>
      <c r="AA53" s="13">
        <f t="shared" si="27"/>
        <v>4.1930000000000002E-2</v>
      </c>
      <c r="AB53" s="13">
        <f t="shared" si="28"/>
        <v>3.2410000000000001E-2</v>
      </c>
      <c r="AC53" s="13">
        <f t="shared" si="29"/>
        <v>7.0389999999999994E-2</v>
      </c>
      <c r="AD53" s="13">
        <f t="shared" si="30"/>
        <v>2.6870000000000002E-2</v>
      </c>
      <c r="AE53" s="13">
        <f t="shared" si="31"/>
        <v>2.9090000000000001E-2</v>
      </c>
      <c r="AF53" s="13">
        <f t="shared" si="32"/>
        <v>3.4979999999999997E-2</v>
      </c>
      <c r="AG53" s="13">
        <f t="shared" si="33"/>
        <v>7.3880000000000001E-2</v>
      </c>
      <c r="AH53" s="13">
        <f t="shared" si="34"/>
        <v>2.5090000000000001E-2</v>
      </c>
      <c r="AI53" s="127">
        <f t="shared" si="0"/>
        <v>1.1469999999999999E-2</v>
      </c>
      <c r="AJ53" s="16">
        <v>50</v>
      </c>
      <c r="AK53" s="13">
        <f t="shared" si="100"/>
        <v>3.3770000000000001E-2</v>
      </c>
      <c r="AL53" s="13">
        <f t="shared" si="35"/>
        <v>3.3460000000000004E-2</v>
      </c>
      <c r="AM53" s="13">
        <f t="shared" si="36"/>
        <v>4.7190000000000003E-2</v>
      </c>
      <c r="AN53" s="13">
        <f t="shared" si="37"/>
        <v>3.7269999999999998E-2</v>
      </c>
      <c r="AO53" s="13">
        <f t="shared" si="38"/>
        <v>3.3709999999999997E-2</v>
      </c>
      <c r="AP53" s="13">
        <f t="shared" si="39"/>
        <v>5.3430000000000005E-2</v>
      </c>
      <c r="AQ53" s="13">
        <f t="shared" si="40"/>
        <v>5.4769999999999999E-2</v>
      </c>
      <c r="AR53" s="13">
        <f t="shared" si="41"/>
        <v>2.1860000000000001E-2</v>
      </c>
      <c r="AS53" s="13">
        <f t="shared" si="42"/>
        <v>4.2259999999999999E-2</v>
      </c>
      <c r="AT53" s="13">
        <f t="shared" si="43"/>
        <v>5.0790000000000002E-2</v>
      </c>
      <c r="AU53" s="13">
        <f t="shared" si="44"/>
        <v>5.3720000000000004E-2</v>
      </c>
      <c r="AV53" s="13">
        <f t="shared" si="45"/>
        <v>6.6629999999999995E-2</v>
      </c>
      <c r="AW53" s="13">
        <f t="shared" si="46"/>
        <v>4.3119999999999999E-2</v>
      </c>
      <c r="AX53" s="13">
        <f t="shared" si="47"/>
        <v>2.147E-2</v>
      </c>
      <c r="AY53" s="13">
        <f t="shared" si="48"/>
        <v>4.4139999999999999E-2</v>
      </c>
      <c r="AZ53" s="13">
        <f t="shared" si="49"/>
        <v>8.1749999999999989E-2</v>
      </c>
      <c r="BA53" s="13">
        <f t="shared" si="50"/>
        <v>3.5060000000000001E-2</v>
      </c>
      <c r="BB53" s="13">
        <f t="shared" si="51"/>
        <v>5.2560000000000003E-2</v>
      </c>
      <c r="BC53" s="13">
        <f t="shared" si="52"/>
        <v>5.3830000000000003E-2</v>
      </c>
      <c r="BD53" s="13">
        <f t="shared" si="53"/>
        <v>6.3250000000000001E-2</v>
      </c>
      <c r="BE53" s="13">
        <f t="shared" si="54"/>
        <v>4.2680000000000003E-2</v>
      </c>
      <c r="BF53" s="13">
        <f t="shared" si="55"/>
        <v>7.127E-2</v>
      </c>
      <c r="BG53" s="13">
        <f t="shared" si="56"/>
        <v>2.12E-2</v>
      </c>
      <c r="BH53" s="13">
        <f t="shared" si="57"/>
        <v>5.3400000000000003E-2</v>
      </c>
      <c r="BI53" s="13">
        <f t="shared" si="58"/>
        <v>8.0759999999999998E-2</v>
      </c>
      <c r="BJ53" s="13">
        <f t="shared" si="59"/>
        <v>5.1930000000000004E-2</v>
      </c>
      <c r="BK53" s="13">
        <f t="shared" si="60"/>
        <v>4.2410000000000003E-2</v>
      </c>
      <c r="BL53" s="13">
        <f t="shared" si="61"/>
        <v>8.0389999999999989E-2</v>
      </c>
      <c r="BM53" s="13">
        <f t="shared" si="62"/>
        <v>3.687E-2</v>
      </c>
      <c r="BN53" s="13">
        <f t="shared" si="63"/>
        <v>3.909E-2</v>
      </c>
      <c r="BO53" s="13">
        <f t="shared" si="64"/>
        <v>4.4979999999999999E-2</v>
      </c>
      <c r="BP53" s="13">
        <f t="shared" si="65"/>
        <v>8.3879999999999996E-2</v>
      </c>
      <c r="BQ53" s="13">
        <f t="shared" si="66"/>
        <v>3.5090000000000003E-2</v>
      </c>
      <c r="BR53" s="127">
        <f t="shared" si="1"/>
        <v>2.147E-2</v>
      </c>
      <c r="BS53" s="16">
        <v>50</v>
      </c>
      <c r="BT53" s="13">
        <f t="shared" si="101"/>
        <v>1.6876699999999998E-2</v>
      </c>
      <c r="BU53" s="13">
        <f t="shared" si="67"/>
        <v>1.6656600000000001E-2</v>
      </c>
      <c r="BV53" s="13">
        <f t="shared" si="68"/>
        <v>2.6404899999999999E-2</v>
      </c>
      <c r="BW53" s="13">
        <f t="shared" si="69"/>
        <v>1.9361699999999999E-2</v>
      </c>
      <c r="BX53" s="13">
        <f t="shared" si="70"/>
        <v>1.6834099999999998E-2</v>
      </c>
      <c r="BY53" s="13">
        <f t="shared" si="71"/>
        <v>3.08353E-2</v>
      </c>
      <c r="BZ53" s="13">
        <f t="shared" si="72"/>
        <v>3.1786699999999994E-2</v>
      </c>
      <c r="CA53" s="13">
        <f t="shared" si="73"/>
        <v>8.4206000000000003E-3</v>
      </c>
      <c r="CB53" s="13">
        <f t="shared" si="74"/>
        <v>2.2904599999999997E-2</v>
      </c>
      <c r="CC53" s="13">
        <f t="shared" si="75"/>
        <v>2.8960899999999998E-2</v>
      </c>
      <c r="CD53" s="13">
        <f t="shared" si="76"/>
        <v>3.1041200000000001E-2</v>
      </c>
      <c r="CE53" s="13">
        <f t="shared" si="77"/>
        <v>4.0207299999999994E-2</v>
      </c>
      <c r="CF53" s="13">
        <f t="shared" si="78"/>
        <v>2.3515199999999997E-2</v>
      </c>
      <c r="CG53" s="13">
        <f t="shared" si="79"/>
        <v>8.1436999999999985E-3</v>
      </c>
      <c r="CH53" s="13">
        <f t="shared" si="80"/>
        <v>2.4239399999999998E-2</v>
      </c>
      <c r="CI53" s="13">
        <f t="shared" si="81"/>
        <v>5.0942499999999995E-2</v>
      </c>
      <c r="CJ53" s="13">
        <f t="shared" si="82"/>
        <v>1.7792599999999999E-2</v>
      </c>
      <c r="CK53" s="13">
        <f t="shared" si="83"/>
        <v>3.0217599999999997E-2</v>
      </c>
      <c r="CL53" s="13">
        <f t="shared" si="84"/>
        <v>3.1119299999999999E-2</v>
      </c>
      <c r="CM53" s="13">
        <f t="shared" si="85"/>
        <v>3.7807499999999994E-2</v>
      </c>
      <c r="CN53" s="13">
        <f t="shared" si="86"/>
        <v>2.3202799999999999E-2</v>
      </c>
      <c r="CO53" s="13">
        <f t="shared" si="87"/>
        <v>4.3501699999999997E-2</v>
      </c>
      <c r="CP53" s="13">
        <f t="shared" si="88"/>
        <v>7.951999999999999E-3</v>
      </c>
      <c r="CQ53" s="13">
        <f t="shared" si="89"/>
        <v>3.0813999999999998E-2</v>
      </c>
      <c r="CR53" s="13">
        <f t="shared" si="90"/>
        <v>5.0239600000000002E-2</v>
      </c>
      <c r="CS53" s="13">
        <f t="shared" si="91"/>
        <v>2.97703E-2</v>
      </c>
      <c r="CT53" s="13">
        <f t="shared" si="92"/>
        <v>2.30111E-2</v>
      </c>
      <c r="CU53" s="13">
        <f t="shared" si="93"/>
        <v>4.9976899999999991E-2</v>
      </c>
      <c r="CV53" s="13">
        <f t="shared" si="94"/>
        <v>1.90777E-2</v>
      </c>
      <c r="CW53" s="13">
        <f t="shared" si="95"/>
        <v>2.0653899999999999E-2</v>
      </c>
      <c r="CX53" s="13">
        <f t="shared" si="96"/>
        <v>2.4835799999999998E-2</v>
      </c>
      <c r="CY53" s="13">
        <f t="shared" si="97"/>
        <v>5.2454799999999996E-2</v>
      </c>
      <c r="CZ53" s="13">
        <f t="shared" si="98"/>
        <v>1.7813900000000001E-2</v>
      </c>
      <c r="DA53" s="127">
        <f t="shared" si="2"/>
        <v>8.1436999999999985E-3</v>
      </c>
    </row>
    <row r="54" spans="1:105" x14ac:dyDescent="0.25">
      <c r="A54" s="11">
        <v>51</v>
      </c>
      <c r="B54" s="13">
        <f t="shared" si="99"/>
        <v>2.3769999999999999E-2</v>
      </c>
      <c r="C54" s="13">
        <f t="shared" si="3"/>
        <v>2.3460000000000002E-2</v>
      </c>
      <c r="D54" s="13">
        <f t="shared" si="4"/>
        <v>3.7190000000000001E-2</v>
      </c>
      <c r="E54" s="13">
        <f t="shared" si="5"/>
        <v>2.7269999999999999E-2</v>
      </c>
      <c r="F54" s="13">
        <f t="shared" si="6"/>
        <v>2.3709999999999998E-2</v>
      </c>
      <c r="G54" s="13">
        <f t="shared" si="7"/>
        <v>4.3430000000000003E-2</v>
      </c>
      <c r="H54" s="13">
        <f t="shared" si="8"/>
        <v>4.4769999999999997E-2</v>
      </c>
      <c r="I54" s="13">
        <f t="shared" si="9"/>
        <v>1.1860000000000001E-2</v>
      </c>
      <c r="J54" s="13">
        <f t="shared" si="10"/>
        <v>3.2259999999999997E-2</v>
      </c>
      <c r="K54" s="13">
        <f t="shared" si="11"/>
        <v>4.079E-2</v>
      </c>
      <c r="L54" s="13">
        <f t="shared" si="12"/>
        <v>4.3720000000000002E-2</v>
      </c>
      <c r="M54" s="13">
        <f t="shared" si="13"/>
        <v>5.663E-2</v>
      </c>
      <c r="N54" s="13">
        <f t="shared" si="14"/>
        <v>3.3119999999999997E-2</v>
      </c>
      <c r="O54" s="13">
        <f t="shared" si="15"/>
        <v>1.1469999999999999E-2</v>
      </c>
      <c r="P54" s="13">
        <f t="shared" si="16"/>
        <v>3.4139999999999997E-2</v>
      </c>
      <c r="Q54" s="13">
        <f t="shared" si="17"/>
        <v>7.1749999999999994E-2</v>
      </c>
      <c r="R54" s="13">
        <f t="shared" si="18"/>
        <v>2.5059999999999999E-2</v>
      </c>
      <c r="S54" s="13">
        <f t="shared" si="19"/>
        <v>4.2560000000000001E-2</v>
      </c>
      <c r="T54" s="13">
        <f t="shared" si="20"/>
        <v>4.3830000000000001E-2</v>
      </c>
      <c r="U54" s="13">
        <f t="shared" si="21"/>
        <v>5.3249999999999999E-2</v>
      </c>
      <c r="V54" s="13">
        <f t="shared" si="22"/>
        <v>3.2680000000000001E-2</v>
      </c>
      <c r="W54" s="13">
        <f t="shared" si="23"/>
        <v>6.1269999999999998E-2</v>
      </c>
      <c r="X54" s="13">
        <f t="shared" si="24"/>
        <v>1.12E-2</v>
      </c>
      <c r="Y54" s="13">
        <f t="shared" si="25"/>
        <v>4.3400000000000001E-2</v>
      </c>
      <c r="Z54" s="13">
        <f t="shared" si="26"/>
        <v>7.0760000000000003E-2</v>
      </c>
      <c r="AA54" s="13">
        <f t="shared" si="27"/>
        <v>4.1930000000000002E-2</v>
      </c>
      <c r="AB54" s="13">
        <f t="shared" si="28"/>
        <v>3.2410000000000001E-2</v>
      </c>
      <c r="AC54" s="13">
        <f t="shared" si="29"/>
        <v>7.0389999999999994E-2</v>
      </c>
      <c r="AD54" s="13">
        <f t="shared" si="30"/>
        <v>2.6870000000000002E-2</v>
      </c>
      <c r="AE54" s="13">
        <f t="shared" si="31"/>
        <v>2.9090000000000001E-2</v>
      </c>
      <c r="AF54" s="13">
        <f t="shared" si="32"/>
        <v>3.4979999999999997E-2</v>
      </c>
      <c r="AG54" s="13">
        <f t="shared" si="33"/>
        <v>7.3880000000000001E-2</v>
      </c>
      <c r="AH54" s="13">
        <f t="shared" si="34"/>
        <v>2.5090000000000001E-2</v>
      </c>
      <c r="AI54" s="127">
        <f t="shared" si="0"/>
        <v>1.1469999999999999E-2</v>
      </c>
      <c r="AJ54" s="16">
        <v>51</v>
      </c>
      <c r="AK54" s="13">
        <f t="shared" si="100"/>
        <v>3.3770000000000001E-2</v>
      </c>
      <c r="AL54" s="13">
        <f t="shared" si="35"/>
        <v>3.3460000000000004E-2</v>
      </c>
      <c r="AM54" s="13">
        <f t="shared" si="36"/>
        <v>4.7190000000000003E-2</v>
      </c>
      <c r="AN54" s="13">
        <f t="shared" si="37"/>
        <v>3.7269999999999998E-2</v>
      </c>
      <c r="AO54" s="13">
        <f t="shared" si="38"/>
        <v>3.3709999999999997E-2</v>
      </c>
      <c r="AP54" s="13">
        <f t="shared" si="39"/>
        <v>5.3430000000000005E-2</v>
      </c>
      <c r="AQ54" s="13">
        <f t="shared" si="40"/>
        <v>5.4769999999999999E-2</v>
      </c>
      <c r="AR54" s="13">
        <f t="shared" si="41"/>
        <v>2.1860000000000001E-2</v>
      </c>
      <c r="AS54" s="13">
        <f t="shared" si="42"/>
        <v>4.2259999999999999E-2</v>
      </c>
      <c r="AT54" s="13">
        <f t="shared" si="43"/>
        <v>5.0790000000000002E-2</v>
      </c>
      <c r="AU54" s="13">
        <f t="shared" si="44"/>
        <v>5.3720000000000004E-2</v>
      </c>
      <c r="AV54" s="13">
        <f t="shared" si="45"/>
        <v>6.6629999999999995E-2</v>
      </c>
      <c r="AW54" s="13">
        <f t="shared" si="46"/>
        <v>4.3119999999999999E-2</v>
      </c>
      <c r="AX54" s="13">
        <f t="shared" si="47"/>
        <v>2.147E-2</v>
      </c>
      <c r="AY54" s="13">
        <f t="shared" si="48"/>
        <v>4.4139999999999999E-2</v>
      </c>
      <c r="AZ54" s="13">
        <f t="shared" si="49"/>
        <v>8.1749999999999989E-2</v>
      </c>
      <c r="BA54" s="13">
        <f t="shared" si="50"/>
        <v>3.5060000000000001E-2</v>
      </c>
      <c r="BB54" s="13">
        <f t="shared" si="51"/>
        <v>5.2560000000000003E-2</v>
      </c>
      <c r="BC54" s="13">
        <f t="shared" si="52"/>
        <v>5.3830000000000003E-2</v>
      </c>
      <c r="BD54" s="13">
        <f t="shared" si="53"/>
        <v>6.3250000000000001E-2</v>
      </c>
      <c r="BE54" s="13">
        <f t="shared" si="54"/>
        <v>4.2680000000000003E-2</v>
      </c>
      <c r="BF54" s="13">
        <f t="shared" si="55"/>
        <v>7.127E-2</v>
      </c>
      <c r="BG54" s="13">
        <f t="shared" si="56"/>
        <v>2.12E-2</v>
      </c>
      <c r="BH54" s="13">
        <f t="shared" si="57"/>
        <v>5.3400000000000003E-2</v>
      </c>
      <c r="BI54" s="13">
        <f t="shared" si="58"/>
        <v>8.0759999999999998E-2</v>
      </c>
      <c r="BJ54" s="13">
        <f t="shared" si="59"/>
        <v>5.1930000000000004E-2</v>
      </c>
      <c r="BK54" s="13">
        <f t="shared" si="60"/>
        <v>4.2410000000000003E-2</v>
      </c>
      <c r="BL54" s="13">
        <f t="shared" si="61"/>
        <v>8.0389999999999989E-2</v>
      </c>
      <c r="BM54" s="13">
        <f t="shared" si="62"/>
        <v>3.687E-2</v>
      </c>
      <c r="BN54" s="13">
        <f t="shared" si="63"/>
        <v>3.909E-2</v>
      </c>
      <c r="BO54" s="13">
        <f t="shared" si="64"/>
        <v>4.4979999999999999E-2</v>
      </c>
      <c r="BP54" s="13">
        <f t="shared" si="65"/>
        <v>8.3879999999999996E-2</v>
      </c>
      <c r="BQ54" s="13">
        <f t="shared" si="66"/>
        <v>3.5090000000000003E-2</v>
      </c>
      <c r="BR54" s="127">
        <f t="shared" si="1"/>
        <v>2.147E-2</v>
      </c>
      <c r="BS54" s="16">
        <v>51</v>
      </c>
      <c r="BT54" s="13">
        <f t="shared" si="101"/>
        <v>1.6876699999999998E-2</v>
      </c>
      <c r="BU54" s="13">
        <f t="shared" si="67"/>
        <v>1.6656600000000001E-2</v>
      </c>
      <c r="BV54" s="13">
        <f t="shared" si="68"/>
        <v>2.6404899999999999E-2</v>
      </c>
      <c r="BW54" s="13">
        <f t="shared" si="69"/>
        <v>1.9361699999999999E-2</v>
      </c>
      <c r="BX54" s="13">
        <f t="shared" si="70"/>
        <v>1.6834099999999998E-2</v>
      </c>
      <c r="BY54" s="13">
        <f t="shared" si="71"/>
        <v>3.08353E-2</v>
      </c>
      <c r="BZ54" s="13">
        <f t="shared" si="72"/>
        <v>3.1786699999999994E-2</v>
      </c>
      <c r="CA54" s="13">
        <f t="shared" si="73"/>
        <v>8.4206000000000003E-3</v>
      </c>
      <c r="CB54" s="13">
        <f t="shared" si="74"/>
        <v>2.2904599999999997E-2</v>
      </c>
      <c r="CC54" s="13">
        <f t="shared" si="75"/>
        <v>2.8960899999999998E-2</v>
      </c>
      <c r="CD54" s="13">
        <f t="shared" si="76"/>
        <v>3.1041200000000001E-2</v>
      </c>
      <c r="CE54" s="13">
        <f t="shared" si="77"/>
        <v>4.0207299999999994E-2</v>
      </c>
      <c r="CF54" s="13">
        <f t="shared" si="78"/>
        <v>2.3515199999999997E-2</v>
      </c>
      <c r="CG54" s="13">
        <f t="shared" si="79"/>
        <v>8.1436999999999985E-3</v>
      </c>
      <c r="CH54" s="13">
        <f t="shared" si="80"/>
        <v>2.4239399999999998E-2</v>
      </c>
      <c r="CI54" s="13">
        <f t="shared" si="81"/>
        <v>5.0942499999999995E-2</v>
      </c>
      <c r="CJ54" s="13">
        <f t="shared" si="82"/>
        <v>1.7792599999999999E-2</v>
      </c>
      <c r="CK54" s="13">
        <f t="shared" si="83"/>
        <v>3.0217599999999997E-2</v>
      </c>
      <c r="CL54" s="13">
        <f t="shared" si="84"/>
        <v>3.1119299999999999E-2</v>
      </c>
      <c r="CM54" s="13">
        <f t="shared" si="85"/>
        <v>3.7807499999999994E-2</v>
      </c>
      <c r="CN54" s="13">
        <f t="shared" si="86"/>
        <v>2.3202799999999999E-2</v>
      </c>
      <c r="CO54" s="13">
        <f t="shared" si="87"/>
        <v>4.3501699999999997E-2</v>
      </c>
      <c r="CP54" s="13">
        <f t="shared" si="88"/>
        <v>7.951999999999999E-3</v>
      </c>
      <c r="CQ54" s="13">
        <f t="shared" si="89"/>
        <v>3.0813999999999998E-2</v>
      </c>
      <c r="CR54" s="13">
        <f t="shared" si="90"/>
        <v>5.0239600000000002E-2</v>
      </c>
      <c r="CS54" s="13">
        <f t="shared" si="91"/>
        <v>2.97703E-2</v>
      </c>
      <c r="CT54" s="13">
        <f t="shared" si="92"/>
        <v>2.30111E-2</v>
      </c>
      <c r="CU54" s="13">
        <f t="shared" si="93"/>
        <v>4.9976899999999991E-2</v>
      </c>
      <c r="CV54" s="13">
        <f t="shared" si="94"/>
        <v>1.90777E-2</v>
      </c>
      <c r="CW54" s="13">
        <f t="shared" si="95"/>
        <v>2.0653899999999999E-2</v>
      </c>
      <c r="CX54" s="13">
        <f t="shared" si="96"/>
        <v>2.4835799999999998E-2</v>
      </c>
      <c r="CY54" s="13">
        <f t="shared" si="97"/>
        <v>5.2454799999999996E-2</v>
      </c>
      <c r="CZ54" s="13">
        <f t="shared" si="98"/>
        <v>1.7813900000000001E-2</v>
      </c>
      <c r="DA54" s="127">
        <f t="shared" si="2"/>
        <v>8.1436999999999985E-3</v>
      </c>
    </row>
    <row r="55" spans="1:105" x14ac:dyDescent="0.25">
      <c r="A55" s="11">
        <v>52</v>
      </c>
      <c r="B55" s="13">
        <f t="shared" si="99"/>
        <v>2.3769999999999999E-2</v>
      </c>
      <c r="C55" s="13">
        <f t="shared" si="3"/>
        <v>2.3460000000000002E-2</v>
      </c>
      <c r="D55" s="13">
        <f t="shared" si="4"/>
        <v>3.7190000000000001E-2</v>
      </c>
      <c r="E55" s="13">
        <f t="shared" si="5"/>
        <v>2.7269999999999999E-2</v>
      </c>
      <c r="F55" s="13">
        <f t="shared" si="6"/>
        <v>2.3709999999999998E-2</v>
      </c>
      <c r="G55" s="13">
        <f t="shared" si="7"/>
        <v>4.3430000000000003E-2</v>
      </c>
      <c r="H55" s="13">
        <f t="shared" si="8"/>
        <v>4.4769999999999997E-2</v>
      </c>
      <c r="I55" s="13">
        <f t="shared" si="9"/>
        <v>1.1860000000000001E-2</v>
      </c>
      <c r="J55" s="13">
        <f t="shared" si="10"/>
        <v>3.2259999999999997E-2</v>
      </c>
      <c r="K55" s="13">
        <f t="shared" si="11"/>
        <v>4.079E-2</v>
      </c>
      <c r="L55" s="13">
        <f t="shared" si="12"/>
        <v>4.3720000000000002E-2</v>
      </c>
      <c r="M55" s="13">
        <f t="shared" si="13"/>
        <v>5.663E-2</v>
      </c>
      <c r="N55" s="13">
        <f t="shared" si="14"/>
        <v>3.3119999999999997E-2</v>
      </c>
      <c r="O55" s="13">
        <f t="shared" si="15"/>
        <v>1.1469999999999999E-2</v>
      </c>
      <c r="P55" s="13">
        <f t="shared" si="16"/>
        <v>3.4139999999999997E-2</v>
      </c>
      <c r="Q55" s="13">
        <f t="shared" si="17"/>
        <v>7.1749999999999994E-2</v>
      </c>
      <c r="R55" s="13">
        <f t="shared" si="18"/>
        <v>2.5059999999999999E-2</v>
      </c>
      <c r="S55" s="13">
        <f t="shared" si="19"/>
        <v>4.2560000000000001E-2</v>
      </c>
      <c r="T55" s="13">
        <f t="shared" si="20"/>
        <v>4.3830000000000001E-2</v>
      </c>
      <c r="U55" s="13">
        <f t="shared" si="21"/>
        <v>5.3249999999999999E-2</v>
      </c>
      <c r="V55" s="13">
        <f t="shared" si="22"/>
        <v>3.2680000000000001E-2</v>
      </c>
      <c r="W55" s="13">
        <f t="shared" si="23"/>
        <v>6.1269999999999998E-2</v>
      </c>
      <c r="X55" s="13">
        <f t="shared" si="24"/>
        <v>1.12E-2</v>
      </c>
      <c r="Y55" s="13">
        <f t="shared" si="25"/>
        <v>4.3400000000000001E-2</v>
      </c>
      <c r="Z55" s="13">
        <f t="shared" si="26"/>
        <v>7.0760000000000003E-2</v>
      </c>
      <c r="AA55" s="13">
        <f t="shared" si="27"/>
        <v>4.1930000000000002E-2</v>
      </c>
      <c r="AB55" s="13">
        <f t="shared" si="28"/>
        <v>3.2410000000000001E-2</v>
      </c>
      <c r="AC55" s="13">
        <f t="shared" si="29"/>
        <v>7.0389999999999994E-2</v>
      </c>
      <c r="AD55" s="13">
        <f t="shared" si="30"/>
        <v>2.6870000000000002E-2</v>
      </c>
      <c r="AE55" s="13">
        <f t="shared" si="31"/>
        <v>2.9090000000000001E-2</v>
      </c>
      <c r="AF55" s="13">
        <f t="shared" si="32"/>
        <v>3.4979999999999997E-2</v>
      </c>
      <c r="AG55" s="13">
        <f t="shared" si="33"/>
        <v>7.3880000000000001E-2</v>
      </c>
      <c r="AH55" s="13">
        <f t="shared" si="34"/>
        <v>2.5090000000000001E-2</v>
      </c>
      <c r="AI55" s="127">
        <f t="shared" si="0"/>
        <v>1.1469999999999999E-2</v>
      </c>
      <c r="AJ55" s="16">
        <v>52</v>
      </c>
      <c r="AK55" s="13">
        <f t="shared" si="100"/>
        <v>3.3770000000000001E-2</v>
      </c>
      <c r="AL55" s="13">
        <f t="shared" si="35"/>
        <v>3.3460000000000004E-2</v>
      </c>
      <c r="AM55" s="13">
        <f t="shared" si="36"/>
        <v>4.7190000000000003E-2</v>
      </c>
      <c r="AN55" s="13">
        <f t="shared" si="37"/>
        <v>3.7269999999999998E-2</v>
      </c>
      <c r="AO55" s="13">
        <f t="shared" si="38"/>
        <v>3.3709999999999997E-2</v>
      </c>
      <c r="AP55" s="13">
        <f t="shared" si="39"/>
        <v>5.3430000000000005E-2</v>
      </c>
      <c r="AQ55" s="13">
        <f t="shared" si="40"/>
        <v>5.4769999999999999E-2</v>
      </c>
      <c r="AR55" s="13">
        <f t="shared" si="41"/>
        <v>2.1860000000000001E-2</v>
      </c>
      <c r="AS55" s="13">
        <f t="shared" si="42"/>
        <v>4.2259999999999999E-2</v>
      </c>
      <c r="AT55" s="13">
        <f t="shared" si="43"/>
        <v>5.0790000000000002E-2</v>
      </c>
      <c r="AU55" s="13">
        <f t="shared" si="44"/>
        <v>5.3720000000000004E-2</v>
      </c>
      <c r="AV55" s="13">
        <f t="shared" si="45"/>
        <v>6.6629999999999995E-2</v>
      </c>
      <c r="AW55" s="13">
        <f t="shared" si="46"/>
        <v>4.3119999999999999E-2</v>
      </c>
      <c r="AX55" s="13">
        <f t="shared" si="47"/>
        <v>2.147E-2</v>
      </c>
      <c r="AY55" s="13">
        <f t="shared" si="48"/>
        <v>4.4139999999999999E-2</v>
      </c>
      <c r="AZ55" s="13">
        <f t="shared" si="49"/>
        <v>8.1749999999999989E-2</v>
      </c>
      <c r="BA55" s="13">
        <f t="shared" si="50"/>
        <v>3.5060000000000001E-2</v>
      </c>
      <c r="BB55" s="13">
        <f t="shared" si="51"/>
        <v>5.2560000000000003E-2</v>
      </c>
      <c r="BC55" s="13">
        <f t="shared" si="52"/>
        <v>5.3830000000000003E-2</v>
      </c>
      <c r="BD55" s="13">
        <f t="shared" si="53"/>
        <v>6.3250000000000001E-2</v>
      </c>
      <c r="BE55" s="13">
        <f t="shared" si="54"/>
        <v>4.2680000000000003E-2</v>
      </c>
      <c r="BF55" s="13">
        <f t="shared" si="55"/>
        <v>7.127E-2</v>
      </c>
      <c r="BG55" s="13">
        <f t="shared" si="56"/>
        <v>2.12E-2</v>
      </c>
      <c r="BH55" s="13">
        <f t="shared" si="57"/>
        <v>5.3400000000000003E-2</v>
      </c>
      <c r="BI55" s="13">
        <f t="shared" si="58"/>
        <v>8.0759999999999998E-2</v>
      </c>
      <c r="BJ55" s="13">
        <f t="shared" si="59"/>
        <v>5.1930000000000004E-2</v>
      </c>
      <c r="BK55" s="13">
        <f t="shared" si="60"/>
        <v>4.2410000000000003E-2</v>
      </c>
      <c r="BL55" s="13">
        <f t="shared" si="61"/>
        <v>8.0389999999999989E-2</v>
      </c>
      <c r="BM55" s="13">
        <f t="shared" si="62"/>
        <v>3.687E-2</v>
      </c>
      <c r="BN55" s="13">
        <f t="shared" si="63"/>
        <v>3.909E-2</v>
      </c>
      <c r="BO55" s="13">
        <f t="shared" si="64"/>
        <v>4.4979999999999999E-2</v>
      </c>
      <c r="BP55" s="13">
        <f t="shared" si="65"/>
        <v>8.3879999999999996E-2</v>
      </c>
      <c r="BQ55" s="13">
        <f t="shared" si="66"/>
        <v>3.5090000000000003E-2</v>
      </c>
      <c r="BR55" s="127">
        <f t="shared" si="1"/>
        <v>2.147E-2</v>
      </c>
      <c r="BS55" s="16">
        <v>52</v>
      </c>
      <c r="BT55" s="13">
        <f t="shared" si="101"/>
        <v>1.6876699999999998E-2</v>
      </c>
      <c r="BU55" s="13">
        <f t="shared" si="67"/>
        <v>1.6656600000000001E-2</v>
      </c>
      <c r="BV55" s="13">
        <f t="shared" si="68"/>
        <v>2.6404899999999999E-2</v>
      </c>
      <c r="BW55" s="13">
        <f t="shared" si="69"/>
        <v>1.9361699999999999E-2</v>
      </c>
      <c r="BX55" s="13">
        <f t="shared" si="70"/>
        <v>1.6834099999999998E-2</v>
      </c>
      <c r="BY55" s="13">
        <f t="shared" si="71"/>
        <v>3.08353E-2</v>
      </c>
      <c r="BZ55" s="13">
        <f t="shared" si="72"/>
        <v>3.1786699999999994E-2</v>
      </c>
      <c r="CA55" s="13">
        <f t="shared" si="73"/>
        <v>8.4206000000000003E-3</v>
      </c>
      <c r="CB55" s="13">
        <f t="shared" si="74"/>
        <v>2.2904599999999997E-2</v>
      </c>
      <c r="CC55" s="13">
        <f t="shared" si="75"/>
        <v>2.8960899999999998E-2</v>
      </c>
      <c r="CD55" s="13">
        <f t="shared" si="76"/>
        <v>3.1041200000000001E-2</v>
      </c>
      <c r="CE55" s="13">
        <f t="shared" si="77"/>
        <v>4.0207299999999994E-2</v>
      </c>
      <c r="CF55" s="13">
        <f t="shared" si="78"/>
        <v>2.3515199999999997E-2</v>
      </c>
      <c r="CG55" s="13">
        <f t="shared" si="79"/>
        <v>8.1436999999999985E-3</v>
      </c>
      <c r="CH55" s="13">
        <f t="shared" si="80"/>
        <v>2.4239399999999998E-2</v>
      </c>
      <c r="CI55" s="13">
        <f t="shared" si="81"/>
        <v>5.0942499999999995E-2</v>
      </c>
      <c r="CJ55" s="13">
        <f t="shared" si="82"/>
        <v>1.7792599999999999E-2</v>
      </c>
      <c r="CK55" s="13">
        <f t="shared" si="83"/>
        <v>3.0217599999999997E-2</v>
      </c>
      <c r="CL55" s="13">
        <f t="shared" si="84"/>
        <v>3.1119299999999999E-2</v>
      </c>
      <c r="CM55" s="13">
        <f t="shared" si="85"/>
        <v>3.7807499999999994E-2</v>
      </c>
      <c r="CN55" s="13">
        <f t="shared" si="86"/>
        <v>2.3202799999999999E-2</v>
      </c>
      <c r="CO55" s="13">
        <f t="shared" si="87"/>
        <v>4.3501699999999997E-2</v>
      </c>
      <c r="CP55" s="13">
        <f t="shared" si="88"/>
        <v>7.951999999999999E-3</v>
      </c>
      <c r="CQ55" s="13">
        <f t="shared" si="89"/>
        <v>3.0813999999999998E-2</v>
      </c>
      <c r="CR55" s="13">
        <f t="shared" si="90"/>
        <v>5.0239600000000002E-2</v>
      </c>
      <c r="CS55" s="13">
        <f t="shared" si="91"/>
        <v>2.97703E-2</v>
      </c>
      <c r="CT55" s="13">
        <f t="shared" si="92"/>
        <v>2.30111E-2</v>
      </c>
      <c r="CU55" s="13">
        <f t="shared" si="93"/>
        <v>4.9976899999999991E-2</v>
      </c>
      <c r="CV55" s="13">
        <f t="shared" si="94"/>
        <v>1.90777E-2</v>
      </c>
      <c r="CW55" s="13">
        <f t="shared" si="95"/>
        <v>2.0653899999999999E-2</v>
      </c>
      <c r="CX55" s="13">
        <f t="shared" si="96"/>
        <v>2.4835799999999998E-2</v>
      </c>
      <c r="CY55" s="13">
        <f t="shared" si="97"/>
        <v>5.2454799999999996E-2</v>
      </c>
      <c r="CZ55" s="13">
        <f t="shared" si="98"/>
        <v>1.7813900000000001E-2</v>
      </c>
      <c r="DA55" s="127">
        <f t="shared" si="2"/>
        <v>8.1436999999999985E-3</v>
      </c>
    </row>
    <row r="56" spans="1:105" x14ac:dyDescent="0.25">
      <c r="A56" s="11">
        <v>53</v>
      </c>
      <c r="B56" s="13">
        <f t="shared" si="99"/>
        <v>2.3769999999999999E-2</v>
      </c>
      <c r="C56" s="13">
        <f t="shared" si="3"/>
        <v>2.3460000000000002E-2</v>
      </c>
      <c r="D56" s="13">
        <f t="shared" si="4"/>
        <v>3.7190000000000001E-2</v>
      </c>
      <c r="E56" s="13">
        <f t="shared" si="5"/>
        <v>2.7269999999999999E-2</v>
      </c>
      <c r="F56" s="13">
        <f t="shared" si="6"/>
        <v>2.3709999999999998E-2</v>
      </c>
      <c r="G56" s="13">
        <f t="shared" si="7"/>
        <v>4.3430000000000003E-2</v>
      </c>
      <c r="H56" s="13">
        <f t="shared" si="8"/>
        <v>4.4769999999999997E-2</v>
      </c>
      <c r="I56" s="13">
        <f t="shared" si="9"/>
        <v>1.1860000000000001E-2</v>
      </c>
      <c r="J56" s="13">
        <f t="shared" si="10"/>
        <v>3.2259999999999997E-2</v>
      </c>
      <c r="K56" s="13">
        <f t="shared" si="11"/>
        <v>4.079E-2</v>
      </c>
      <c r="L56" s="13">
        <f t="shared" si="12"/>
        <v>4.3720000000000002E-2</v>
      </c>
      <c r="M56" s="13">
        <f t="shared" si="13"/>
        <v>5.663E-2</v>
      </c>
      <c r="N56" s="13">
        <f t="shared" si="14"/>
        <v>3.3119999999999997E-2</v>
      </c>
      <c r="O56" s="13">
        <f t="shared" si="15"/>
        <v>1.1469999999999999E-2</v>
      </c>
      <c r="P56" s="13">
        <f t="shared" si="16"/>
        <v>3.4139999999999997E-2</v>
      </c>
      <c r="Q56" s="13">
        <f t="shared" si="17"/>
        <v>7.1749999999999994E-2</v>
      </c>
      <c r="R56" s="13">
        <f t="shared" si="18"/>
        <v>2.5059999999999999E-2</v>
      </c>
      <c r="S56" s="13">
        <f t="shared" si="19"/>
        <v>4.2560000000000001E-2</v>
      </c>
      <c r="T56" s="13">
        <f t="shared" si="20"/>
        <v>4.3830000000000001E-2</v>
      </c>
      <c r="U56" s="13">
        <f t="shared" si="21"/>
        <v>5.3249999999999999E-2</v>
      </c>
      <c r="V56" s="13">
        <f t="shared" si="22"/>
        <v>3.2680000000000001E-2</v>
      </c>
      <c r="W56" s="13">
        <f t="shared" si="23"/>
        <v>6.1269999999999998E-2</v>
      </c>
      <c r="X56" s="13">
        <f t="shared" si="24"/>
        <v>1.12E-2</v>
      </c>
      <c r="Y56" s="13">
        <f t="shared" si="25"/>
        <v>4.3400000000000001E-2</v>
      </c>
      <c r="Z56" s="13">
        <f t="shared" si="26"/>
        <v>7.0760000000000003E-2</v>
      </c>
      <c r="AA56" s="13">
        <f t="shared" si="27"/>
        <v>4.1930000000000002E-2</v>
      </c>
      <c r="AB56" s="13">
        <f t="shared" si="28"/>
        <v>3.2410000000000001E-2</v>
      </c>
      <c r="AC56" s="13">
        <f t="shared" si="29"/>
        <v>7.0389999999999994E-2</v>
      </c>
      <c r="AD56" s="13">
        <f t="shared" si="30"/>
        <v>2.6870000000000002E-2</v>
      </c>
      <c r="AE56" s="13">
        <f t="shared" si="31"/>
        <v>2.9090000000000001E-2</v>
      </c>
      <c r="AF56" s="13">
        <f t="shared" si="32"/>
        <v>3.4979999999999997E-2</v>
      </c>
      <c r="AG56" s="13">
        <f t="shared" si="33"/>
        <v>7.3880000000000001E-2</v>
      </c>
      <c r="AH56" s="13">
        <f t="shared" si="34"/>
        <v>2.5090000000000001E-2</v>
      </c>
      <c r="AI56" s="127">
        <f t="shared" si="0"/>
        <v>1.1469999999999999E-2</v>
      </c>
      <c r="AJ56" s="16">
        <v>53</v>
      </c>
      <c r="AK56" s="13">
        <f t="shared" si="100"/>
        <v>3.3770000000000001E-2</v>
      </c>
      <c r="AL56" s="13">
        <f t="shared" si="35"/>
        <v>3.3460000000000004E-2</v>
      </c>
      <c r="AM56" s="13">
        <f t="shared" si="36"/>
        <v>4.7190000000000003E-2</v>
      </c>
      <c r="AN56" s="13">
        <f t="shared" si="37"/>
        <v>3.7269999999999998E-2</v>
      </c>
      <c r="AO56" s="13">
        <f t="shared" si="38"/>
        <v>3.3709999999999997E-2</v>
      </c>
      <c r="AP56" s="13">
        <f t="shared" si="39"/>
        <v>5.3430000000000005E-2</v>
      </c>
      <c r="AQ56" s="13">
        <f t="shared" si="40"/>
        <v>5.4769999999999999E-2</v>
      </c>
      <c r="AR56" s="13">
        <f t="shared" si="41"/>
        <v>2.1860000000000001E-2</v>
      </c>
      <c r="AS56" s="13">
        <f t="shared" si="42"/>
        <v>4.2259999999999999E-2</v>
      </c>
      <c r="AT56" s="13">
        <f t="shared" si="43"/>
        <v>5.0790000000000002E-2</v>
      </c>
      <c r="AU56" s="13">
        <f t="shared" si="44"/>
        <v>5.3720000000000004E-2</v>
      </c>
      <c r="AV56" s="13">
        <f t="shared" si="45"/>
        <v>6.6629999999999995E-2</v>
      </c>
      <c r="AW56" s="13">
        <f t="shared" si="46"/>
        <v>4.3119999999999999E-2</v>
      </c>
      <c r="AX56" s="13">
        <f t="shared" si="47"/>
        <v>2.147E-2</v>
      </c>
      <c r="AY56" s="13">
        <f t="shared" si="48"/>
        <v>4.4139999999999999E-2</v>
      </c>
      <c r="AZ56" s="13">
        <f t="shared" si="49"/>
        <v>8.1749999999999989E-2</v>
      </c>
      <c r="BA56" s="13">
        <f t="shared" si="50"/>
        <v>3.5060000000000001E-2</v>
      </c>
      <c r="BB56" s="13">
        <f t="shared" si="51"/>
        <v>5.2560000000000003E-2</v>
      </c>
      <c r="BC56" s="13">
        <f t="shared" si="52"/>
        <v>5.3830000000000003E-2</v>
      </c>
      <c r="BD56" s="13">
        <f t="shared" si="53"/>
        <v>6.3250000000000001E-2</v>
      </c>
      <c r="BE56" s="13">
        <f t="shared" si="54"/>
        <v>4.2680000000000003E-2</v>
      </c>
      <c r="BF56" s="13">
        <f t="shared" si="55"/>
        <v>7.127E-2</v>
      </c>
      <c r="BG56" s="13">
        <f t="shared" si="56"/>
        <v>2.12E-2</v>
      </c>
      <c r="BH56" s="13">
        <f t="shared" si="57"/>
        <v>5.3400000000000003E-2</v>
      </c>
      <c r="BI56" s="13">
        <f t="shared" si="58"/>
        <v>8.0759999999999998E-2</v>
      </c>
      <c r="BJ56" s="13">
        <f t="shared" si="59"/>
        <v>5.1930000000000004E-2</v>
      </c>
      <c r="BK56" s="13">
        <f t="shared" si="60"/>
        <v>4.2410000000000003E-2</v>
      </c>
      <c r="BL56" s="13">
        <f t="shared" si="61"/>
        <v>8.0389999999999989E-2</v>
      </c>
      <c r="BM56" s="13">
        <f t="shared" si="62"/>
        <v>3.687E-2</v>
      </c>
      <c r="BN56" s="13">
        <f t="shared" si="63"/>
        <v>3.909E-2</v>
      </c>
      <c r="BO56" s="13">
        <f t="shared" si="64"/>
        <v>4.4979999999999999E-2</v>
      </c>
      <c r="BP56" s="13">
        <f t="shared" si="65"/>
        <v>8.3879999999999996E-2</v>
      </c>
      <c r="BQ56" s="13">
        <f t="shared" si="66"/>
        <v>3.5090000000000003E-2</v>
      </c>
      <c r="BR56" s="127">
        <f t="shared" si="1"/>
        <v>2.147E-2</v>
      </c>
      <c r="BS56" s="16">
        <v>53</v>
      </c>
      <c r="BT56" s="13">
        <f t="shared" si="101"/>
        <v>1.6876699999999998E-2</v>
      </c>
      <c r="BU56" s="13">
        <f t="shared" si="67"/>
        <v>1.6656600000000001E-2</v>
      </c>
      <c r="BV56" s="13">
        <f t="shared" si="68"/>
        <v>2.6404899999999999E-2</v>
      </c>
      <c r="BW56" s="13">
        <f t="shared" si="69"/>
        <v>1.9361699999999999E-2</v>
      </c>
      <c r="BX56" s="13">
        <f t="shared" si="70"/>
        <v>1.6834099999999998E-2</v>
      </c>
      <c r="BY56" s="13">
        <f t="shared" si="71"/>
        <v>3.08353E-2</v>
      </c>
      <c r="BZ56" s="13">
        <f t="shared" si="72"/>
        <v>3.1786699999999994E-2</v>
      </c>
      <c r="CA56" s="13">
        <f t="shared" si="73"/>
        <v>8.4206000000000003E-3</v>
      </c>
      <c r="CB56" s="13">
        <f t="shared" si="74"/>
        <v>2.2904599999999997E-2</v>
      </c>
      <c r="CC56" s="13">
        <f t="shared" si="75"/>
        <v>2.8960899999999998E-2</v>
      </c>
      <c r="CD56" s="13">
        <f t="shared" si="76"/>
        <v>3.1041200000000001E-2</v>
      </c>
      <c r="CE56" s="13">
        <f t="shared" si="77"/>
        <v>4.0207299999999994E-2</v>
      </c>
      <c r="CF56" s="13">
        <f t="shared" si="78"/>
        <v>2.3515199999999997E-2</v>
      </c>
      <c r="CG56" s="13">
        <f t="shared" si="79"/>
        <v>8.1436999999999985E-3</v>
      </c>
      <c r="CH56" s="13">
        <f t="shared" si="80"/>
        <v>2.4239399999999998E-2</v>
      </c>
      <c r="CI56" s="13">
        <f t="shared" si="81"/>
        <v>5.0942499999999995E-2</v>
      </c>
      <c r="CJ56" s="13">
        <f t="shared" si="82"/>
        <v>1.7792599999999999E-2</v>
      </c>
      <c r="CK56" s="13">
        <f t="shared" si="83"/>
        <v>3.0217599999999997E-2</v>
      </c>
      <c r="CL56" s="13">
        <f t="shared" si="84"/>
        <v>3.1119299999999999E-2</v>
      </c>
      <c r="CM56" s="13">
        <f t="shared" si="85"/>
        <v>3.7807499999999994E-2</v>
      </c>
      <c r="CN56" s="13">
        <f t="shared" si="86"/>
        <v>2.3202799999999999E-2</v>
      </c>
      <c r="CO56" s="13">
        <f t="shared" si="87"/>
        <v>4.3501699999999997E-2</v>
      </c>
      <c r="CP56" s="13">
        <f t="shared" si="88"/>
        <v>7.951999999999999E-3</v>
      </c>
      <c r="CQ56" s="13">
        <f t="shared" si="89"/>
        <v>3.0813999999999998E-2</v>
      </c>
      <c r="CR56" s="13">
        <f t="shared" si="90"/>
        <v>5.0239600000000002E-2</v>
      </c>
      <c r="CS56" s="13">
        <f t="shared" si="91"/>
        <v>2.97703E-2</v>
      </c>
      <c r="CT56" s="13">
        <f t="shared" si="92"/>
        <v>2.30111E-2</v>
      </c>
      <c r="CU56" s="13">
        <f t="shared" si="93"/>
        <v>4.9976899999999991E-2</v>
      </c>
      <c r="CV56" s="13">
        <f t="shared" si="94"/>
        <v>1.90777E-2</v>
      </c>
      <c r="CW56" s="13">
        <f t="shared" si="95"/>
        <v>2.0653899999999999E-2</v>
      </c>
      <c r="CX56" s="13">
        <f t="shared" si="96"/>
        <v>2.4835799999999998E-2</v>
      </c>
      <c r="CY56" s="13">
        <f t="shared" si="97"/>
        <v>5.2454799999999996E-2</v>
      </c>
      <c r="CZ56" s="13">
        <f t="shared" si="98"/>
        <v>1.7813900000000001E-2</v>
      </c>
      <c r="DA56" s="127">
        <f t="shared" si="2"/>
        <v>8.1436999999999985E-3</v>
      </c>
    </row>
    <row r="57" spans="1:105" x14ac:dyDescent="0.25">
      <c r="A57" s="11">
        <v>54</v>
      </c>
      <c r="B57" s="13">
        <f t="shared" si="99"/>
        <v>2.3769999999999999E-2</v>
      </c>
      <c r="C57" s="13">
        <f t="shared" si="3"/>
        <v>2.3460000000000002E-2</v>
      </c>
      <c r="D57" s="13">
        <f t="shared" si="4"/>
        <v>3.7190000000000001E-2</v>
      </c>
      <c r="E57" s="13">
        <f t="shared" si="5"/>
        <v>2.7269999999999999E-2</v>
      </c>
      <c r="F57" s="13">
        <f t="shared" si="6"/>
        <v>2.3709999999999998E-2</v>
      </c>
      <c r="G57" s="13">
        <f t="shared" si="7"/>
        <v>4.3430000000000003E-2</v>
      </c>
      <c r="H57" s="13">
        <f t="shared" si="8"/>
        <v>4.4769999999999997E-2</v>
      </c>
      <c r="I57" s="13">
        <f t="shared" si="9"/>
        <v>1.1860000000000001E-2</v>
      </c>
      <c r="J57" s="13">
        <f t="shared" si="10"/>
        <v>3.2259999999999997E-2</v>
      </c>
      <c r="K57" s="13">
        <f t="shared" si="11"/>
        <v>4.079E-2</v>
      </c>
      <c r="L57" s="13">
        <f t="shared" si="12"/>
        <v>4.3720000000000002E-2</v>
      </c>
      <c r="M57" s="13">
        <f t="shared" si="13"/>
        <v>5.663E-2</v>
      </c>
      <c r="N57" s="13">
        <f t="shared" si="14"/>
        <v>3.3119999999999997E-2</v>
      </c>
      <c r="O57" s="13">
        <f t="shared" si="15"/>
        <v>1.1469999999999999E-2</v>
      </c>
      <c r="P57" s="13">
        <f t="shared" si="16"/>
        <v>3.4139999999999997E-2</v>
      </c>
      <c r="Q57" s="13">
        <f t="shared" si="17"/>
        <v>7.1749999999999994E-2</v>
      </c>
      <c r="R57" s="13">
        <f t="shared" si="18"/>
        <v>2.5059999999999999E-2</v>
      </c>
      <c r="S57" s="13">
        <f t="shared" si="19"/>
        <v>4.2560000000000001E-2</v>
      </c>
      <c r="T57" s="13">
        <f t="shared" si="20"/>
        <v>4.3830000000000001E-2</v>
      </c>
      <c r="U57" s="13">
        <f t="shared" si="21"/>
        <v>5.3249999999999999E-2</v>
      </c>
      <c r="V57" s="13">
        <f t="shared" si="22"/>
        <v>3.2680000000000001E-2</v>
      </c>
      <c r="W57" s="13">
        <f t="shared" si="23"/>
        <v>6.1269999999999998E-2</v>
      </c>
      <c r="X57" s="13">
        <f t="shared" si="24"/>
        <v>1.12E-2</v>
      </c>
      <c r="Y57" s="13">
        <f t="shared" si="25"/>
        <v>4.3400000000000001E-2</v>
      </c>
      <c r="Z57" s="13">
        <f t="shared" si="26"/>
        <v>7.0760000000000003E-2</v>
      </c>
      <c r="AA57" s="13">
        <f t="shared" si="27"/>
        <v>4.1930000000000002E-2</v>
      </c>
      <c r="AB57" s="13">
        <f t="shared" si="28"/>
        <v>3.2410000000000001E-2</v>
      </c>
      <c r="AC57" s="13">
        <f t="shared" si="29"/>
        <v>7.0389999999999994E-2</v>
      </c>
      <c r="AD57" s="13">
        <f t="shared" si="30"/>
        <v>2.6870000000000002E-2</v>
      </c>
      <c r="AE57" s="13">
        <f t="shared" si="31"/>
        <v>2.9090000000000001E-2</v>
      </c>
      <c r="AF57" s="13">
        <f t="shared" si="32"/>
        <v>3.4979999999999997E-2</v>
      </c>
      <c r="AG57" s="13">
        <f t="shared" si="33"/>
        <v>7.3880000000000001E-2</v>
      </c>
      <c r="AH57" s="13">
        <f t="shared" si="34"/>
        <v>2.5090000000000001E-2</v>
      </c>
      <c r="AI57" s="127">
        <f t="shared" si="0"/>
        <v>1.1469999999999999E-2</v>
      </c>
      <c r="AJ57" s="16">
        <v>54</v>
      </c>
      <c r="AK57" s="13">
        <f t="shared" si="100"/>
        <v>3.3770000000000001E-2</v>
      </c>
      <c r="AL57" s="13">
        <f t="shared" si="35"/>
        <v>3.3460000000000004E-2</v>
      </c>
      <c r="AM57" s="13">
        <f t="shared" si="36"/>
        <v>4.7190000000000003E-2</v>
      </c>
      <c r="AN57" s="13">
        <f t="shared" si="37"/>
        <v>3.7269999999999998E-2</v>
      </c>
      <c r="AO57" s="13">
        <f t="shared" si="38"/>
        <v>3.3709999999999997E-2</v>
      </c>
      <c r="AP57" s="13">
        <f t="shared" si="39"/>
        <v>5.3430000000000005E-2</v>
      </c>
      <c r="AQ57" s="13">
        <f t="shared" si="40"/>
        <v>5.4769999999999999E-2</v>
      </c>
      <c r="AR57" s="13">
        <f t="shared" si="41"/>
        <v>2.1860000000000001E-2</v>
      </c>
      <c r="AS57" s="13">
        <f t="shared" si="42"/>
        <v>4.2259999999999999E-2</v>
      </c>
      <c r="AT57" s="13">
        <f t="shared" si="43"/>
        <v>5.0790000000000002E-2</v>
      </c>
      <c r="AU57" s="13">
        <f t="shared" si="44"/>
        <v>5.3720000000000004E-2</v>
      </c>
      <c r="AV57" s="13">
        <f t="shared" si="45"/>
        <v>6.6629999999999995E-2</v>
      </c>
      <c r="AW57" s="13">
        <f t="shared" si="46"/>
        <v>4.3119999999999999E-2</v>
      </c>
      <c r="AX57" s="13">
        <f t="shared" si="47"/>
        <v>2.147E-2</v>
      </c>
      <c r="AY57" s="13">
        <f t="shared" si="48"/>
        <v>4.4139999999999999E-2</v>
      </c>
      <c r="AZ57" s="13">
        <f t="shared" si="49"/>
        <v>8.1749999999999989E-2</v>
      </c>
      <c r="BA57" s="13">
        <f t="shared" si="50"/>
        <v>3.5060000000000001E-2</v>
      </c>
      <c r="BB57" s="13">
        <f t="shared" si="51"/>
        <v>5.2560000000000003E-2</v>
      </c>
      <c r="BC57" s="13">
        <f t="shared" si="52"/>
        <v>5.3830000000000003E-2</v>
      </c>
      <c r="BD57" s="13">
        <f t="shared" si="53"/>
        <v>6.3250000000000001E-2</v>
      </c>
      <c r="BE57" s="13">
        <f t="shared" si="54"/>
        <v>4.2680000000000003E-2</v>
      </c>
      <c r="BF57" s="13">
        <f t="shared" si="55"/>
        <v>7.127E-2</v>
      </c>
      <c r="BG57" s="13">
        <f t="shared" si="56"/>
        <v>2.12E-2</v>
      </c>
      <c r="BH57" s="13">
        <f t="shared" si="57"/>
        <v>5.3400000000000003E-2</v>
      </c>
      <c r="BI57" s="13">
        <f t="shared" si="58"/>
        <v>8.0759999999999998E-2</v>
      </c>
      <c r="BJ57" s="13">
        <f t="shared" si="59"/>
        <v>5.1930000000000004E-2</v>
      </c>
      <c r="BK57" s="13">
        <f t="shared" si="60"/>
        <v>4.2410000000000003E-2</v>
      </c>
      <c r="BL57" s="13">
        <f t="shared" si="61"/>
        <v>8.0389999999999989E-2</v>
      </c>
      <c r="BM57" s="13">
        <f t="shared" si="62"/>
        <v>3.687E-2</v>
      </c>
      <c r="BN57" s="13">
        <f t="shared" si="63"/>
        <v>3.909E-2</v>
      </c>
      <c r="BO57" s="13">
        <f t="shared" si="64"/>
        <v>4.4979999999999999E-2</v>
      </c>
      <c r="BP57" s="13">
        <f t="shared" si="65"/>
        <v>8.3879999999999996E-2</v>
      </c>
      <c r="BQ57" s="13">
        <f t="shared" si="66"/>
        <v>3.5090000000000003E-2</v>
      </c>
      <c r="BR57" s="127">
        <f t="shared" si="1"/>
        <v>2.147E-2</v>
      </c>
      <c r="BS57" s="16">
        <v>54</v>
      </c>
      <c r="BT57" s="13">
        <f t="shared" si="101"/>
        <v>1.6876699999999998E-2</v>
      </c>
      <c r="BU57" s="13">
        <f t="shared" si="67"/>
        <v>1.6656600000000001E-2</v>
      </c>
      <c r="BV57" s="13">
        <f t="shared" si="68"/>
        <v>2.6404899999999999E-2</v>
      </c>
      <c r="BW57" s="13">
        <f t="shared" si="69"/>
        <v>1.9361699999999999E-2</v>
      </c>
      <c r="BX57" s="13">
        <f t="shared" si="70"/>
        <v>1.6834099999999998E-2</v>
      </c>
      <c r="BY57" s="13">
        <f t="shared" si="71"/>
        <v>3.08353E-2</v>
      </c>
      <c r="BZ57" s="13">
        <f t="shared" si="72"/>
        <v>3.1786699999999994E-2</v>
      </c>
      <c r="CA57" s="13">
        <f t="shared" si="73"/>
        <v>8.4206000000000003E-3</v>
      </c>
      <c r="CB57" s="13">
        <f t="shared" si="74"/>
        <v>2.2904599999999997E-2</v>
      </c>
      <c r="CC57" s="13">
        <f t="shared" si="75"/>
        <v>2.8960899999999998E-2</v>
      </c>
      <c r="CD57" s="13">
        <f t="shared" si="76"/>
        <v>3.1041200000000001E-2</v>
      </c>
      <c r="CE57" s="13">
        <f t="shared" si="77"/>
        <v>4.0207299999999994E-2</v>
      </c>
      <c r="CF57" s="13">
        <f t="shared" si="78"/>
        <v>2.3515199999999997E-2</v>
      </c>
      <c r="CG57" s="13">
        <f t="shared" si="79"/>
        <v>8.1436999999999985E-3</v>
      </c>
      <c r="CH57" s="13">
        <f t="shared" si="80"/>
        <v>2.4239399999999998E-2</v>
      </c>
      <c r="CI57" s="13">
        <f t="shared" si="81"/>
        <v>5.0942499999999995E-2</v>
      </c>
      <c r="CJ57" s="13">
        <f t="shared" si="82"/>
        <v>1.7792599999999999E-2</v>
      </c>
      <c r="CK57" s="13">
        <f t="shared" si="83"/>
        <v>3.0217599999999997E-2</v>
      </c>
      <c r="CL57" s="13">
        <f t="shared" si="84"/>
        <v>3.1119299999999999E-2</v>
      </c>
      <c r="CM57" s="13">
        <f t="shared" si="85"/>
        <v>3.7807499999999994E-2</v>
      </c>
      <c r="CN57" s="13">
        <f t="shared" si="86"/>
        <v>2.3202799999999999E-2</v>
      </c>
      <c r="CO57" s="13">
        <f t="shared" si="87"/>
        <v>4.3501699999999997E-2</v>
      </c>
      <c r="CP57" s="13">
        <f t="shared" si="88"/>
        <v>7.951999999999999E-3</v>
      </c>
      <c r="CQ57" s="13">
        <f t="shared" si="89"/>
        <v>3.0813999999999998E-2</v>
      </c>
      <c r="CR57" s="13">
        <f t="shared" si="90"/>
        <v>5.0239600000000002E-2</v>
      </c>
      <c r="CS57" s="13">
        <f t="shared" si="91"/>
        <v>2.97703E-2</v>
      </c>
      <c r="CT57" s="13">
        <f t="shared" si="92"/>
        <v>2.30111E-2</v>
      </c>
      <c r="CU57" s="13">
        <f t="shared" si="93"/>
        <v>4.9976899999999991E-2</v>
      </c>
      <c r="CV57" s="13">
        <f t="shared" si="94"/>
        <v>1.90777E-2</v>
      </c>
      <c r="CW57" s="13">
        <f t="shared" si="95"/>
        <v>2.0653899999999999E-2</v>
      </c>
      <c r="CX57" s="13">
        <f t="shared" si="96"/>
        <v>2.4835799999999998E-2</v>
      </c>
      <c r="CY57" s="13">
        <f t="shared" si="97"/>
        <v>5.2454799999999996E-2</v>
      </c>
      <c r="CZ57" s="13">
        <f t="shared" si="98"/>
        <v>1.7813900000000001E-2</v>
      </c>
      <c r="DA57" s="127">
        <f t="shared" si="2"/>
        <v>8.1436999999999985E-3</v>
      </c>
    </row>
    <row r="58" spans="1:105" x14ac:dyDescent="0.25">
      <c r="A58" s="11">
        <v>55</v>
      </c>
      <c r="B58" s="13">
        <f t="shared" si="99"/>
        <v>2.3769999999999999E-2</v>
      </c>
      <c r="C58" s="13">
        <f t="shared" si="3"/>
        <v>2.3460000000000002E-2</v>
      </c>
      <c r="D58" s="13">
        <f t="shared" si="4"/>
        <v>3.7190000000000001E-2</v>
      </c>
      <c r="E58" s="13">
        <f t="shared" si="5"/>
        <v>2.7269999999999999E-2</v>
      </c>
      <c r="F58" s="13">
        <f t="shared" si="6"/>
        <v>2.3709999999999998E-2</v>
      </c>
      <c r="G58" s="13">
        <f t="shared" si="7"/>
        <v>4.3430000000000003E-2</v>
      </c>
      <c r="H58" s="13">
        <f t="shared" si="8"/>
        <v>4.4769999999999997E-2</v>
      </c>
      <c r="I58" s="13">
        <f t="shared" si="9"/>
        <v>1.1860000000000001E-2</v>
      </c>
      <c r="J58" s="13">
        <f t="shared" si="10"/>
        <v>3.2259999999999997E-2</v>
      </c>
      <c r="K58" s="13">
        <f t="shared" si="11"/>
        <v>4.079E-2</v>
      </c>
      <c r="L58" s="13">
        <f t="shared" si="12"/>
        <v>4.3720000000000002E-2</v>
      </c>
      <c r="M58" s="13">
        <f t="shared" si="13"/>
        <v>5.663E-2</v>
      </c>
      <c r="N58" s="13">
        <f t="shared" si="14"/>
        <v>3.3119999999999997E-2</v>
      </c>
      <c r="O58" s="13">
        <f t="shared" si="15"/>
        <v>1.1469999999999999E-2</v>
      </c>
      <c r="P58" s="13">
        <f t="shared" si="16"/>
        <v>3.4139999999999997E-2</v>
      </c>
      <c r="Q58" s="13">
        <f t="shared" si="17"/>
        <v>7.1749999999999994E-2</v>
      </c>
      <c r="R58" s="13">
        <f t="shared" si="18"/>
        <v>2.5059999999999999E-2</v>
      </c>
      <c r="S58" s="13">
        <f t="shared" si="19"/>
        <v>4.2560000000000001E-2</v>
      </c>
      <c r="T58" s="13">
        <f t="shared" si="20"/>
        <v>4.3830000000000001E-2</v>
      </c>
      <c r="U58" s="13">
        <f t="shared" si="21"/>
        <v>5.3249999999999999E-2</v>
      </c>
      <c r="V58" s="13">
        <f t="shared" si="22"/>
        <v>3.2680000000000001E-2</v>
      </c>
      <c r="W58" s="13">
        <f t="shared" si="23"/>
        <v>6.1269999999999998E-2</v>
      </c>
      <c r="X58" s="13">
        <f t="shared" si="24"/>
        <v>1.12E-2</v>
      </c>
      <c r="Y58" s="13">
        <f t="shared" si="25"/>
        <v>4.3400000000000001E-2</v>
      </c>
      <c r="Z58" s="13">
        <f t="shared" si="26"/>
        <v>7.0760000000000003E-2</v>
      </c>
      <c r="AA58" s="13">
        <f t="shared" si="27"/>
        <v>4.1930000000000002E-2</v>
      </c>
      <c r="AB58" s="13">
        <f t="shared" si="28"/>
        <v>3.2410000000000001E-2</v>
      </c>
      <c r="AC58" s="13">
        <f t="shared" si="29"/>
        <v>7.0389999999999994E-2</v>
      </c>
      <c r="AD58" s="13">
        <f t="shared" si="30"/>
        <v>2.6870000000000002E-2</v>
      </c>
      <c r="AE58" s="13">
        <f t="shared" si="31"/>
        <v>2.9090000000000001E-2</v>
      </c>
      <c r="AF58" s="13">
        <f t="shared" si="32"/>
        <v>3.4979999999999997E-2</v>
      </c>
      <c r="AG58" s="13">
        <f t="shared" si="33"/>
        <v>7.3880000000000001E-2</v>
      </c>
      <c r="AH58" s="13">
        <f t="shared" si="34"/>
        <v>2.5090000000000001E-2</v>
      </c>
      <c r="AI58" s="127">
        <f t="shared" si="0"/>
        <v>1.1469999999999999E-2</v>
      </c>
      <c r="AJ58" s="16">
        <v>55</v>
      </c>
      <c r="AK58" s="13">
        <f t="shared" si="100"/>
        <v>3.3770000000000001E-2</v>
      </c>
      <c r="AL58" s="13">
        <f t="shared" si="35"/>
        <v>3.3460000000000004E-2</v>
      </c>
      <c r="AM58" s="13">
        <f t="shared" si="36"/>
        <v>4.7190000000000003E-2</v>
      </c>
      <c r="AN58" s="13">
        <f t="shared" si="37"/>
        <v>3.7269999999999998E-2</v>
      </c>
      <c r="AO58" s="13">
        <f t="shared" si="38"/>
        <v>3.3709999999999997E-2</v>
      </c>
      <c r="AP58" s="13">
        <f t="shared" si="39"/>
        <v>5.3430000000000005E-2</v>
      </c>
      <c r="AQ58" s="13">
        <f t="shared" si="40"/>
        <v>5.4769999999999999E-2</v>
      </c>
      <c r="AR58" s="13">
        <f t="shared" si="41"/>
        <v>2.1860000000000001E-2</v>
      </c>
      <c r="AS58" s="13">
        <f t="shared" si="42"/>
        <v>4.2259999999999999E-2</v>
      </c>
      <c r="AT58" s="13">
        <f t="shared" si="43"/>
        <v>5.0790000000000002E-2</v>
      </c>
      <c r="AU58" s="13">
        <f t="shared" si="44"/>
        <v>5.3720000000000004E-2</v>
      </c>
      <c r="AV58" s="13">
        <f t="shared" si="45"/>
        <v>6.6629999999999995E-2</v>
      </c>
      <c r="AW58" s="13">
        <f t="shared" si="46"/>
        <v>4.3119999999999999E-2</v>
      </c>
      <c r="AX58" s="13">
        <f t="shared" si="47"/>
        <v>2.147E-2</v>
      </c>
      <c r="AY58" s="13">
        <f t="shared" si="48"/>
        <v>4.4139999999999999E-2</v>
      </c>
      <c r="AZ58" s="13">
        <f t="shared" si="49"/>
        <v>8.1749999999999989E-2</v>
      </c>
      <c r="BA58" s="13">
        <f t="shared" si="50"/>
        <v>3.5060000000000001E-2</v>
      </c>
      <c r="BB58" s="13">
        <f t="shared" si="51"/>
        <v>5.2560000000000003E-2</v>
      </c>
      <c r="BC58" s="13">
        <f t="shared" si="52"/>
        <v>5.3830000000000003E-2</v>
      </c>
      <c r="BD58" s="13">
        <f t="shared" si="53"/>
        <v>6.3250000000000001E-2</v>
      </c>
      <c r="BE58" s="13">
        <f t="shared" si="54"/>
        <v>4.2680000000000003E-2</v>
      </c>
      <c r="BF58" s="13">
        <f t="shared" si="55"/>
        <v>7.127E-2</v>
      </c>
      <c r="BG58" s="13">
        <f t="shared" si="56"/>
        <v>2.12E-2</v>
      </c>
      <c r="BH58" s="13">
        <f t="shared" si="57"/>
        <v>5.3400000000000003E-2</v>
      </c>
      <c r="BI58" s="13">
        <f t="shared" si="58"/>
        <v>8.0759999999999998E-2</v>
      </c>
      <c r="BJ58" s="13">
        <f t="shared" si="59"/>
        <v>5.1930000000000004E-2</v>
      </c>
      <c r="BK58" s="13">
        <f t="shared" si="60"/>
        <v>4.2410000000000003E-2</v>
      </c>
      <c r="BL58" s="13">
        <f t="shared" si="61"/>
        <v>8.0389999999999989E-2</v>
      </c>
      <c r="BM58" s="13">
        <f t="shared" si="62"/>
        <v>3.687E-2</v>
      </c>
      <c r="BN58" s="13">
        <f t="shared" si="63"/>
        <v>3.909E-2</v>
      </c>
      <c r="BO58" s="13">
        <f t="shared" si="64"/>
        <v>4.4979999999999999E-2</v>
      </c>
      <c r="BP58" s="13">
        <f t="shared" si="65"/>
        <v>8.3879999999999996E-2</v>
      </c>
      <c r="BQ58" s="13">
        <f t="shared" si="66"/>
        <v>3.5090000000000003E-2</v>
      </c>
      <c r="BR58" s="127">
        <f t="shared" si="1"/>
        <v>2.147E-2</v>
      </c>
      <c r="BS58" s="16">
        <v>55</v>
      </c>
      <c r="BT58" s="13">
        <f t="shared" si="101"/>
        <v>1.6876699999999998E-2</v>
      </c>
      <c r="BU58" s="13">
        <f t="shared" si="67"/>
        <v>1.6656600000000001E-2</v>
      </c>
      <c r="BV58" s="13">
        <f t="shared" si="68"/>
        <v>2.6404899999999999E-2</v>
      </c>
      <c r="BW58" s="13">
        <f t="shared" si="69"/>
        <v>1.9361699999999999E-2</v>
      </c>
      <c r="BX58" s="13">
        <f t="shared" si="70"/>
        <v>1.6834099999999998E-2</v>
      </c>
      <c r="BY58" s="13">
        <f t="shared" si="71"/>
        <v>3.08353E-2</v>
      </c>
      <c r="BZ58" s="13">
        <f t="shared" si="72"/>
        <v>3.1786699999999994E-2</v>
      </c>
      <c r="CA58" s="13">
        <f t="shared" si="73"/>
        <v>8.4206000000000003E-3</v>
      </c>
      <c r="CB58" s="13">
        <f t="shared" si="74"/>
        <v>2.2904599999999997E-2</v>
      </c>
      <c r="CC58" s="13">
        <f t="shared" si="75"/>
        <v>2.8960899999999998E-2</v>
      </c>
      <c r="CD58" s="13">
        <f t="shared" si="76"/>
        <v>3.1041200000000001E-2</v>
      </c>
      <c r="CE58" s="13">
        <f t="shared" si="77"/>
        <v>4.0207299999999994E-2</v>
      </c>
      <c r="CF58" s="13">
        <f t="shared" si="78"/>
        <v>2.3515199999999997E-2</v>
      </c>
      <c r="CG58" s="13">
        <f t="shared" si="79"/>
        <v>8.1436999999999985E-3</v>
      </c>
      <c r="CH58" s="13">
        <f t="shared" si="80"/>
        <v>2.4239399999999998E-2</v>
      </c>
      <c r="CI58" s="13">
        <f t="shared" si="81"/>
        <v>5.0942499999999995E-2</v>
      </c>
      <c r="CJ58" s="13">
        <f t="shared" si="82"/>
        <v>1.7792599999999999E-2</v>
      </c>
      <c r="CK58" s="13">
        <f t="shared" si="83"/>
        <v>3.0217599999999997E-2</v>
      </c>
      <c r="CL58" s="13">
        <f t="shared" si="84"/>
        <v>3.1119299999999999E-2</v>
      </c>
      <c r="CM58" s="13">
        <f t="shared" si="85"/>
        <v>3.7807499999999994E-2</v>
      </c>
      <c r="CN58" s="13">
        <f t="shared" si="86"/>
        <v>2.3202799999999999E-2</v>
      </c>
      <c r="CO58" s="13">
        <f t="shared" si="87"/>
        <v>4.3501699999999997E-2</v>
      </c>
      <c r="CP58" s="13">
        <f t="shared" si="88"/>
        <v>7.951999999999999E-3</v>
      </c>
      <c r="CQ58" s="13">
        <f t="shared" si="89"/>
        <v>3.0813999999999998E-2</v>
      </c>
      <c r="CR58" s="13">
        <f t="shared" si="90"/>
        <v>5.0239600000000002E-2</v>
      </c>
      <c r="CS58" s="13">
        <f t="shared" si="91"/>
        <v>2.97703E-2</v>
      </c>
      <c r="CT58" s="13">
        <f t="shared" si="92"/>
        <v>2.30111E-2</v>
      </c>
      <c r="CU58" s="13">
        <f t="shared" si="93"/>
        <v>4.9976899999999991E-2</v>
      </c>
      <c r="CV58" s="13">
        <f t="shared" si="94"/>
        <v>1.90777E-2</v>
      </c>
      <c r="CW58" s="13">
        <f t="shared" si="95"/>
        <v>2.0653899999999999E-2</v>
      </c>
      <c r="CX58" s="13">
        <f t="shared" si="96"/>
        <v>2.4835799999999998E-2</v>
      </c>
      <c r="CY58" s="13">
        <f t="shared" si="97"/>
        <v>5.2454799999999996E-2</v>
      </c>
      <c r="CZ58" s="13">
        <f t="shared" si="98"/>
        <v>1.7813900000000001E-2</v>
      </c>
      <c r="DA58" s="127">
        <f t="shared" si="2"/>
        <v>8.1436999999999985E-3</v>
      </c>
    </row>
    <row r="59" spans="1:105" x14ac:dyDescent="0.25">
      <c r="A59" s="11">
        <v>56</v>
      </c>
      <c r="B59" s="13">
        <f t="shared" si="99"/>
        <v>2.3769999999999999E-2</v>
      </c>
      <c r="C59" s="13">
        <f t="shared" si="3"/>
        <v>2.3460000000000002E-2</v>
      </c>
      <c r="D59" s="13">
        <f t="shared" si="4"/>
        <v>3.7190000000000001E-2</v>
      </c>
      <c r="E59" s="13">
        <f t="shared" si="5"/>
        <v>2.7269999999999999E-2</v>
      </c>
      <c r="F59" s="13">
        <f t="shared" si="6"/>
        <v>2.3709999999999998E-2</v>
      </c>
      <c r="G59" s="13">
        <f t="shared" si="7"/>
        <v>4.3430000000000003E-2</v>
      </c>
      <c r="H59" s="13">
        <f t="shared" si="8"/>
        <v>4.4769999999999997E-2</v>
      </c>
      <c r="I59" s="13">
        <f t="shared" si="9"/>
        <v>1.1860000000000001E-2</v>
      </c>
      <c r="J59" s="13">
        <f t="shared" si="10"/>
        <v>3.2259999999999997E-2</v>
      </c>
      <c r="K59" s="13">
        <f t="shared" si="11"/>
        <v>4.079E-2</v>
      </c>
      <c r="L59" s="13">
        <f t="shared" si="12"/>
        <v>4.3720000000000002E-2</v>
      </c>
      <c r="M59" s="13">
        <f t="shared" si="13"/>
        <v>5.663E-2</v>
      </c>
      <c r="N59" s="13">
        <f t="shared" si="14"/>
        <v>3.3119999999999997E-2</v>
      </c>
      <c r="O59" s="13">
        <f t="shared" si="15"/>
        <v>1.1469999999999999E-2</v>
      </c>
      <c r="P59" s="13">
        <f t="shared" si="16"/>
        <v>3.4139999999999997E-2</v>
      </c>
      <c r="Q59" s="13">
        <f t="shared" si="17"/>
        <v>7.1749999999999994E-2</v>
      </c>
      <c r="R59" s="13">
        <f t="shared" si="18"/>
        <v>2.5059999999999999E-2</v>
      </c>
      <c r="S59" s="13">
        <f t="shared" si="19"/>
        <v>4.2560000000000001E-2</v>
      </c>
      <c r="T59" s="13">
        <f t="shared" si="20"/>
        <v>4.3830000000000001E-2</v>
      </c>
      <c r="U59" s="13">
        <f t="shared" si="21"/>
        <v>5.3249999999999999E-2</v>
      </c>
      <c r="V59" s="13">
        <f t="shared" si="22"/>
        <v>3.2680000000000001E-2</v>
      </c>
      <c r="W59" s="13">
        <f t="shared" si="23"/>
        <v>6.1269999999999998E-2</v>
      </c>
      <c r="X59" s="13">
        <f t="shared" si="24"/>
        <v>1.12E-2</v>
      </c>
      <c r="Y59" s="13">
        <f t="shared" si="25"/>
        <v>4.3400000000000001E-2</v>
      </c>
      <c r="Z59" s="13">
        <f t="shared" si="26"/>
        <v>7.0760000000000003E-2</v>
      </c>
      <c r="AA59" s="13">
        <f t="shared" si="27"/>
        <v>4.1930000000000002E-2</v>
      </c>
      <c r="AB59" s="13">
        <f t="shared" si="28"/>
        <v>3.2410000000000001E-2</v>
      </c>
      <c r="AC59" s="13">
        <f t="shared" si="29"/>
        <v>7.0389999999999994E-2</v>
      </c>
      <c r="AD59" s="13">
        <f t="shared" si="30"/>
        <v>2.6870000000000002E-2</v>
      </c>
      <c r="AE59" s="13">
        <f t="shared" si="31"/>
        <v>2.9090000000000001E-2</v>
      </c>
      <c r="AF59" s="13">
        <f t="shared" si="32"/>
        <v>3.4979999999999997E-2</v>
      </c>
      <c r="AG59" s="13">
        <f t="shared" si="33"/>
        <v>7.3880000000000001E-2</v>
      </c>
      <c r="AH59" s="13">
        <f t="shared" si="34"/>
        <v>2.5090000000000001E-2</v>
      </c>
      <c r="AI59" s="127">
        <f t="shared" si="0"/>
        <v>1.1469999999999999E-2</v>
      </c>
      <c r="AJ59" s="16">
        <v>56</v>
      </c>
      <c r="AK59" s="13">
        <f t="shared" si="100"/>
        <v>3.3770000000000001E-2</v>
      </c>
      <c r="AL59" s="13">
        <f t="shared" si="35"/>
        <v>3.3460000000000004E-2</v>
      </c>
      <c r="AM59" s="13">
        <f t="shared" si="36"/>
        <v>4.7190000000000003E-2</v>
      </c>
      <c r="AN59" s="13">
        <f t="shared" si="37"/>
        <v>3.7269999999999998E-2</v>
      </c>
      <c r="AO59" s="13">
        <f t="shared" si="38"/>
        <v>3.3709999999999997E-2</v>
      </c>
      <c r="AP59" s="13">
        <f t="shared" si="39"/>
        <v>5.3430000000000005E-2</v>
      </c>
      <c r="AQ59" s="13">
        <f t="shared" si="40"/>
        <v>5.4769999999999999E-2</v>
      </c>
      <c r="AR59" s="13">
        <f t="shared" si="41"/>
        <v>2.1860000000000001E-2</v>
      </c>
      <c r="AS59" s="13">
        <f t="shared" si="42"/>
        <v>4.2259999999999999E-2</v>
      </c>
      <c r="AT59" s="13">
        <f t="shared" si="43"/>
        <v>5.0790000000000002E-2</v>
      </c>
      <c r="AU59" s="13">
        <f t="shared" si="44"/>
        <v>5.3720000000000004E-2</v>
      </c>
      <c r="AV59" s="13">
        <f t="shared" si="45"/>
        <v>6.6629999999999995E-2</v>
      </c>
      <c r="AW59" s="13">
        <f t="shared" si="46"/>
        <v>4.3119999999999999E-2</v>
      </c>
      <c r="AX59" s="13">
        <f t="shared" si="47"/>
        <v>2.147E-2</v>
      </c>
      <c r="AY59" s="13">
        <f t="shared" si="48"/>
        <v>4.4139999999999999E-2</v>
      </c>
      <c r="AZ59" s="13">
        <f t="shared" si="49"/>
        <v>8.1749999999999989E-2</v>
      </c>
      <c r="BA59" s="13">
        <f t="shared" si="50"/>
        <v>3.5060000000000001E-2</v>
      </c>
      <c r="BB59" s="13">
        <f t="shared" si="51"/>
        <v>5.2560000000000003E-2</v>
      </c>
      <c r="BC59" s="13">
        <f t="shared" si="52"/>
        <v>5.3830000000000003E-2</v>
      </c>
      <c r="BD59" s="13">
        <f t="shared" si="53"/>
        <v>6.3250000000000001E-2</v>
      </c>
      <c r="BE59" s="13">
        <f t="shared" si="54"/>
        <v>4.2680000000000003E-2</v>
      </c>
      <c r="BF59" s="13">
        <f t="shared" si="55"/>
        <v>7.127E-2</v>
      </c>
      <c r="BG59" s="13">
        <f t="shared" si="56"/>
        <v>2.12E-2</v>
      </c>
      <c r="BH59" s="13">
        <f t="shared" si="57"/>
        <v>5.3400000000000003E-2</v>
      </c>
      <c r="BI59" s="13">
        <f t="shared" si="58"/>
        <v>8.0759999999999998E-2</v>
      </c>
      <c r="BJ59" s="13">
        <f t="shared" si="59"/>
        <v>5.1930000000000004E-2</v>
      </c>
      <c r="BK59" s="13">
        <f t="shared" si="60"/>
        <v>4.2410000000000003E-2</v>
      </c>
      <c r="BL59" s="13">
        <f t="shared" si="61"/>
        <v>8.0389999999999989E-2</v>
      </c>
      <c r="BM59" s="13">
        <f t="shared" si="62"/>
        <v>3.687E-2</v>
      </c>
      <c r="BN59" s="13">
        <f t="shared" si="63"/>
        <v>3.909E-2</v>
      </c>
      <c r="BO59" s="13">
        <f t="shared" si="64"/>
        <v>4.4979999999999999E-2</v>
      </c>
      <c r="BP59" s="13">
        <f t="shared" si="65"/>
        <v>8.3879999999999996E-2</v>
      </c>
      <c r="BQ59" s="13">
        <f t="shared" si="66"/>
        <v>3.5090000000000003E-2</v>
      </c>
      <c r="BR59" s="127">
        <f t="shared" si="1"/>
        <v>2.147E-2</v>
      </c>
      <c r="BS59" s="16">
        <v>56</v>
      </c>
      <c r="BT59" s="13">
        <f t="shared" si="101"/>
        <v>1.6876699999999998E-2</v>
      </c>
      <c r="BU59" s="13">
        <f t="shared" si="67"/>
        <v>1.6656600000000001E-2</v>
      </c>
      <c r="BV59" s="13">
        <f t="shared" si="68"/>
        <v>2.6404899999999999E-2</v>
      </c>
      <c r="BW59" s="13">
        <f t="shared" si="69"/>
        <v>1.9361699999999999E-2</v>
      </c>
      <c r="BX59" s="13">
        <f t="shared" si="70"/>
        <v>1.6834099999999998E-2</v>
      </c>
      <c r="BY59" s="13">
        <f t="shared" si="71"/>
        <v>3.08353E-2</v>
      </c>
      <c r="BZ59" s="13">
        <f t="shared" si="72"/>
        <v>3.1786699999999994E-2</v>
      </c>
      <c r="CA59" s="13">
        <f t="shared" si="73"/>
        <v>8.4206000000000003E-3</v>
      </c>
      <c r="CB59" s="13">
        <f t="shared" si="74"/>
        <v>2.2904599999999997E-2</v>
      </c>
      <c r="CC59" s="13">
        <f t="shared" si="75"/>
        <v>2.8960899999999998E-2</v>
      </c>
      <c r="CD59" s="13">
        <f t="shared" si="76"/>
        <v>3.1041200000000001E-2</v>
      </c>
      <c r="CE59" s="13">
        <f t="shared" si="77"/>
        <v>4.0207299999999994E-2</v>
      </c>
      <c r="CF59" s="13">
        <f t="shared" si="78"/>
        <v>2.3515199999999997E-2</v>
      </c>
      <c r="CG59" s="13">
        <f t="shared" si="79"/>
        <v>8.1436999999999985E-3</v>
      </c>
      <c r="CH59" s="13">
        <f t="shared" si="80"/>
        <v>2.4239399999999998E-2</v>
      </c>
      <c r="CI59" s="13">
        <f t="shared" si="81"/>
        <v>5.0942499999999995E-2</v>
      </c>
      <c r="CJ59" s="13">
        <f t="shared" si="82"/>
        <v>1.7792599999999999E-2</v>
      </c>
      <c r="CK59" s="13">
        <f t="shared" si="83"/>
        <v>3.0217599999999997E-2</v>
      </c>
      <c r="CL59" s="13">
        <f t="shared" si="84"/>
        <v>3.1119299999999999E-2</v>
      </c>
      <c r="CM59" s="13">
        <f t="shared" si="85"/>
        <v>3.7807499999999994E-2</v>
      </c>
      <c r="CN59" s="13">
        <f t="shared" si="86"/>
        <v>2.3202799999999999E-2</v>
      </c>
      <c r="CO59" s="13">
        <f t="shared" si="87"/>
        <v>4.3501699999999997E-2</v>
      </c>
      <c r="CP59" s="13">
        <f t="shared" si="88"/>
        <v>7.951999999999999E-3</v>
      </c>
      <c r="CQ59" s="13">
        <f t="shared" si="89"/>
        <v>3.0813999999999998E-2</v>
      </c>
      <c r="CR59" s="13">
        <f t="shared" si="90"/>
        <v>5.0239600000000002E-2</v>
      </c>
      <c r="CS59" s="13">
        <f t="shared" si="91"/>
        <v>2.97703E-2</v>
      </c>
      <c r="CT59" s="13">
        <f t="shared" si="92"/>
        <v>2.30111E-2</v>
      </c>
      <c r="CU59" s="13">
        <f t="shared" si="93"/>
        <v>4.9976899999999991E-2</v>
      </c>
      <c r="CV59" s="13">
        <f t="shared" si="94"/>
        <v>1.90777E-2</v>
      </c>
      <c r="CW59" s="13">
        <f t="shared" si="95"/>
        <v>2.0653899999999999E-2</v>
      </c>
      <c r="CX59" s="13">
        <f t="shared" si="96"/>
        <v>2.4835799999999998E-2</v>
      </c>
      <c r="CY59" s="13">
        <f t="shared" si="97"/>
        <v>5.2454799999999996E-2</v>
      </c>
      <c r="CZ59" s="13">
        <f t="shared" si="98"/>
        <v>1.7813900000000001E-2</v>
      </c>
      <c r="DA59" s="127">
        <f t="shared" si="2"/>
        <v>8.1436999999999985E-3</v>
      </c>
    </row>
    <row r="60" spans="1:105" x14ac:dyDescent="0.25">
      <c r="A60" s="11">
        <v>57</v>
      </c>
      <c r="B60" s="13">
        <f t="shared" si="99"/>
        <v>2.3769999999999999E-2</v>
      </c>
      <c r="C60" s="13">
        <f t="shared" si="3"/>
        <v>2.3460000000000002E-2</v>
      </c>
      <c r="D60" s="13">
        <f t="shared" si="4"/>
        <v>3.7190000000000001E-2</v>
      </c>
      <c r="E60" s="13">
        <f t="shared" si="5"/>
        <v>2.7269999999999999E-2</v>
      </c>
      <c r="F60" s="13">
        <f t="shared" si="6"/>
        <v>2.3709999999999998E-2</v>
      </c>
      <c r="G60" s="13">
        <f t="shared" si="7"/>
        <v>4.3430000000000003E-2</v>
      </c>
      <c r="H60" s="13">
        <f t="shared" si="8"/>
        <v>4.4769999999999997E-2</v>
      </c>
      <c r="I60" s="13">
        <f t="shared" si="9"/>
        <v>1.1860000000000001E-2</v>
      </c>
      <c r="J60" s="13">
        <f t="shared" si="10"/>
        <v>3.2259999999999997E-2</v>
      </c>
      <c r="K60" s="13">
        <f t="shared" si="11"/>
        <v>4.079E-2</v>
      </c>
      <c r="L60" s="13">
        <f t="shared" si="12"/>
        <v>4.3720000000000002E-2</v>
      </c>
      <c r="M60" s="13">
        <f t="shared" si="13"/>
        <v>5.663E-2</v>
      </c>
      <c r="N60" s="13">
        <f t="shared" si="14"/>
        <v>3.3119999999999997E-2</v>
      </c>
      <c r="O60" s="13">
        <f t="shared" si="15"/>
        <v>1.1469999999999999E-2</v>
      </c>
      <c r="P60" s="13">
        <f t="shared" si="16"/>
        <v>3.4139999999999997E-2</v>
      </c>
      <c r="Q60" s="13">
        <f t="shared" si="17"/>
        <v>7.1749999999999994E-2</v>
      </c>
      <c r="R60" s="13">
        <f t="shared" si="18"/>
        <v>2.5059999999999999E-2</v>
      </c>
      <c r="S60" s="13">
        <f t="shared" si="19"/>
        <v>4.2560000000000001E-2</v>
      </c>
      <c r="T60" s="13">
        <f t="shared" si="20"/>
        <v>4.3830000000000001E-2</v>
      </c>
      <c r="U60" s="13">
        <f t="shared" si="21"/>
        <v>5.3249999999999999E-2</v>
      </c>
      <c r="V60" s="13">
        <f t="shared" si="22"/>
        <v>3.2680000000000001E-2</v>
      </c>
      <c r="W60" s="13">
        <f t="shared" si="23"/>
        <v>6.1269999999999998E-2</v>
      </c>
      <c r="X60" s="13">
        <f t="shared" si="24"/>
        <v>1.12E-2</v>
      </c>
      <c r="Y60" s="13">
        <f t="shared" si="25"/>
        <v>4.3400000000000001E-2</v>
      </c>
      <c r="Z60" s="13">
        <f t="shared" si="26"/>
        <v>7.0760000000000003E-2</v>
      </c>
      <c r="AA60" s="13">
        <f t="shared" si="27"/>
        <v>4.1930000000000002E-2</v>
      </c>
      <c r="AB60" s="13">
        <f t="shared" si="28"/>
        <v>3.2410000000000001E-2</v>
      </c>
      <c r="AC60" s="13">
        <f t="shared" si="29"/>
        <v>7.0389999999999994E-2</v>
      </c>
      <c r="AD60" s="13">
        <f t="shared" si="30"/>
        <v>2.6870000000000002E-2</v>
      </c>
      <c r="AE60" s="13">
        <f t="shared" si="31"/>
        <v>2.9090000000000001E-2</v>
      </c>
      <c r="AF60" s="13">
        <f t="shared" si="32"/>
        <v>3.4979999999999997E-2</v>
      </c>
      <c r="AG60" s="13">
        <f t="shared" si="33"/>
        <v>7.3880000000000001E-2</v>
      </c>
      <c r="AH60" s="13">
        <f t="shared" si="34"/>
        <v>2.5090000000000001E-2</v>
      </c>
      <c r="AI60" s="127">
        <f t="shared" si="0"/>
        <v>1.1469999999999999E-2</v>
      </c>
      <c r="AJ60" s="16">
        <v>57</v>
      </c>
      <c r="AK60" s="13">
        <f t="shared" si="100"/>
        <v>3.3770000000000001E-2</v>
      </c>
      <c r="AL60" s="13">
        <f t="shared" si="35"/>
        <v>3.3460000000000004E-2</v>
      </c>
      <c r="AM60" s="13">
        <f t="shared" si="36"/>
        <v>4.7190000000000003E-2</v>
      </c>
      <c r="AN60" s="13">
        <f t="shared" si="37"/>
        <v>3.7269999999999998E-2</v>
      </c>
      <c r="AO60" s="13">
        <f t="shared" si="38"/>
        <v>3.3709999999999997E-2</v>
      </c>
      <c r="AP60" s="13">
        <f t="shared" si="39"/>
        <v>5.3430000000000005E-2</v>
      </c>
      <c r="AQ60" s="13">
        <f t="shared" si="40"/>
        <v>5.4769999999999999E-2</v>
      </c>
      <c r="AR60" s="13">
        <f t="shared" si="41"/>
        <v>2.1860000000000001E-2</v>
      </c>
      <c r="AS60" s="13">
        <f t="shared" si="42"/>
        <v>4.2259999999999999E-2</v>
      </c>
      <c r="AT60" s="13">
        <f t="shared" si="43"/>
        <v>5.0790000000000002E-2</v>
      </c>
      <c r="AU60" s="13">
        <f t="shared" si="44"/>
        <v>5.3720000000000004E-2</v>
      </c>
      <c r="AV60" s="13">
        <f t="shared" si="45"/>
        <v>6.6629999999999995E-2</v>
      </c>
      <c r="AW60" s="13">
        <f t="shared" si="46"/>
        <v>4.3119999999999999E-2</v>
      </c>
      <c r="AX60" s="13">
        <f t="shared" si="47"/>
        <v>2.147E-2</v>
      </c>
      <c r="AY60" s="13">
        <f t="shared" si="48"/>
        <v>4.4139999999999999E-2</v>
      </c>
      <c r="AZ60" s="13">
        <f t="shared" si="49"/>
        <v>8.1749999999999989E-2</v>
      </c>
      <c r="BA60" s="13">
        <f t="shared" si="50"/>
        <v>3.5060000000000001E-2</v>
      </c>
      <c r="BB60" s="13">
        <f t="shared" si="51"/>
        <v>5.2560000000000003E-2</v>
      </c>
      <c r="BC60" s="13">
        <f t="shared" si="52"/>
        <v>5.3830000000000003E-2</v>
      </c>
      <c r="BD60" s="13">
        <f t="shared" si="53"/>
        <v>6.3250000000000001E-2</v>
      </c>
      <c r="BE60" s="13">
        <f t="shared" si="54"/>
        <v>4.2680000000000003E-2</v>
      </c>
      <c r="BF60" s="13">
        <f t="shared" si="55"/>
        <v>7.127E-2</v>
      </c>
      <c r="BG60" s="13">
        <f t="shared" si="56"/>
        <v>2.12E-2</v>
      </c>
      <c r="BH60" s="13">
        <f t="shared" si="57"/>
        <v>5.3400000000000003E-2</v>
      </c>
      <c r="BI60" s="13">
        <f t="shared" si="58"/>
        <v>8.0759999999999998E-2</v>
      </c>
      <c r="BJ60" s="13">
        <f t="shared" si="59"/>
        <v>5.1930000000000004E-2</v>
      </c>
      <c r="BK60" s="13">
        <f t="shared" si="60"/>
        <v>4.2410000000000003E-2</v>
      </c>
      <c r="BL60" s="13">
        <f t="shared" si="61"/>
        <v>8.0389999999999989E-2</v>
      </c>
      <c r="BM60" s="13">
        <f t="shared" si="62"/>
        <v>3.687E-2</v>
      </c>
      <c r="BN60" s="13">
        <f t="shared" si="63"/>
        <v>3.909E-2</v>
      </c>
      <c r="BO60" s="13">
        <f t="shared" si="64"/>
        <v>4.4979999999999999E-2</v>
      </c>
      <c r="BP60" s="13">
        <f t="shared" si="65"/>
        <v>8.3879999999999996E-2</v>
      </c>
      <c r="BQ60" s="13">
        <f t="shared" si="66"/>
        <v>3.5090000000000003E-2</v>
      </c>
      <c r="BR60" s="127">
        <f t="shared" si="1"/>
        <v>2.147E-2</v>
      </c>
      <c r="BS60" s="16">
        <v>57</v>
      </c>
      <c r="BT60" s="13">
        <f t="shared" si="101"/>
        <v>1.6876699999999998E-2</v>
      </c>
      <c r="BU60" s="13">
        <f t="shared" si="67"/>
        <v>1.6656600000000001E-2</v>
      </c>
      <c r="BV60" s="13">
        <f t="shared" si="68"/>
        <v>2.6404899999999999E-2</v>
      </c>
      <c r="BW60" s="13">
        <f t="shared" si="69"/>
        <v>1.9361699999999999E-2</v>
      </c>
      <c r="BX60" s="13">
        <f t="shared" si="70"/>
        <v>1.6834099999999998E-2</v>
      </c>
      <c r="BY60" s="13">
        <f t="shared" si="71"/>
        <v>3.08353E-2</v>
      </c>
      <c r="BZ60" s="13">
        <f t="shared" si="72"/>
        <v>3.1786699999999994E-2</v>
      </c>
      <c r="CA60" s="13">
        <f t="shared" si="73"/>
        <v>8.4206000000000003E-3</v>
      </c>
      <c r="CB60" s="13">
        <f t="shared" si="74"/>
        <v>2.2904599999999997E-2</v>
      </c>
      <c r="CC60" s="13">
        <f t="shared" si="75"/>
        <v>2.8960899999999998E-2</v>
      </c>
      <c r="CD60" s="13">
        <f t="shared" si="76"/>
        <v>3.1041200000000001E-2</v>
      </c>
      <c r="CE60" s="13">
        <f t="shared" si="77"/>
        <v>4.0207299999999994E-2</v>
      </c>
      <c r="CF60" s="13">
        <f t="shared" si="78"/>
        <v>2.3515199999999997E-2</v>
      </c>
      <c r="CG60" s="13">
        <f t="shared" si="79"/>
        <v>8.1436999999999985E-3</v>
      </c>
      <c r="CH60" s="13">
        <f t="shared" si="80"/>
        <v>2.4239399999999998E-2</v>
      </c>
      <c r="CI60" s="13">
        <f t="shared" si="81"/>
        <v>5.0942499999999995E-2</v>
      </c>
      <c r="CJ60" s="13">
        <f t="shared" si="82"/>
        <v>1.7792599999999999E-2</v>
      </c>
      <c r="CK60" s="13">
        <f t="shared" si="83"/>
        <v>3.0217599999999997E-2</v>
      </c>
      <c r="CL60" s="13">
        <f t="shared" si="84"/>
        <v>3.1119299999999999E-2</v>
      </c>
      <c r="CM60" s="13">
        <f t="shared" si="85"/>
        <v>3.7807499999999994E-2</v>
      </c>
      <c r="CN60" s="13">
        <f t="shared" si="86"/>
        <v>2.3202799999999999E-2</v>
      </c>
      <c r="CO60" s="13">
        <f t="shared" si="87"/>
        <v>4.3501699999999997E-2</v>
      </c>
      <c r="CP60" s="13">
        <f t="shared" si="88"/>
        <v>7.951999999999999E-3</v>
      </c>
      <c r="CQ60" s="13">
        <f t="shared" si="89"/>
        <v>3.0813999999999998E-2</v>
      </c>
      <c r="CR60" s="13">
        <f t="shared" si="90"/>
        <v>5.0239600000000002E-2</v>
      </c>
      <c r="CS60" s="13">
        <f t="shared" si="91"/>
        <v>2.97703E-2</v>
      </c>
      <c r="CT60" s="13">
        <f t="shared" si="92"/>
        <v>2.30111E-2</v>
      </c>
      <c r="CU60" s="13">
        <f t="shared" si="93"/>
        <v>4.9976899999999991E-2</v>
      </c>
      <c r="CV60" s="13">
        <f t="shared" si="94"/>
        <v>1.90777E-2</v>
      </c>
      <c r="CW60" s="13">
        <f t="shared" si="95"/>
        <v>2.0653899999999999E-2</v>
      </c>
      <c r="CX60" s="13">
        <f t="shared" si="96"/>
        <v>2.4835799999999998E-2</v>
      </c>
      <c r="CY60" s="13">
        <f t="shared" si="97"/>
        <v>5.2454799999999996E-2</v>
      </c>
      <c r="CZ60" s="13">
        <f t="shared" si="98"/>
        <v>1.7813900000000001E-2</v>
      </c>
      <c r="DA60" s="127">
        <f t="shared" si="2"/>
        <v>8.1436999999999985E-3</v>
      </c>
    </row>
    <row r="61" spans="1:105" x14ac:dyDescent="0.25">
      <c r="A61" s="11">
        <v>58</v>
      </c>
      <c r="B61" s="13">
        <f t="shared" si="99"/>
        <v>2.3769999999999999E-2</v>
      </c>
      <c r="C61" s="13">
        <f t="shared" si="3"/>
        <v>2.3460000000000002E-2</v>
      </c>
      <c r="D61" s="13">
        <f t="shared" si="4"/>
        <v>3.7190000000000001E-2</v>
      </c>
      <c r="E61" s="13">
        <f t="shared" si="5"/>
        <v>2.7269999999999999E-2</v>
      </c>
      <c r="F61" s="13">
        <f t="shared" si="6"/>
        <v>2.3709999999999998E-2</v>
      </c>
      <c r="G61" s="13">
        <f t="shared" si="7"/>
        <v>4.3430000000000003E-2</v>
      </c>
      <c r="H61" s="13">
        <f t="shared" si="8"/>
        <v>4.4769999999999997E-2</v>
      </c>
      <c r="I61" s="13">
        <f t="shared" si="9"/>
        <v>1.1860000000000001E-2</v>
      </c>
      <c r="J61" s="13">
        <f t="shared" si="10"/>
        <v>3.2259999999999997E-2</v>
      </c>
      <c r="K61" s="13">
        <f t="shared" si="11"/>
        <v>4.079E-2</v>
      </c>
      <c r="L61" s="13">
        <f t="shared" si="12"/>
        <v>4.3720000000000002E-2</v>
      </c>
      <c r="M61" s="13">
        <f t="shared" si="13"/>
        <v>5.663E-2</v>
      </c>
      <c r="N61" s="13">
        <f t="shared" si="14"/>
        <v>3.3119999999999997E-2</v>
      </c>
      <c r="O61" s="13">
        <f t="shared" si="15"/>
        <v>1.1469999999999999E-2</v>
      </c>
      <c r="P61" s="13">
        <f t="shared" si="16"/>
        <v>3.4139999999999997E-2</v>
      </c>
      <c r="Q61" s="13">
        <f t="shared" si="17"/>
        <v>7.1749999999999994E-2</v>
      </c>
      <c r="R61" s="13">
        <f t="shared" si="18"/>
        <v>2.5059999999999999E-2</v>
      </c>
      <c r="S61" s="13">
        <f t="shared" si="19"/>
        <v>4.2560000000000001E-2</v>
      </c>
      <c r="T61" s="13">
        <f t="shared" si="20"/>
        <v>4.3830000000000001E-2</v>
      </c>
      <c r="U61" s="13">
        <f t="shared" si="21"/>
        <v>5.3249999999999999E-2</v>
      </c>
      <c r="V61" s="13">
        <f t="shared" si="22"/>
        <v>3.2680000000000001E-2</v>
      </c>
      <c r="W61" s="13">
        <f t="shared" si="23"/>
        <v>6.1269999999999998E-2</v>
      </c>
      <c r="X61" s="13">
        <f t="shared" si="24"/>
        <v>1.12E-2</v>
      </c>
      <c r="Y61" s="13">
        <f t="shared" si="25"/>
        <v>4.3400000000000001E-2</v>
      </c>
      <c r="Z61" s="13">
        <f t="shared" si="26"/>
        <v>7.0760000000000003E-2</v>
      </c>
      <c r="AA61" s="13">
        <f t="shared" si="27"/>
        <v>4.1930000000000002E-2</v>
      </c>
      <c r="AB61" s="13">
        <f t="shared" si="28"/>
        <v>3.2410000000000001E-2</v>
      </c>
      <c r="AC61" s="13">
        <f t="shared" si="29"/>
        <v>7.0389999999999994E-2</v>
      </c>
      <c r="AD61" s="13">
        <f t="shared" si="30"/>
        <v>2.6870000000000002E-2</v>
      </c>
      <c r="AE61" s="13">
        <f t="shared" si="31"/>
        <v>2.9090000000000001E-2</v>
      </c>
      <c r="AF61" s="13">
        <f t="shared" si="32"/>
        <v>3.4979999999999997E-2</v>
      </c>
      <c r="AG61" s="13">
        <f t="shared" si="33"/>
        <v>7.3880000000000001E-2</v>
      </c>
      <c r="AH61" s="13">
        <f t="shared" si="34"/>
        <v>2.5090000000000001E-2</v>
      </c>
      <c r="AI61" s="127">
        <f t="shared" si="0"/>
        <v>1.1469999999999999E-2</v>
      </c>
      <c r="AJ61" s="16">
        <v>58</v>
      </c>
      <c r="AK61" s="13">
        <f t="shared" si="100"/>
        <v>3.3770000000000001E-2</v>
      </c>
      <c r="AL61" s="13">
        <f t="shared" si="35"/>
        <v>3.3460000000000004E-2</v>
      </c>
      <c r="AM61" s="13">
        <f t="shared" si="36"/>
        <v>4.7190000000000003E-2</v>
      </c>
      <c r="AN61" s="13">
        <f t="shared" si="37"/>
        <v>3.7269999999999998E-2</v>
      </c>
      <c r="AO61" s="13">
        <f t="shared" si="38"/>
        <v>3.3709999999999997E-2</v>
      </c>
      <c r="AP61" s="13">
        <f t="shared" si="39"/>
        <v>5.3430000000000005E-2</v>
      </c>
      <c r="AQ61" s="13">
        <f t="shared" si="40"/>
        <v>5.4769999999999999E-2</v>
      </c>
      <c r="AR61" s="13">
        <f t="shared" si="41"/>
        <v>2.1860000000000001E-2</v>
      </c>
      <c r="AS61" s="13">
        <f t="shared" si="42"/>
        <v>4.2259999999999999E-2</v>
      </c>
      <c r="AT61" s="13">
        <f t="shared" si="43"/>
        <v>5.0790000000000002E-2</v>
      </c>
      <c r="AU61" s="13">
        <f t="shared" si="44"/>
        <v>5.3720000000000004E-2</v>
      </c>
      <c r="AV61" s="13">
        <f t="shared" si="45"/>
        <v>6.6629999999999995E-2</v>
      </c>
      <c r="AW61" s="13">
        <f t="shared" si="46"/>
        <v>4.3119999999999999E-2</v>
      </c>
      <c r="AX61" s="13">
        <f t="shared" si="47"/>
        <v>2.147E-2</v>
      </c>
      <c r="AY61" s="13">
        <f t="shared" si="48"/>
        <v>4.4139999999999999E-2</v>
      </c>
      <c r="AZ61" s="13">
        <f t="shared" si="49"/>
        <v>8.1749999999999989E-2</v>
      </c>
      <c r="BA61" s="13">
        <f t="shared" si="50"/>
        <v>3.5060000000000001E-2</v>
      </c>
      <c r="BB61" s="13">
        <f t="shared" si="51"/>
        <v>5.2560000000000003E-2</v>
      </c>
      <c r="BC61" s="13">
        <f t="shared" si="52"/>
        <v>5.3830000000000003E-2</v>
      </c>
      <c r="BD61" s="13">
        <f t="shared" si="53"/>
        <v>6.3250000000000001E-2</v>
      </c>
      <c r="BE61" s="13">
        <f t="shared" si="54"/>
        <v>4.2680000000000003E-2</v>
      </c>
      <c r="BF61" s="13">
        <f t="shared" si="55"/>
        <v>7.127E-2</v>
      </c>
      <c r="BG61" s="13">
        <f t="shared" si="56"/>
        <v>2.12E-2</v>
      </c>
      <c r="BH61" s="13">
        <f t="shared" si="57"/>
        <v>5.3400000000000003E-2</v>
      </c>
      <c r="BI61" s="13">
        <f t="shared" si="58"/>
        <v>8.0759999999999998E-2</v>
      </c>
      <c r="BJ61" s="13">
        <f t="shared" si="59"/>
        <v>5.1930000000000004E-2</v>
      </c>
      <c r="BK61" s="13">
        <f t="shared" si="60"/>
        <v>4.2410000000000003E-2</v>
      </c>
      <c r="BL61" s="13">
        <f t="shared" si="61"/>
        <v>8.0389999999999989E-2</v>
      </c>
      <c r="BM61" s="13">
        <f t="shared" si="62"/>
        <v>3.687E-2</v>
      </c>
      <c r="BN61" s="13">
        <f t="shared" si="63"/>
        <v>3.909E-2</v>
      </c>
      <c r="BO61" s="13">
        <f t="shared" si="64"/>
        <v>4.4979999999999999E-2</v>
      </c>
      <c r="BP61" s="13">
        <f t="shared" si="65"/>
        <v>8.3879999999999996E-2</v>
      </c>
      <c r="BQ61" s="13">
        <f t="shared" si="66"/>
        <v>3.5090000000000003E-2</v>
      </c>
      <c r="BR61" s="127">
        <f t="shared" si="1"/>
        <v>2.147E-2</v>
      </c>
      <c r="BS61" s="16">
        <v>58</v>
      </c>
      <c r="BT61" s="13">
        <f t="shared" si="101"/>
        <v>1.6876699999999998E-2</v>
      </c>
      <c r="BU61" s="13">
        <f t="shared" si="67"/>
        <v>1.6656600000000001E-2</v>
      </c>
      <c r="BV61" s="13">
        <f t="shared" si="68"/>
        <v>2.6404899999999999E-2</v>
      </c>
      <c r="BW61" s="13">
        <f t="shared" si="69"/>
        <v>1.9361699999999999E-2</v>
      </c>
      <c r="BX61" s="13">
        <f t="shared" si="70"/>
        <v>1.6834099999999998E-2</v>
      </c>
      <c r="BY61" s="13">
        <f t="shared" si="71"/>
        <v>3.08353E-2</v>
      </c>
      <c r="BZ61" s="13">
        <f t="shared" si="72"/>
        <v>3.1786699999999994E-2</v>
      </c>
      <c r="CA61" s="13">
        <f t="shared" si="73"/>
        <v>8.4206000000000003E-3</v>
      </c>
      <c r="CB61" s="13">
        <f t="shared" si="74"/>
        <v>2.2904599999999997E-2</v>
      </c>
      <c r="CC61" s="13">
        <f t="shared" si="75"/>
        <v>2.8960899999999998E-2</v>
      </c>
      <c r="CD61" s="13">
        <f t="shared" si="76"/>
        <v>3.1041200000000001E-2</v>
      </c>
      <c r="CE61" s="13">
        <f t="shared" si="77"/>
        <v>4.0207299999999994E-2</v>
      </c>
      <c r="CF61" s="13">
        <f t="shared" si="78"/>
        <v>2.3515199999999997E-2</v>
      </c>
      <c r="CG61" s="13">
        <f t="shared" si="79"/>
        <v>8.1436999999999985E-3</v>
      </c>
      <c r="CH61" s="13">
        <f t="shared" si="80"/>
        <v>2.4239399999999998E-2</v>
      </c>
      <c r="CI61" s="13">
        <f t="shared" si="81"/>
        <v>5.0942499999999995E-2</v>
      </c>
      <c r="CJ61" s="13">
        <f t="shared" si="82"/>
        <v>1.7792599999999999E-2</v>
      </c>
      <c r="CK61" s="13">
        <f t="shared" si="83"/>
        <v>3.0217599999999997E-2</v>
      </c>
      <c r="CL61" s="13">
        <f t="shared" si="84"/>
        <v>3.1119299999999999E-2</v>
      </c>
      <c r="CM61" s="13">
        <f t="shared" si="85"/>
        <v>3.7807499999999994E-2</v>
      </c>
      <c r="CN61" s="13">
        <f t="shared" si="86"/>
        <v>2.3202799999999999E-2</v>
      </c>
      <c r="CO61" s="13">
        <f t="shared" si="87"/>
        <v>4.3501699999999997E-2</v>
      </c>
      <c r="CP61" s="13">
        <f t="shared" si="88"/>
        <v>7.951999999999999E-3</v>
      </c>
      <c r="CQ61" s="13">
        <f t="shared" si="89"/>
        <v>3.0813999999999998E-2</v>
      </c>
      <c r="CR61" s="13">
        <f t="shared" si="90"/>
        <v>5.0239600000000002E-2</v>
      </c>
      <c r="CS61" s="13">
        <f t="shared" si="91"/>
        <v>2.97703E-2</v>
      </c>
      <c r="CT61" s="13">
        <f t="shared" si="92"/>
        <v>2.30111E-2</v>
      </c>
      <c r="CU61" s="13">
        <f t="shared" si="93"/>
        <v>4.9976899999999991E-2</v>
      </c>
      <c r="CV61" s="13">
        <f t="shared" si="94"/>
        <v>1.90777E-2</v>
      </c>
      <c r="CW61" s="13">
        <f t="shared" si="95"/>
        <v>2.0653899999999999E-2</v>
      </c>
      <c r="CX61" s="13">
        <f t="shared" si="96"/>
        <v>2.4835799999999998E-2</v>
      </c>
      <c r="CY61" s="13">
        <f t="shared" si="97"/>
        <v>5.2454799999999996E-2</v>
      </c>
      <c r="CZ61" s="13">
        <f t="shared" si="98"/>
        <v>1.7813900000000001E-2</v>
      </c>
      <c r="DA61" s="127">
        <f t="shared" si="2"/>
        <v>8.1436999999999985E-3</v>
      </c>
    </row>
    <row r="62" spans="1:105" x14ac:dyDescent="0.25">
      <c r="A62" s="11">
        <v>59</v>
      </c>
      <c r="B62" s="13">
        <f t="shared" si="99"/>
        <v>2.3769999999999999E-2</v>
      </c>
      <c r="C62" s="13">
        <f t="shared" si="3"/>
        <v>2.3460000000000002E-2</v>
      </c>
      <c r="D62" s="13">
        <f t="shared" si="4"/>
        <v>3.7190000000000001E-2</v>
      </c>
      <c r="E62" s="13">
        <f t="shared" si="5"/>
        <v>2.7269999999999999E-2</v>
      </c>
      <c r="F62" s="13">
        <f t="shared" si="6"/>
        <v>2.3709999999999998E-2</v>
      </c>
      <c r="G62" s="13">
        <f t="shared" si="7"/>
        <v>4.3430000000000003E-2</v>
      </c>
      <c r="H62" s="13">
        <f t="shared" si="8"/>
        <v>4.4769999999999997E-2</v>
      </c>
      <c r="I62" s="13">
        <f t="shared" si="9"/>
        <v>1.1860000000000001E-2</v>
      </c>
      <c r="J62" s="13">
        <f t="shared" si="10"/>
        <v>3.2259999999999997E-2</v>
      </c>
      <c r="K62" s="13">
        <f t="shared" si="11"/>
        <v>4.079E-2</v>
      </c>
      <c r="L62" s="13">
        <f t="shared" si="12"/>
        <v>4.3720000000000002E-2</v>
      </c>
      <c r="M62" s="13">
        <f t="shared" si="13"/>
        <v>5.663E-2</v>
      </c>
      <c r="N62" s="13">
        <f t="shared" si="14"/>
        <v>3.3119999999999997E-2</v>
      </c>
      <c r="O62" s="13">
        <f t="shared" si="15"/>
        <v>1.1469999999999999E-2</v>
      </c>
      <c r="P62" s="13">
        <f t="shared" si="16"/>
        <v>3.4139999999999997E-2</v>
      </c>
      <c r="Q62" s="13">
        <f t="shared" si="17"/>
        <v>7.1749999999999994E-2</v>
      </c>
      <c r="R62" s="13">
        <f t="shared" si="18"/>
        <v>2.5059999999999999E-2</v>
      </c>
      <c r="S62" s="13">
        <f t="shared" si="19"/>
        <v>4.2560000000000001E-2</v>
      </c>
      <c r="T62" s="13">
        <f t="shared" si="20"/>
        <v>4.3830000000000001E-2</v>
      </c>
      <c r="U62" s="13">
        <f t="shared" si="21"/>
        <v>5.3249999999999999E-2</v>
      </c>
      <c r="V62" s="13">
        <f t="shared" si="22"/>
        <v>3.2680000000000001E-2</v>
      </c>
      <c r="W62" s="13">
        <f t="shared" si="23"/>
        <v>6.1269999999999998E-2</v>
      </c>
      <c r="X62" s="13">
        <f t="shared" si="24"/>
        <v>1.12E-2</v>
      </c>
      <c r="Y62" s="13">
        <f t="shared" si="25"/>
        <v>4.3400000000000001E-2</v>
      </c>
      <c r="Z62" s="13">
        <f t="shared" si="26"/>
        <v>7.0760000000000003E-2</v>
      </c>
      <c r="AA62" s="13">
        <f t="shared" si="27"/>
        <v>4.1930000000000002E-2</v>
      </c>
      <c r="AB62" s="13">
        <f t="shared" si="28"/>
        <v>3.2410000000000001E-2</v>
      </c>
      <c r="AC62" s="13">
        <f t="shared" si="29"/>
        <v>7.0389999999999994E-2</v>
      </c>
      <c r="AD62" s="13">
        <f t="shared" si="30"/>
        <v>2.6870000000000002E-2</v>
      </c>
      <c r="AE62" s="13">
        <f t="shared" si="31"/>
        <v>2.9090000000000001E-2</v>
      </c>
      <c r="AF62" s="13">
        <f t="shared" si="32"/>
        <v>3.4979999999999997E-2</v>
      </c>
      <c r="AG62" s="13">
        <f t="shared" si="33"/>
        <v>7.3880000000000001E-2</v>
      </c>
      <c r="AH62" s="13">
        <f t="shared" si="34"/>
        <v>2.5090000000000001E-2</v>
      </c>
      <c r="AI62" s="127">
        <f t="shared" si="0"/>
        <v>1.1469999999999999E-2</v>
      </c>
      <c r="AJ62" s="16">
        <v>59</v>
      </c>
      <c r="AK62" s="13">
        <f t="shared" si="100"/>
        <v>3.3770000000000001E-2</v>
      </c>
      <c r="AL62" s="13">
        <f t="shared" si="35"/>
        <v>3.3460000000000004E-2</v>
      </c>
      <c r="AM62" s="13">
        <f t="shared" si="36"/>
        <v>4.7190000000000003E-2</v>
      </c>
      <c r="AN62" s="13">
        <f t="shared" si="37"/>
        <v>3.7269999999999998E-2</v>
      </c>
      <c r="AO62" s="13">
        <f t="shared" si="38"/>
        <v>3.3709999999999997E-2</v>
      </c>
      <c r="AP62" s="13">
        <f t="shared" si="39"/>
        <v>5.3430000000000005E-2</v>
      </c>
      <c r="AQ62" s="13">
        <f t="shared" si="40"/>
        <v>5.4769999999999999E-2</v>
      </c>
      <c r="AR62" s="13">
        <f t="shared" si="41"/>
        <v>2.1860000000000001E-2</v>
      </c>
      <c r="AS62" s="13">
        <f t="shared" si="42"/>
        <v>4.2259999999999999E-2</v>
      </c>
      <c r="AT62" s="13">
        <f t="shared" si="43"/>
        <v>5.0790000000000002E-2</v>
      </c>
      <c r="AU62" s="13">
        <f t="shared" si="44"/>
        <v>5.3720000000000004E-2</v>
      </c>
      <c r="AV62" s="13">
        <f t="shared" si="45"/>
        <v>6.6629999999999995E-2</v>
      </c>
      <c r="AW62" s="13">
        <f t="shared" si="46"/>
        <v>4.3119999999999999E-2</v>
      </c>
      <c r="AX62" s="13">
        <f t="shared" si="47"/>
        <v>2.147E-2</v>
      </c>
      <c r="AY62" s="13">
        <f t="shared" si="48"/>
        <v>4.4139999999999999E-2</v>
      </c>
      <c r="AZ62" s="13">
        <f t="shared" si="49"/>
        <v>8.1749999999999989E-2</v>
      </c>
      <c r="BA62" s="13">
        <f t="shared" si="50"/>
        <v>3.5060000000000001E-2</v>
      </c>
      <c r="BB62" s="13">
        <f t="shared" si="51"/>
        <v>5.2560000000000003E-2</v>
      </c>
      <c r="BC62" s="13">
        <f t="shared" si="52"/>
        <v>5.3830000000000003E-2</v>
      </c>
      <c r="BD62" s="13">
        <f t="shared" si="53"/>
        <v>6.3250000000000001E-2</v>
      </c>
      <c r="BE62" s="13">
        <f t="shared" si="54"/>
        <v>4.2680000000000003E-2</v>
      </c>
      <c r="BF62" s="13">
        <f t="shared" si="55"/>
        <v>7.127E-2</v>
      </c>
      <c r="BG62" s="13">
        <f t="shared" si="56"/>
        <v>2.12E-2</v>
      </c>
      <c r="BH62" s="13">
        <f t="shared" si="57"/>
        <v>5.3400000000000003E-2</v>
      </c>
      <c r="BI62" s="13">
        <f t="shared" si="58"/>
        <v>8.0759999999999998E-2</v>
      </c>
      <c r="BJ62" s="13">
        <f t="shared" si="59"/>
        <v>5.1930000000000004E-2</v>
      </c>
      <c r="BK62" s="13">
        <f t="shared" si="60"/>
        <v>4.2410000000000003E-2</v>
      </c>
      <c r="BL62" s="13">
        <f t="shared" si="61"/>
        <v>8.0389999999999989E-2</v>
      </c>
      <c r="BM62" s="13">
        <f t="shared" si="62"/>
        <v>3.687E-2</v>
      </c>
      <c r="BN62" s="13">
        <f t="shared" si="63"/>
        <v>3.909E-2</v>
      </c>
      <c r="BO62" s="13">
        <f t="shared" si="64"/>
        <v>4.4979999999999999E-2</v>
      </c>
      <c r="BP62" s="13">
        <f t="shared" si="65"/>
        <v>8.3879999999999996E-2</v>
      </c>
      <c r="BQ62" s="13">
        <f t="shared" si="66"/>
        <v>3.5090000000000003E-2</v>
      </c>
      <c r="BR62" s="127">
        <f t="shared" si="1"/>
        <v>2.147E-2</v>
      </c>
      <c r="BS62" s="16">
        <v>59</v>
      </c>
      <c r="BT62" s="13">
        <f t="shared" si="101"/>
        <v>1.6876699999999998E-2</v>
      </c>
      <c r="BU62" s="13">
        <f t="shared" si="67"/>
        <v>1.6656600000000001E-2</v>
      </c>
      <c r="BV62" s="13">
        <f t="shared" si="68"/>
        <v>2.6404899999999999E-2</v>
      </c>
      <c r="BW62" s="13">
        <f t="shared" si="69"/>
        <v>1.9361699999999999E-2</v>
      </c>
      <c r="BX62" s="13">
        <f t="shared" si="70"/>
        <v>1.6834099999999998E-2</v>
      </c>
      <c r="BY62" s="13">
        <f t="shared" si="71"/>
        <v>3.08353E-2</v>
      </c>
      <c r="BZ62" s="13">
        <f t="shared" si="72"/>
        <v>3.1786699999999994E-2</v>
      </c>
      <c r="CA62" s="13">
        <f t="shared" si="73"/>
        <v>8.4206000000000003E-3</v>
      </c>
      <c r="CB62" s="13">
        <f t="shared" si="74"/>
        <v>2.2904599999999997E-2</v>
      </c>
      <c r="CC62" s="13">
        <f t="shared" si="75"/>
        <v>2.8960899999999998E-2</v>
      </c>
      <c r="CD62" s="13">
        <f t="shared" si="76"/>
        <v>3.1041200000000001E-2</v>
      </c>
      <c r="CE62" s="13">
        <f t="shared" si="77"/>
        <v>4.0207299999999994E-2</v>
      </c>
      <c r="CF62" s="13">
        <f t="shared" si="78"/>
        <v>2.3515199999999997E-2</v>
      </c>
      <c r="CG62" s="13">
        <f t="shared" si="79"/>
        <v>8.1436999999999985E-3</v>
      </c>
      <c r="CH62" s="13">
        <f t="shared" si="80"/>
        <v>2.4239399999999998E-2</v>
      </c>
      <c r="CI62" s="13">
        <f t="shared" si="81"/>
        <v>5.0942499999999995E-2</v>
      </c>
      <c r="CJ62" s="13">
        <f t="shared" si="82"/>
        <v>1.7792599999999999E-2</v>
      </c>
      <c r="CK62" s="13">
        <f t="shared" si="83"/>
        <v>3.0217599999999997E-2</v>
      </c>
      <c r="CL62" s="13">
        <f t="shared" si="84"/>
        <v>3.1119299999999999E-2</v>
      </c>
      <c r="CM62" s="13">
        <f t="shared" si="85"/>
        <v>3.7807499999999994E-2</v>
      </c>
      <c r="CN62" s="13">
        <f t="shared" si="86"/>
        <v>2.3202799999999999E-2</v>
      </c>
      <c r="CO62" s="13">
        <f t="shared" si="87"/>
        <v>4.3501699999999997E-2</v>
      </c>
      <c r="CP62" s="13">
        <f t="shared" si="88"/>
        <v>7.951999999999999E-3</v>
      </c>
      <c r="CQ62" s="13">
        <f t="shared" si="89"/>
        <v>3.0813999999999998E-2</v>
      </c>
      <c r="CR62" s="13">
        <f t="shared" si="90"/>
        <v>5.0239600000000002E-2</v>
      </c>
      <c r="CS62" s="13">
        <f t="shared" si="91"/>
        <v>2.97703E-2</v>
      </c>
      <c r="CT62" s="13">
        <f t="shared" si="92"/>
        <v>2.30111E-2</v>
      </c>
      <c r="CU62" s="13">
        <f t="shared" si="93"/>
        <v>4.9976899999999991E-2</v>
      </c>
      <c r="CV62" s="13">
        <f t="shared" si="94"/>
        <v>1.90777E-2</v>
      </c>
      <c r="CW62" s="13">
        <f t="shared" si="95"/>
        <v>2.0653899999999999E-2</v>
      </c>
      <c r="CX62" s="13">
        <f t="shared" si="96"/>
        <v>2.4835799999999998E-2</v>
      </c>
      <c r="CY62" s="13">
        <f t="shared" si="97"/>
        <v>5.2454799999999996E-2</v>
      </c>
      <c r="CZ62" s="13">
        <f t="shared" si="98"/>
        <v>1.7813900000000001E-2</v>
      </c>
      <c r="DA62" s="127">
        <f t="shared" si="2"/>
        <v>8.1436999999999985E-3</v>
      </c>
    </row>
    <row r="63" spans="1:105" x14ac:dyDescent="0.25">
      <c r="A63" s="11">
        <v>60</v>
      </c>
      <c r="B63" s="13">
        <f t="shared" si="99"/>
        <v>2.3769999999999999E-2</v>
      </c>
      <c r="C63" s="13">
        <f t="shared" si="3"/>
        <v>2.3460000000000002E-2</v>
      </c>
      <c r="D63" s="13">
        <f t="shared" si="4"/>
        <v>3.7190000000000001E-2</v>
      </c>
      <c r="E63" s="13">
        <f t="shared" si="5"/>
        <v>2.7269999999999999E-2</v>
      </c>
      <c r="F63" s="13">
        <f t="shared" si="6"/>
        <v>2.3709999999999998E-2</v>
      </c>
      <c r="G63" s="13">
        <f t="shared" si="7"/>
        <v>4.3430000000000003E-2</v>
      </c>
      <c r="H63" s="13">
        <f t="shared" si="8"/>
        <v>4.4769999999999997E-2</v>
      </c>
      <c r="I63" s="13">
        <f t="shared" si="9"/>
        <v>1.1860000000000001E-2</v>
      </c>
      <c r="J63" s="13">
        <f t="shared" si="10"/>
        <v>3.2259999999999997E-2</v>
      </c>
      <c r="K63" s="13">
        <f t="shared" si="11"/>
        <v>4.079E-2</v>
      </c>
      <c r="L63" s="13">
        <f t="shared" si="12"/>
        <v>4.3720000000000002E-2</v>
      </c>
      <c r="M63" s="13">
        <f t="shared" si="13"/>
        <v>5.663E-2</v>
      </c>
      <c r="N63" s="13">
        <f t="shared" si="14"/>
        <v>3.3119999999999997E-2</v>
      </c>
      <c r="O63" s="13">
        <f t="shared" si="15"/>
        <v>1.1469999999999999E-2</v>
      </c>
      <c r="P63" s="13">
        <f t="shared" si="16"/>
        <v>3.4139999999999997E-2</v>
      </c>
      <c r="Q63" s="13">
        <f t="shared" si="17"/>
        <v>7.1749999999999994E-2</v>
      </c>
      <c r="R63" s="13">
        <f t="shared" si="18"/>
        <v>2.5059999999999999E-2</v>
      </c>
      <c r="S63" s="13">
        <f t="shared" si="19"/>
        <v>4.2560000000000001E-2</v>
      </c>
      <c r="T63" s="13">
        <f t="shared" si="20"/>
        <v>4.3830000000000001E-2</v>
      </c>
      <c r="U63" s="13">
        <f t="shared" si="21"/>
        <v>5.3249999999999999E-2</v>
      </c>
      <c r="V63" s="13">
        <f t="shared" si="22"/>
        <v>3.2680000000000001E-2</v>
      </c>
      <c r="W63" s="13">
        <f t="shared" si="23"/>
        <v>6.1269999999999998E-2</v>
      </c>
      <c r="X63" s="13">
        <f t="shared" si="24"/>
        <v>1.12E-2</v>
      </c>
      <c r="Y63" s="13">
        <f t="shared" si="25"/>
        <v>4.3400000000000001E-2</v>
      </c>
      <c r="Z63" s="13">
        <f t="shared" si="26"/>
        <v>7.0760000000000003E-2</v>
      </c>
      <c r="AA63" s="13">
        <f t="shared" si="27"/>
        <v>4.1930000000000002E-2</v>
      </c>
      <c r="AB63" s="13">
        <f t="shared" si="28"/>
        <v>3.2410000000000001E-2</v>
      </c>
      <c r="AC63" s="13">
        <f t="shared" si="29"/>
        <v>7.0389999999999994E-2</v>
      </c>
      <c r="AD63" s="13">
        <f t="shared" si="30"/>
        <v>2.6870000000000002E-2</v>
      </c>
      <c r="AE63" s="13">
        <f t="shared" si="31"/>
        <v>2.9090000000000001E-2</v>
      </c>
      <c r="AF63" s="13">
        <f t="shared" si="32"/>
        <v>3.4979999999999997E-2</v>
      </c>
      <c r="AG63" s="13">
        <f t="shared" si="33"/>
        <v>7.3880000000000001E-2</v>
      </c>
      <c r="AH63" s="13">
        <f t="shared" si="34"/>
        <v>2.5090000000000001E-2</v>
      </c>
      <c r="AI63" s="127">
        <f t="shared" si="0"/>
        <v>1.1469999999999999E-2</v>
      </c>
      <c r="AJ63" s="16">
        <v>60</v>
      </c>
      <c r="AK63" s="13">
        <f t="shared" si="100"/>
        <v>3.3770000000000001E-2</v>
      </c>
      <c r="AL63" s="13">
        <f t="shared" si="35"/>
        <v>3.3460000000000004E-2</v>
      </c>
      <c r="AM63" s="13">
        <f t="shared" si="36"/>
        <v>4.7190000000000003E-2</v>
      </c>
      <c r="AN63" s="13">
        <f t="shared" si="37"/>
        <v>3.7269999999999998E-2</v>
      </c>
      <c r="AO63" s="13">
        <f t="shared" si="38"/>
        <v>3.3709999999999997E-2</v>
      </c>
      <c r="AP63" s="13">
        <f t="shared" si="39"/>
        <v>5.3430000000000005E-2</v>
      </c>
      <c r="AQ63" s="13">
        <f t="shared" si="40"/>
        <v>5.4769999999999999E-2</v>
      </c>
      <c r="AR63" s="13">
        <f t="shared" si="41"/>
        <v>2.1860000000000001E-2</v>
      </c>
      <c r="AS63" s="13">
        <f t="shared" si="42"/>
        <v>4.2259999999999999E-2</v>
      </c>
      <c r="AT63" s="13">
        <f t="shared" si="43"/>
        <v>5.0790000000000002E-2</v>
      </c>
      <c r="AU63" s="13">
        <f t="shared" si="44"/>
        <v>5.3720000000000004E-2</v>
      </c>
      <c r="AV63" s="13">
        <f t="shared" si="45"/>
        <v>6.6629999999999995E-2</v>
      </c>
      <c r="AW63" s="13">
        <f t="shared" si="46"/>
        <v>4.3119999999999999E-2</v>
      </c>
      <c r="AX63" s="13">
        <f t="shared" si="47"/>
        <v>2.147E-2</v>
      </c>
      <c r="AY63" s="13">
        <f t="shared" si="48"/>
        <v>4.4139999999999999E-2</v>
      </c>
      <c r="AZ63" s="13">
        <f t="shared" si="49"/>
        <v>8.1749999999999989E-2</v>
      </c>
      <c r="BA63" s="13">
        <f t="shared" si="50"/>
        <v>3.5060000000000001E-2</v>
      </c>
      <c r="BB63" s="13">
        <f t="shared" si="51"/>
        <v>5.2560000000000003E-2</v>
      </c>
      <c r="BC63" s="13">
        <f t="shared" si="52"/>
        <v>5.3830000000000003E-2</v>
      </c>
      <c r="BD63" s="13">
        <f t="shared" si="53"/>
        <v>6.3250000000000001E-2</v>
      </c>
      <c r="BE63" s="13">
        <f t="shared" si="54"/>
        <v>4.2680000000000003E-2</v>
      </c>
      <c r="BF63" s="13">
        <f t="shared" si="55"/>
        <v>7.127E-2</v>
      </c>
      <c r="BG63" s="13">
        <f t="shared" si="56"/>
        <v>2.12E-2</v>
      </c>
      <c r="BH63" s="13">
        <f t="shared" si="57"/>
        <v>5.3400000000000003E-2</v>
      </c>
      <c r="BI63" s="13">
        <f t="shared" si="58"/>
        <v>8.0759999999999998E-2</v>
      </c>
      <c r="BJ63" s="13">
        <f t="shared" si="59"/>
        <v>5.1930000000000004E-2</v>
      </c>
      <c r="BK63" s="13">
        <f t="shared" si="60"/>
        <v>4.2410000000000003E-2</v>
      </c>
      <c r="BL63" s="13">
        <f t="shared" si="61"/>
        <v>8.0389999999999989E-2</v>
      </c>
      <c r="BM63" s="13">
        <f t="shared" si="62"/>
        <v>3.687E-2</v>
      </c>
      <c r="BN63" s="13">
        <f t="shared" si="63"/>
        <v>3.909E-2</v>
      </c>
      <c r="BO63" s="13">
        <f t="shared" si="64"/>
        <v>4.4979999999999999E-2</v>
      </c>
      <c r="BP63" s="13">
        <f t="shared" si="65"/>
        <v>8.3879999999999996E-2</v>
      </c>
      <c r="BQ63" s="13">
        <f t="shared" si="66"/>
        <v>3.5090000000000003E-2</v>
      </c>
      <c r="BR63" s="127">
        <f t="shared" si="1"/>
        <v>2.147E-2</v>
      </c>
      <c r="BS63" s="16">
        <v>60</v>
      </c>
      <c r="BT63" s="13">
        <f t="shared" si="101"/>
        <v>1.6876699999999998E-2</v>
      </c>
      <c r="BU63" s="13">
        <f t="shared" si="67"/>
        <v>1.6656600000000001E-2</v>
      </c>
      <c r="BV63" s="13">
        <f t="shared" si="68"/>
        <v>2.6404899999999999E-2</v>
      </c>
      <c r="BW63" s="13">
        <f t="shared" si="69"/>
        <v>1.9361699999999999E-2</v>
      </c>
      <c r="BX63" s="13">
        <f t="shared" si="70"/>
        <v>1.6834099999999998E-2</v>
      </c>
      <c r="BY63" s="13">
        <f t="shared" si="71"/>
        <v>3.08353E-2</v>
      </c>
      <c r="BZ63" s="13">
        <f t="shared" si="72"/>
        <v>3.1786699999999994E-2</v>
      </c>
      <c r="CA63" s="13">
        <f t="shared" si="73"/>
        <v>8.4206000000000003E-3</v>
      </c>
      <c r="CB63" s="13">
        <f t="shared" si="74"/>
        <v>2.2904599999999997E-2</v>
      </c>
      <c r="CC63" s="13">
        <f t="shared" si="75"/>
        <v>2.8960899999999998E-2</v>
      </c>
      <c r="CD63" s="13">
        <f t="shared" si="76"/>
        <v>3.1041200000000001E-2</v>
      </c>
      <c r="CE63" s="13">
        <f t="shared" si="77"/>
        <v>4.0207299999999994E-2</v>
      </c>
      <c r="CF63" s="13">
        <f t="shared" si="78"/>
        <v>2.3515199999999997E-2</v>
      </c>
      <c r="CG63" s="13">
        <f t="shared" si="79"/>
        <v>8.1436999999999985E-3</v>
      </c>
      <c r="CH63" s="13">
        <f t="shared" si="80"/>
        <v>2.4239399999999998E-2</v>
      </c>
      <c r="CI63" s="13">
        <f t="shared" si="81"/>
        <v>5.0942499999999995E-2</v>
      </c>
      <c r="CJ63" s="13">
        <f t="shared" si="82"/>
        <v>1.7792599999999999E-2</v>
      </c>
      <c r="CK63" s="13">
        <f t="shared" si="83"/>
        <v>3.0217599999999997E-2</v>
      </c>
      <c r="CL63" s="13">
        <f t="shared" si="84"/>
        <v>3.1119299999999999E-2</v>
      </c>
      <c r="CM63" s="13">
        <f t="shared" si="85"/>
        <v>3.7807499999999994E-2</v>
      </c>
      <c r="CN63" s="13">
        <f t="shared" si="86"/>
        <v>2.3202799999999999E-2</v>
      </c>
      <c r="CO63" s="13">
        <f t="shared" si="87"/>
        <v>4.3501699999999997E-2</v>
      </c>
      <c r="CP63" s="13">
        <f t="shared" si="88"/>
        <v>7.951999999999999E-3</v>
      </c>
      <c r="CQ63" s="13">
        <f t="shared" si="89"/>
        <v>3.0813999999999998E-2</v>
      </c>
      <c r="CR63" s="13">
        <f t="shared" si="90"/>
        <v>5.0239600000000002E-2</v>
      </c>
      <c r="CS63" s="13">
        <f t="shared" si="91"/>
        <v>2.97703E-2</v>
      </c>
      <c r="CT63" s="13">
        <f t="shared" si="92"/>
        <v>2.30111E-2</v>
      </c>
      <c r="CU63" s="13">
        <f t="shared" si="93"/>
        <v>4.9976899999999991E-2</v>
      </c>
      <c r="CV63" s="13">
        <f t="shared" si="94"/>
        <v>1.90777E-2</v>
      </c>
      <c r="CW63" s="13">
        <f t="shared" si="95"/>
        <v>2.0653899999999999E-2</v>
      </c>
      <c r="CX63" s="13">
        <f t="shared" si="96"/>
        <v>2.4835799999999998E-2</v>
      </c>
      <c r="CY63" s="13">
        <f t="shared" si="97"/>
        <v>5.2454799999999996E-2</v>
      </c>
      <c r="CZ63" s="13">
        <f t="shared" si="98"/>
        <v>1.7813900000000001E-2</v>
      </c>
      <c r="DA63" s="127">
        <f t="shared" si="2"/>
        <v>8.1436999999999985E-3</v>
      </c>
    </row>
    <row r="64" spans="1:105" x14ac:dyDescent="0.25">
      <c r="A64" s="11">
        <v>61</v>
      </c>
      <c r="B64" s="13">
        <f t="shared" si="99"/>
        <v>2.3769999999999999E-2</v>
      </c>
      <c r="C64" s="13">
        <f t="shared" si="3"/>
        <v>2.3460000000000002E-2</v>
      </c>
      <c r="D64" s="13">
        <f t="shared" si="4"/>
        <v>3.7190000000000001E-2</v>
      </c>
      <c r="E64" s="13">
        <f t="shared" si="5"/>
        <v>2.7269999999999999E-2</v>
      </c>
      <c r="F64" s="13">
        <f t="shared" si="6"/>
        <v>2.3709999999999998E-2</v>
      </c>
      <c r="G64" s="13">
        <f t="shared" si="7"/>
        <v>4.3430000000000003E-2</v>
      </c>
      <c r="H64" s="13">
        <f t="shared" si="8"/>
        <v>4.4769999999999997E-2</v>
      </c>
      <c r="I64" s="13">
        <f t="shared" si="9"/>
        <v>1.1860000000000001E-2</v>
      </c>
      <c r="J64" s="13">
        <f t="shared" si="10"/>
        <v>3.2259999999999997E-2</v>
      </c>
      <c r="K64" s="13">
        <f t="shared" si="11"/>
        <v>4.079E-2</v>
      </c>
      <c r="L64" s="13">
        <f t="shared" si="12"/>
        <v>4.3720000000000002E-2</v>
      </c>
      <c r="M64" s="13">
        <f t="shared" si="13"/>
        <v>5.663E-2</v>
      </c>
      <c r="N64" s="13">
        <f t="shared" si="14"/>
        <v>3.3119999999999997E-2</v>
      </c>
      <c r="O64" s="13">
        <f t="shared" si="15"/>
        <v>1.1469999999999999E-2</v>
      </c>
      <c r="P64" s="13">
        <f t="shared" si="16"/>
        <v>3.4139999999999997E-2</v>
      </c>
      <c r="Q64" s="13">
        <f t="shared" si="17"/>
        <v>7.1749999999999994E-2</v>
      </c>
      <c r="R64" s="13">
        <f t="shared" si="18"/>
        <v>2.5059999999999999E-2</v>
      </c>
      <c r="S64" s="13">
        <f t="shared" si="19"/>
        <v>4.2560000000000001E-2</v>
      </c>
      <c r="T64" s="13">
        <f t="shared" si="20"/>
        <v>4.3830000000000001E-2</v>
      </c>
      <c r="U64" s="13">
        <f t="shared" si="21"/>
        <v>5.3249999999999999E-2</v>
      </c>
      <c r="V64" s="13">
        <f t="shared" si="22"/>
        <v>3.2680000000000001E-2</v>
      </c>
      <c r="W64" s="13">
        <f t="shared" si="23"/>
        <v>6.1269999999999998E-2</v>
      </c>
      <c r="X64" s="13">
        <f t="shared" si="24"/>
        <v>1.12E-2</v>
      </c>
      <c r="Y64" s="13">
        <f t="shared" si="25"/>
        <v>4.3400000000000001E-2</v>
      </c>
      <c r="Z64" s="13">
        <f t="shared" si="26"/>
        <v>7.0760000000000003E-2</v>
      </c>
      <c r="AA64" s="13">
        <f t="shared" si="27"/>
        <v>4.1930000000000002E-2</v>
      </c>
      <c r="AB64" s="13">
        <f t="shared" si="28"/>
        <v>3.2410000000000001E-2</v>
      </c>
      <c r="AC64" s="13">
        <f t="shared" si="29"/>
        <v>7.0389999999999994E-2</v>
      </c>
      <c r="AD64" s="13">
        <f t="shared" si="30"/>
        <v>2.6870000000000002E-2</v>
      </c>
      <c r="AE64" s="13">
        <f t="shared" si="31"/>
        <v>2.9090000000000001E-2</v>
      </c>
      <c r="AF64" s="13">
        <f t="shared" si="32"/>
        <v>3.4979999999999997E-2</v>
      </c>
      <c r="AG64" s="13">
        <f t="shared" si="33"/>
        <v>7.3880000000000001E-2</v>
      </c>
      <c r="AH64" s="13">
        <f t="shared" si="34"/>
        <v>2.5090000000000001E-2</v>
      </c>
      <c r="AI64" s="127">
        <f t="shared" si="0"/>
        <v>1.1469999999999999E-2</v>
      </c>
      <c r="AJ64" s="16">
        <v>61</v>
      </c>
      <c r="AK64" s="13">
        <f t="shared" si="100"/>
        <v>3.3770000000000001E-2</v>
      </c>
      <c r="AL64" s="13">
        <f t="shared" si="35"/>
        <v>3.3460000000000004E-2</v>
      </c>
      <c r="AM64" s="13">
        <f t="shared" si="36"/>
        <v>4.7190000000000003E-2</v>
      </c>
      <c r="AN64" s="13">
        <f t="shared" si="37"/>
        <v>3.7269999999999998E-2</v>
      </c>
      <c r="AO64" s="13">
        <f t="shared" si="38"/>
        <v>3.3709999999999997E-2</v>
      </c>
      <c r="AP64" s="13">
        <f t="shared" si="39"/>
        <v>5.3430000000000005E-2</v>
      </c>
      <c r="AQ64" s="13">
        <f t="shared" si="40"/>
        <v>5.4769999999999999E-2</v>
      </c>
      <c r="AR64" s="13">
        <f t="shared" si="41"/>
        <v>2.1860000000000001E-2</v>
      </c>
      <c r="AS64" s="13">
        <f t="shared" si="42"/>
        <v>4.2259999999999999E-2</v>
      </c>
      <c r="AT64" s="13">
        <f t="shared" si="43"/>
        <v>5.0790000000000002E-2</v>
      </c>
      <c r="AU64" s="13">
        <f t="shared" si="44"/>
        <v>5.3720000000000004E-2</v>
      </c>
      <c r="AV64" s="13">
        <f t="shared" si="45"/>
        <v>6.6629999999999995E-2</v>
      </c>
      <c r="AW64" s="13">
        <f t="shared" si="46"/>
        <v>4.3119999999999999E-2</v>
      </c>
      <c r="AX64" s="13">
        <f t="shared" si="47"/>
        <v>2.147E-2</v>
      </c>
      <c r="AY64" s="13">
        <f t="shared" si="48"/>
        <v>4.4139999999999999E-2</v>
      </c>
      <c r="AZ64" s="13">
        <f t="shared" si="49"/>
        <v>8.1749999999999989E-2</v>
      </c>
      <c r="BA64" s="13">
        <f t="shared" si="50"/>
        <v>3.5060000000000001E-2</v>
      </c>
      <c r="BB64" s="13">
        <f t="shared" si="51"/>
        <v>5.2560000000000003E-2</v>
      </c>
      <c r="BC64" s="13">
        <f t="shared" si="52"/>
        <v>5.3830000000000003E-2</v>
      </c>
      <c r="BD64" s="13">
        <f t="shared" si="53"/>
        <v>6.3250000000000001E-2</v>
      </c>
      <c r="BE64" s="13">
        <f t="shared" si="54"/>
        <v>4.2680000000000003E-2</v>
      </c>
      <c r="BF64" s="13">
        <f t="shared" si="55"/>
        <v>7.127E-2</v>
      </c>
      <c r="BG64" s="13">
        <f t="shared" si="56"/>
        <v>2.12E-2</v>
      </c>
      <c r="BH64" s="13">
        <f t="shared" si="57"/>
        <v>5.3400000000000003E-2</v>
      </c>
      <c r="BI64" s="13">
        <f t="shared" si="58"/>
        <v>8.0759999999999998E-2</v>
      </c>
      <c r="BJ64" s="13">
        <f t="shared" si="59"/>
        <v>5.1930000000000004E-2</v>
      </c>
      <c r="BK64" s="13">
        <f t="shared" si="60"/>
        <v>4.2410000000000003E-2</v>
      </c>
      <c r="BL64" s="13">
        <f t="shared" si="61"/>
        <v>8.0389999999999989E-2</v>
      </c>
      <c r="BM64" s="13">
        <f t="shared" si="62"/>
        <v>3.687E-2</v>
      </c>
      <c r="BN64" s="13">
        <f t="shared" si="63"/>
        <v>3.909E-2</v>
      </c>
      <c r="BO64" s="13">
        <f t="shared" si="64"/>
        <v>4.4979999999999999E-2</v>
      </c>
      <c r="BP64" s="13">
        <f t="shared" si="65"/>
        <v>8.3879999999999996E-2</v>
      </c>
      <c r="BQ64" s="13">
        <f t="shared" si="66"/>
        <v>3.5090000000000003E-2</v>
      </c>
      <c r="BR64" s="127">
        <f t="shared" si="1"/>
        <v>2.147E-2</v>
      </c>
      <c r="BS64" s="16">
        <v>61</v>
      </c>
      <c r="BT64" s="13">
        <f t="shared" si="101"/>
        <v>1.6876699999999998E-2</v>
      </c>
      <c r="BU64" s="13">
        <f t="shared" si="67"/>
        <v>1.6656600000000001E-2</v>
      </c>
      <c r="BV64" s="13">
        <f t="shared" si="68"/>
        <v>2.6404899999999999E-2</v>
      </c>
      <c r="BW64" s="13">
        <f t="shared" si="69"/>
        <v>1.9361699999999999E-2</v>
      </c>
      <c r="BX64" s="13">
        <f t="shared" si="70"/>
        <v>1.6834099999999998E-2</v>
      </c>
      <c r="BY64" s="13">
        <f t="shared" si="71"/>
        <v>3.08353E-2</v>
      </c>
      <c r="BZ64" s="13">
        <f t="shared" si="72"/>
        <v>3.1786699999999994E-2</v>
      </c>
      <c r="CA64" s="13">
        <f t="shared" si="73"/>
        <v>8.4206000000000003E-3</v>
      </c>
      <c r="CB64" s="13">
        <f t="shared" si="74"/>
        <v>2.2904599999999997E-2</v>
      </c>
      <c r="CC64" s="13">
        <f t="shared" si="75"/>
        <v>2.8960899999999998E-2</v>
      </c>
      <c r="CD64" s="13">
        <f t="shared" si="76"/>
        <v>3.1041200000000001E-2</v>
      </c>
      <c r="CE64" s="13">
        <f t="shared" si="77"/>
        <v>4.0207299999999994E-2</v>
      </c>
      <c r="CF64" s="13">
        <f t="shared" si="78"/>
        <v>2.3515199999999997E-2</v>
      </c>
      <c r="CG64" s="13">
        <f t="shared" si="79"/>
        <v>8.1436999999999985E-3</v>
      </c>
      <c r="CH64" s="13">
        <f t="shared" si="80"/>
        <v>2.4239399999999998E-2</v>
      </c>
      <c r="CI64" s="13">
        <f t="shared" si="81"/>
        <v>5.0942499999999995E-2</v>
      </c>
      <c r="CJ64" s="13">
        <f t="shared" si="82"/>
        <v>1.7792599999999999E-2</v>
      </c>
      <c r="CK64" s="13">
        <f t="shared" si="83"/>
        <v>3.0217599999999997E-2</v>
      </c>
      <c r="CL64" s="13">
        <f t="shared" si="84"/>
        <v>3.1119299999999999E-2</v>
      </c>
      <c r="CM64" s="13">
        <f t="shared" si="85"/>
        <v>3.7807499999999994E-2</v>
      </c>
      <c r="CN64" s="13">
        <f t="shared" si="86"/>
        <v>2.3202799999999999E-2</v>
      </c>
      <c r="CO64" s="13">
        <f t="shared" si="87"/>
        <v>4.3501699999999997E-2</v>
      </c>
      <c r="CP64" s="13">
        <f t="shared" si="88"/>
        <v>7.951999999999999E-3</v>
      </c>
      <c r="CQ64" s="13">
        <f t="shared" si="89"/>
        <v>3.0813999999999998E-2</v>
      </c>
      <c r="CR64" s="13">
        <f t="shared" si="90"/>
        <v>5.0239600000000002E-2</v>
      </c>
      <c r="CS64" s="13">
        <f t="shared" si="91"/>
        <v>2.97703E-2</v>
      </c>
      <c r="CT64" s="13">
        <f t="shared" si="92"/>
        <v>2.30111E-2</v>
      </c>
      <c r="CU64" s="13">
        <f t="shared" si="93"/>
        <v>4.9976899999999991E-2</v>
      </c>
      <c r="CV64" s="13">
        <f t="shared" si="94"/>
        <v>1.90777E-2</v>
      </c>
      <c r="CW64" s="13">
        <f t="shared" si="95"/>
        <v>2.0653899999999999E-2</v>
      </c>
      <c r="CX64" s="13">
        <f t="shared" si="96"/>
        <v>2.4835799999999998E-2</v>
      </c>
      <c r="CY64" s="13">
        <f t="shared" si="97"/>
        <v>5.2454799999999996E-2</v>
      </c>
      <c r="CZ64" s="13">
        <f t="shared" si="98"/>
        <v>1.7813900000000001E-2</v>
      </c>
      <c r="DA64" s="127">
        <f t="shared" si="2"/>
        <v>8.1436999999999985E-3</v>
      </c>
    </row>
    <row r="65" spans="1:105" x14ac:dyDescent="0.25">
      <c r="A65" s="11">
        <v>62</v>
      </c>
      <c r="B65" s="13">
        <f t="shared" si="99"/>
        <v>2.3769999999999999E-2</v>
      </c>
      <c r="C65" s="13">
        <f t="shared" si="3"/>
        <v>2.3460000000000002E-2</v>
      </c>
      <c r="D65" s="13">
        <f t="shared" si="4"/>
        <v>3.7190000000000001E-2</v>
      </c>
      <c r="E65" s="13">
        <f t="shared" si="5"/>
        <v>2.7269999999999999E-2</v>
      </c>
      <c r="F65" s="13">
        <f t="shared" si="6"/>
        <v>2.3709999999999998E-2</v>
      </c>
      <c r="G65" s="13">
        <f t="shared" si="7"/>
        <v>4.3430000000000003E-2</v>
      </c>
      <c r="H65" s="13">
        <f t="shared" si="8"/>
        <v>4.4769999999999997E-2</v>
      </c>
      <c r="I65" s="13">
        <f t="shared" si="9"/>
        <v>1.1860000000000001E-2</v>
      </c>
      <c r="J65" s="13">
        <f t="shared" si="10"/>
        <v>3.2259999999999997E-2</v>
      </c>
      <c r="K65" s="13">
        <f t="shared" si="11"/>
        <v>4.079E-2</v>
      </c>
      <c r="L65" s="13">
        <f t="shared" si="12"/>
        <v>4.3720000000000002E-2</v>
      </c>
      <c r="M65" s="13">
        <f t="shared" si="13"/>
        <v>5.663E-2</v>
      </c>
      <c r="N65" s="13">
        <f t="shared" si="14"/>
        <v>3.3119999999999997E-2</v>
      </c>
      <c r="O65" s="13">
        <f t="shared" si="15"/>
        <v>1.1469999999999999E-2</v>
      </c>
      <c r="P65" s="13">
        <f t="shared" si="16"/>
        <v>3.4139999999999997E-2</v>
      </c>
      <c r="Q65" s="13">
        <f t="shared" si="17"/>
        <v>7.1749999999999994E-2</v>
      </c>
      <c r="R65" s="13">
        <f t="shared" si="18"/>
        <v>2.5059999999999999E-2</v>
      </c>
      <c r="S65" s="13">
        <f t="shared" si="19"/>
        <v>4.2560000000000001E-2</v>
      </c>
      <c r="T65" s="13">
        <f t="shared" si="20"/>
        <v>4.3830000000000001E-2</v>
      </c>
      <c r="U65" s="13">
        <f t="shared" si="21"/>
        <v>5.3249999999999999E-2</v>
      </c>
      <c r="V65" s="13">
        <f t="shared" si="22"/>
        <v>3.2680000000000001E-2</v>
      </c>
      <c r="W65" s="13">
        <f t="shared" si="23"/>
        <v>6.1269999999999998E-2</v>
      </c>
      <c r="X65" s="13">
        <f t="shared" si="24"/>
        <v>1.12E-2</v>
      </c>
      <c r="Y65" s="13">
        <f t="shared" si="25"/>
        <v>4.3400000000000001E-2</v>
      </c>
      <c r="Z65" s="13">
        <f t="shared" si="26"/>
        <v>7.0760000000000003E-2</v>
      </c>
      <c r="AA65" s="13">
        <f t="shared" si="27"/>
        <v>4.1930000000000002E-2</v>
      </c>
      <c r="AB65" s="13">
        <f t="shared" si="28"/>
        <v>3.2410000000000001E-2</v>
      </c>
      <c r="AC65" s="13">
        <f t="shared" si="29"/>
        <v>7.0389999999999994E-2</v>
      </c>
      <c r="AD65" s="13">
        <f t="shared" si="30"/>
        <v>2.6870000000000002E-2</v>
      </c>
      <c r="AE65" s="13">
        <f t="shared" si="31"/>
        <v>2.9090000000000001E-2</v>
      </c>
      <c r="AF65" s="13">
        <f t="shared" si="32"/>
        <v>3.4979999999999997E-2</v>
      </c>
      <c r="AG65" s="13">
        <f t="shared" si="33"/>
        <v>7.3880000000000001E-2</v>
      </c>
      <c r="AH65" s="13">
        <f t="shared" si="34"/>
        <v>2.5090000000000001E-2</v>
      </c>
      <c r="AI65" s="127">
        <f t="shared" si="0"/>
        <v>1.1469999999999999E-2</v>
      </c>
      <c r="AJ65" s="16">
        <v>62</v>
      </c>
      <c r="AK65" s="13">
        <f t="shared" si="100"/>
        <v>3.3770000000000001E-2</v>
      </c>
      <c r="AL65" s="13">
        <f t="shared" si="35"/>
        <v>3.3460000000000004E-2</v>
      </c>
      <c r="AM65" s="13">
        <f t="shared" si="36"/>
        <v>4.7190000000000003E-2</v>
      </c>
      <c r="AN65" s="13">
        <f t="shared" si="37"/>
        <v>3.7269999999999998E-2</v>
      </c>
      <c r="AO65" s="13">
        <f t="shared" si="38"/>
        <v>3.3709999999999997E-2</v>
      </c>
      <c r="AP65" s="13">
        <f t="shared" si="39"/>
        <v>5.3430000000000005E-2</v>
      </c>
      <c r="AQ65" s="13">
        <f t="shared" si="40"/>
        <v>5.4769999999999999E-2</v>
      </c>
      <c r="AR65" s="13">
        <f t="shared" si="41"/>
        <v>2.1860000000000001E-2</v>
      </c>
      <c r="AS65" s="13">
        <f t="shared" si="42"/>
        <v>4.2259999999999999E-2</v>
      </c>
      <c r="AT65" s="13">
        <f t="shared" si="43"/>
        <v>5.0790000000000002E-2</v>
      </c>
      <c r="AU65" s="13">
        <f t="shared" si="44"/>
        <v>5.3720000000000004E-2</v>
      </c>
      <c r="AV65" s="13">
        <f t="shared" si="45"/>
        <v>6.6629999999999995E-2</v>
      </c>
      <c r="AW65" s="13">
        <f t="shared" si="46"/>
        <v>4.3119999999999999E-2</v>
      </c>
      <c r="AX65" s="13">
        <f t="shared" si="47"/>
        <v>2.147E-2</v>
      </c>
      <c r="AY65" s="13">
        <f t="shared" si="48"/>
        <v>4.4139999999999999E-2</v>
      </c>
      <c r="AZ65" s="13">
        <f t="shared" si="49"/>
        <v>8.1749999999999989E-2</v>
      </c>
      <c r="BA65" s="13">
        <f t="shared" si="50"/>
        <v>3.5060000000000001E-2</v>
      </c>
      <c r="BB65" s="13">
        <f t="shared" si="51"/>
        <v>5.2560000000000003E-2</v>
      </c>
      <c r="BC65" s="13">
        <f t="shared" si="52"/>
        <v>5.3830000000000003E-2</v>
      </c>
      <c r="BD65" s="13">
        <f t="shared" si="53"/>
        <v>6.3250000000000001E-2</v>
      </c>
      <c r="BE65" s="13">
        <f t="shared" si="54"/>
        <v>4.2680000000000003E-2</v>
      </c>
      <c r="BF65" s="13">
        <f t="shared" si="55"/>
        <v>7.127E-2</v>
      </c>
      <c r="BG65" s="13">
        <f t="shared" si="56"/>
        <v>2.12E-2</v>
      </c>
      <c r="BH65" s="13">
        <f t="shared" si="57"/>
        <v>5.3400000000000003E-2</v>
      </c>
      <c r="BI65" s="13">
        <f t="shared" si="58"/>
        <v>8.0759999999999998E-2</v>
      </c>
      <c r="BJ65" s="13">
        <f t="shared" si="59"/>
        <v>5.1930000000000004E-2</v>
      </c>
      <c r="BK65" s="13">
        <f t="shared" si="60"/>
        <v>4.2410000000000003E-2</v>
      </c>
      <c r="BL65" s="13">
        <f t="shared" si="61"/>
        <v>8.0389999999999989E-2</v>
      </c>
      <c r="BM65" s="13">
        <f t="shared" si="62"/>
        <v>3.687E-2</v>
      </c>
      <c r="BN65" s="13">
        <f t="shared" si="63"/>
        <v>3.909E-2</v>
      </c>
      <c r="BO65" s="13">
        <f t="shared" si="64"/>
        <v>4.4979999999999999E-2</v>
      </c>
      <c r="BP65" s="13">
        <f t="shared" si="65"/>
        <v>8.3879999999999996E-2</v>
      </c>
      <c r="BQ65" s="13">
        <f t="shared" si="66"/>
        <v>3.5090000000000003E-2</v>
      </c>
      <c r="BR65" s="127">
        <f t="shared" si="1"/>
        <v>2.147E-2</v>
      </c>
      <c r="BS65" s="16">
        <v>62</v>
      </c>
      <c r="BT65" s="13">
        <f t="shared" si="101"/>
        <v>1.6876699999999998E-2</v>
      </c>
      <c r="BU65" s="13">
        <f t="shared" si="67"/>
        <v>1.6656600000000001E-2</v>
      </c>
      <c r="BV65" s="13">
        <f t="shared" si="68"/>
        <v>2.6404899999999999E-2</v>
      </c>
      <c r="BW65" s="13">
        <f t="shared" si="69"/>
        <v>1.9361699999999999E-2</v>
      </c>
      <c r="BX65" s="13">
        <f t="shared" si="70"/>
        <v>1.6834099999999998E-2</v>
      </c>
      <c r="BY65" s="13">
        <f t="shared" si="71"/>
        <v>3.08353E-2</v>
      </c>
      <c r="BZ65" s="13">
        <f t="shared" si="72"/>
        <v>3.1786699999999994E-2</v>
      </c>
      <c r="CA65" s="13">
        <f t="shared" si="73"/>
        <v>8.4206000000000003E-3</v>
      </c>
      <c r="CB65" s="13">
        <f t="shared" si="74"/>
        <v>2.2904599999999997E-2</v>
      </c>
      <c r="CC65" s="13">
        <f t="shared" si="75"/>
        <v>2.8960899999999998E-2</v>
      </c>
      <c r="CD65" s="13">
        <f t="shared" si="76"/>
        <v>3.1041200000000001E-2</v>
      </c>
      <c r="CE65" s="13">
        <f t="shared" si="77"/>
        <v>4.0207299999999994E-2</v>
      </c>
      <c r="CF65" s="13">
        <f t="shared" si="78"/>
        <v>2.3515199999999997E-2</v>
      </c>
      <c r="CG65" s="13">
        <f t="shared" si="79"/>
        <v>8.1436999999999985E-3</v>
      </c>
      <c r="CH65" s="13">
        <f t="shared" si="80"/>
        <v>2.4239399999999998E-2</v>
      </c>
      <c r="CI65" s="13">
        <f t="shared" si="81"/>
        <v>5.0942499999999995E-2</v>
      </c>
      <c r="CJ65" s="13">
        <f t="shared" si="82"/>
        <v>1.7792599999999999E-2</v>
      </c>
      <c r="CK65" s="13">
        <f t="shared" si="83"/>
        <v>3.0217599999999997E-2</v>
      </c>
      <c r="CL65" s="13">
        <f t="shared" si="84"/>
        <v>3.1119299999999999E-2</v>
      </c>
      <c r="CM65" s="13">
        <f t="shared" si="85"/>
        <v>3.7807499999999994E-2</v>
      </c>
      <c r="CN65" s="13">
        <f t="shared" si="86"/>
        <v>2.3202799999999999E-2</v>
      </c>
      <c r="CO65" s="13">
        <f t="shared" si="87"/>
        <v>4.3501699999999997E-2</v>
      </c>
      <c r="CP65" s="13">
        <f t="shared" si="88"/>
        <v>7.951999999999999E-3</v>
      </c>
      <c r="CQ65" s="13">
        <f t="shared" si="89"/>
        <v>3.0813999999999998E-2</v>
      </c>
      <c r="CR65" s="13">
        <f t="shared" si="90"/>
        <v>5.0239600000000002E-2</v>
      </c>
      <c r="CS65" s="13">
        <f t="shared" si="91"/>
        <v>2.97703E-2</v>
      </c>
      <c r="CT65" s="13">
        <f t="shared" si="92"/>
        <v>2.30111E-2</v>
      </c>
      <c r="CU65" s="13">
        <f t="shared" si="93"/>
        <v>4.9976899999999991E-2</v>
      </c>
      <c r="CV65" s="13">
        <f t="shared" si="94"/>
        <v>1.90777E-2</v>
      </c>
      <c r="CW65" s="13">
        <f t="shared" si="95"/>
        <v>2.0653899999999999E-2</v>
      </c>
      <c r="CX65" s="13">
        <f t="shared" si="96"/>
        <v>2.4835799999999998E-2</v>
      </c>
      <c r="CY65" s="13">
        <f t="shared" si="97"/>
        <v>5.2454799999999996E-2</v>
      </c>
      <c r="CZ65" s="13">
        <f t="shared" si="98"/>
        <v>1.7813900000000001E-2</v>
      </c>
      <c r="DA65" s="127">
        <f t="shared" si="2"/>
        <v>8.1436999999999985E-3</v>
      </c>
    </row>
    <row r="66" spans="1:105" x14ac:dyDescent="0.25">
      <c r="A66" s="11">
        <v>63</v>
      </c>
      <c r="B66" s="13">
        <f t="shared" si="99"/>
        <v>2.3769999999999999E-2</v>
      </c>
      <c r="C66" s="13">
        <f t="shared" si="3"/>
        <v>2.3460000000000002E-2</v>
      </c>
      <c r="D66" s="13">
        <f t="shared" si="4"/>
        <v>3.7190000000000001E-2</v>
      </c>
      <c r="E66" s="13">
        <f t="shared" si="5"/>
        <v>2.7269999999999999E-2</v>
      </c>
      <c r="F66" s="13">
        <f t="shared" si="6"/>
        <v>2.3709999999999998E-2</v>
      </c>
      <c r="G66" s="13">
        <f t="shared" si="7"/>
        <v>4.3430000000000003E-2</v>
      </c>
      <c r="H66" s="13">
        <f t="shared" si="8"/>
        <v>4.4769999999999997E-2</v>
      </c>
      <c r="I66" s="13">
        <f t="shared" si="9"/>
        <v>1.1860000000000001E-2</v>
      </c>
      <c r="J66" s="13">
        <f t="shared" si="10"/>
        <v>3.2259999999999997E-2</v>
      </c>
      <c r="K66" s="13">
        <f t="shared" si="11"/>
        <v>4.079E-2</v>
      </c>
      <c r="L66" s="13">
        <f t="shared" si="12"/>
        <v>4.3720000000000002E-2</v>
      </c>
      <c r="M66" s="13">
        <f t="shared" si="13"/>
        <v>5.663E-2</v>
      </c>
      <c r="N66" s="13">
        <f t="shared" si="14"/>
        <v>3.3119999999999997E-2</v>
      </c>
      <c r="O66" s="13">
        <f t="shared" si="15"/>
        <v>1.1469999999999999E-2</v>
      </c>
      <c r="P66" s="13">
        <f t="shared" si="16"/>
        <v>3.4139999999999997E-2</v>
      </c>
      <c r="Q66" s="13">
        <f t="shared" si="17"/>
        <v>7.1749999999999994E-2</v>
      </c>
      <c r="R66" s="13">
        <f t="shared" si="18"/>
        <v>2.5059999999999999E-2</v>
      </c>
      <c r="S66" s="13">
        <f t="shared" si="19"/>
        <v>4.2560000000000001E-2</v>
      </c>
      <c r="T66" s="13">
        <f t="shared" si="20"/>
        <v>4.3830000000000001E-2</v>
      </c>
      <c r="U66" s="13">
        <f t="shared" si="21"/>
        <v>5.3249999999999999E-2</v>
      </c>
      <c r="V66" s="13">
        <f t="shared" si="22"/>
        <v>3.2680000000000001E-2</v>
      </c>
      <c r="W66" s="13">
        <f t="shared" si="23"/>
        <v>6.1269999999999998E-2</v>
      </c>
      <c r="X66" s="13">
        <f t="shared" si="24"/>
        <v>1.12E-2</v>
      </c>
      <c r="Y66" s="13">
        <f t="shared" si="25"/>
        <v>4.3400000000000001E-2</v>
      </c>
      <c r="Z66" s="13">
        <f t="shared" si="26"/>
        <v>7.0760000000000003E-2</v>
      </c>
      <c r="AA66" s="13">
        <f t="shared" si="27"/>
        <v>4.1930000000000002E-2</v>
      </c>
      <c r="AB66" s="13">
        <f t="shared" si="28"/>
        <v>3.2410000000000001E-2</v>
      </c>
      <c r="AC66" s="13">
        <f t="shared" si="29"/>
        <v>7.0389999999999994E-2</v>
      </c>
      <c r="AD66" s="13">
        <f t="shared" si="30"/>
        <v>2.6870000000000002E-2</v>
      </c>
      <c r="AE66" s="13">
        <f t="shared" si="31"/>
        <v>2.9090000000000001E-2</v>
      </c>
      <c r="AF66" s="13">
        <f t="shared" si="32"/>
        <v>3.4979999999999997E-2</v>
      </c>
      <c r="AG66" s="13">
        <f t="shared" si="33"/>
        <v>7.3880000000000001E-2</v>
      </c>
      <c r="AH66" s="13">
        <f t="shared" si="34"/>
        <v>2.5090000000000001E-2</v>
      </c>
      <c r="AI66" s="127">
        <f t="shared" si="0"/>
        <v>1.1469999999999999E-2</v>
      </c>
      <c r="AJ66" s="16">
        <v>63</v>
      </c>
      <c r="AK66" s="13">
        <f t="shared" si="100"/>
        <v>3.3770000000000001E-2</v>
      </c>
      <c r="AL66" s="13">
        <f t="shared" si="35"/>
        <v>3.3460000000000004E-2</v>
      </c>
      <c r="AM66" s="13">
        <f t="shared" si="36"/>
        <v>4.7190000000000003E-2</v>
      </c>
      <c r="AN66" s="13">
        <f t="shared" si="37"/>
        <v>3.7269999999999998E-2</v>
      </c>
      <c r="AO66" s="13">
        <f t="shared" si="38"/>
        <v>3.3709999999999997E-2</v>
      </c>
      <c r="AP66" s="13">
        <f t="shared" si="39"/>
        <v>5.3430000000000005E-2</v>
      </c>
      <c r="AQ66" s="13">
        <f t="shared" si="40"/>
        <v>5.4769999999999999E-2</v>
      </c>
      <c r="AR66" s="13">
        <f t="shared" si="41"/>
        <v>2.1860000000000001E-2</v>
      </c>
      <c r="AS66" s="13">
        <f t="shared" si="42"/>
        <v>4.2259999999999999E-2</v>
      </c>
      <c r="AT66" s="13">
        <f t="shared" si="43"/>
        <v>5.0790000000000002E-2</v>
      </c>
      <c r="AU66" s="13">
        <f t="shared" si="44"/>
        <v>5.3720000000000004E-2</v>
      </c>
      <c r="AV66" s="13">
        <f t="shared" si="45"/>
        <v>6.6629999999999995E-2</v>
      </c>
      <c r="AW66" s="13">
        <f t="shared" si="46"/>
        <v>4.3119999999999999E-2</v>
      </c>
      <c r="AX66" s="13">
        <f t="shared" si="47"/>
        <v>2.147E-2</v>
      </c>
      <c r="AY66" s="13">
        <f t="shared" si="48"/>
        <v>4.4139999999999999E-2</v>
      </c>
      <c r="AZ66" s="13">
        <f t="shared" si="49"/>
        <v>8.1749999999999989E-2</v>
      </c>
      <c r="BA66" s="13">
        <f t="shared" si="50"/>
        <v>3.5060000000000001E-2</v>
      </c>
      <c r="BB66" s="13">
        <f t="shared" si="51"/>
        <v>5.2560000000000003E-2</v>
      </c>
      <c r="BC66" s="13">
        <f t="shared" si="52"/>
        <v>5.3830000000000003E-2</v>
      </c>
      <c r="BD66" s="13">
        <f t="shared" si="53"/>
        <v>6.3250000000000001E-2</v>
      </c>
      <c r="BE66" s="13">
        <f t="shared" si="54"/>
        <v>4.2680000000000003E-2</v>
      </c>
      <c r="BF66" s="13">
        <f t="shared" si="55"/>
        <v>7.127E-2</v>
      </c>
      <c r="BG66" s="13">
        <f t="shared" si="56"/>
        <v>2.12E-2</v>
      </c>
      <c r="BH66" s="13">
        <f t="shared" si="57"/>
        <v>5.3400000000000003E-2</v>
      </c>
      <c r="BI66" s="13">
        <f t="shared" si="58"/>
        <v>8.0759999999999998E-2</v>
      </c>
      <c r="BJ66" s="13">
        <f t="shared" si="59"/>
        <v>5.1930000000000004E-2</v>
      </c>
      <c r="BK66" s="13">
        <f t="shared" si="60"/>
        <v>4.2410000000000003E-2</v>
      </c>
      <c r="BL66" s="13">
        <f t="shared" si="61"/>
        <v>8.0389999999999989E-2</v>
      </c>
      <c r="BM66" s="13">
        <f t="shared" si="62"/>
        <v>3.687E-2</v>
      </c>
      <c r="BN66" s="13">
        <f t="shared" si="63"/>
        <v>3.909E-2</v>
      </c>
      <c r="BO66" s="13">
        <f t="shared" si="64"/>
        <v>4.4979999999999999E-2</v>
      </c>
      <c r="BP66" s="13">
        <f t="shared" si="65"/>
        <v>8.3879999999999996E-2</v>
      </c>
      <c r="BQ66" s="13">
        <f t="shared" si="66"/>
        <v>3.5090000000000003E-2</v>
      </c>
      <c r="BR66" s="127">
        <f t="shared" si="1"/>
        <v>2.147E-2</v>
      </c>
      <c r="BS66" s="16">
        <v>63</v>
      </c>
      <c r="BT66" s="13">
        <f t="shared" si="101"/>
        <v>1.6876699999999998E-2</v>
      </c>
      <c r="BU66" s="13">
        <f t="shared" si="67"/>
        <v>1.6656600000000001E-2</v>
      </c>
      <c r="BV66" s="13">
        <f t="shared" si="68"/>
        <v>2.6404899999999999E-2</v>
      </c>
      <c r="BW66" s="13">
        <f t="shared" si="69"/>
        <v>1.9361699999999999E-2</v>
      </c>
      <c r="BX66" s="13">
        <f t="shared" si="70"/>
        <v>1.6834099999999998E-2</v>
      </c>
      <c r="BY66" s="13">
        <f t="shared" si="71"/>
        <v>3.08353E-2</v>
      </c>
      <c r="BZ66" s="13">
        <f t="shared" si="72"/>
        <v>3.1786699999999994E-2</v>
      </c>
      <c r="CA66" s="13">
        <f t="shared" si="73"/>
        <v>8.4206000000000003E-3</v>
      </c>
      <c r="CB66" s="13">
        <f t="shared" si="74"/>
        <v>2.2904599999999997E-2</v>
      </c>
      <c r="CC66" s="13">
        <f t="shared" si="75"/>
        <v>2.8960899999999998E-2</v>
      </c>
      <c r="CD66" s="13">
        <f t="shared" si="76"/>
        <v>3.1041200000000001E-2</v>
      </c>
      <c r="CE66" s="13">
        <f t="shared" si="77"/>
        <v>4.0207299999999994E-2</v>
      </c>
      <c r="CF66" s="13">
        <f t="shared" si="78"/>
        <v>2.3515199999999997E-2</v>
      </c>
      <c r="CG66" s="13">
        <f t="shared" si="79"/>
        <v>8.1436999999999985E-3</v>
      </c>
      <c r="CH66" s="13">
        <f t="shared" si="80"/>
        <v>2.4239399999999998E-2</v>
      </c>
      <c r="CI66" s="13">
        <f t="shared" si="81"/>
        <v>5.0942499999999995E-2</v>
      </c>
      <c r="CJ66" s="13">
        <f t="shared" si="82"/>
        <v>1.7792599999999999E-2</v>
      </c>
      <c r="CK66" s="13">
        <f t="shared" si="83"/>
        <v>3.0217599999999997E-2</v>
      </c>
      <c r="CL66" s="13">
        <f t="shared" si="84"/>
        <v>3.1119299999999999E-2</v>
      </c>
      <c r="CM66" s="13">
        <f t="shared" si="85"/>
        <v>3.7807499999999994E-2</v>
      </c>
      <c r="CN66" s="13">
        <f t="shared" si="86"/>
        <v>2.3202799999999999E-2</v>
      </c>
      <c r="CO66" s="13">
        <f t="shared" si="87"/>
        <v>4.3501699999999997E-2</v>
      </c>
      <c r="CP66" s="13">
        <f t="shared" si="88"/>
        <v>7.951999999999999E-3</v>
      </c>
      <c r="CQ66" s="13">
        <f t="shared" si="89"/>
        <v>3.0813999999999998E-2</v>
      </c>
      <c r="CR66" s="13">
        <f t="shared" si="90"/>
        <v>5.0239600000000002E-2</v>
      </c>
      <c r="CS66" s="13">
        <f t="shared" si="91"/>
        <v>2.97703E-2</v>
      </c>
      <c r="CT66" s="13">
        <f t="shared" si="92"/>
        <v>2.30111E-2</v>
      </c>
      <c r="CU66" s="13">
        <f t="shared" si="93"/>
        <v>4.9976899999999991E-2</v>
      </c>
      <c r="CV66" s="13">
        <f t="shared" si="94"/>
        <v>1.90777E-2</v>
      </c>
      <c r="CW66" s="13">
        <f t="shared" si="95"/>
        <v>2.0653899999999999E-2</v>
      </c>
      <c r="CX66" s="13">
        <f t="shared" si="96"/>
        <v>2.4835799999999998E-2</v>
      </c>
      <c r="CY66" s="13">
        <f t="shared" si="97"/>
        <v>5.2454799999999996E-2</v>
      </c>
      <c r="CZ66" s="13">
        <f t="shared" si="98"/>
        <v>1.7813900000000001E-2</v>
      </c>
      <c r="DA66" s="127">
        <f t="shared" si="2"/>
        <v>8.1436999999999985E-3</v>
      </c>
    </row>
    <row r="67" spans="1:105" x14ac:dyDescent="0.25">
      <c r="A67" s="11">
        <v>64</v>
      </c>
      <c r="B67" s="13">
        <f t="shared" si="99"/>
        <v>2.3769999999999999E-2</v>
      </c>
      <c r="C67" s="13">
        <f t="shared" si="3"/>
        <v>2.3460000000000002E-2</v>
      </c>
      <c r="D67" s="13">
        <f t="shared" si="4"/>
        <v>3.7190000000000001E-2</v>
      </c>
      <c r="E67" s="13">
        <f t="shared" si="5"/>
        <v>2.7269999999999999E-2</v>
      </c>
      <c r="F67" s="13">
        <f t="shared" si="6"/>
        <v>2.3709999999999998E-2</v>
      </c>
      <c r="G67" s="13">
        <f t="shared" si="7"/>
        <v>4.3430000000000003E-2</v>
      </c>
      <c r="H67" s="13">
        <f t="shared" si="8"/>
        <v>4.4769999999999997E-2</v>
      </c>
      <c r="I67" s="13">
        <f t="shared" si="9"/>
        <v>1.1860000000000001E-2</v>
      </c>
      <c r="J67" s="13">
        <f t="shared" si="10"/>
        <v>3.2259999999999997E-2</v>
      </c>
      <c r="K67" s="13">
        <f t="shared" si="11"/>
        <v>4.079E-2</v>
      </c>
      <c r="L67" s="13">
        <f t="shared" si="12"/>
        <v>4.3720000000000002E-2</v>
      </c>
      <c r="M67" s="13">
        <f t="shared" si="13"/>
        <v>5.663E-2</v>
      </c>
      <c r="N67" s="13">
        <f t="shared" si="14"/>
        <v>3.3119999999999997E-2</v>
      </c>
      <c r="O67" s="13">
        <f t="shared" si="15"/>
        <v>1.1469999999999999E-2</v>
      </c>
      <c r="P67" s="13">
        <f t="shared" si="16"/>
        <v>3.4139999999999997E-2</v>
      </c>
      <c r="Q67" s="13">
        <f t="shared" si="17"/>
        <v>7.1749999999999994E-2</v>
      </c>
      <c r="R67" s="13">
        <f t="shared" si="18"/>
        <v>2.5059999999999999E-2</v>
      </c>
      <c r="S67" s="13">
        <f t="shared" si="19"/>
        <v>4.2560000000000001E-2</v>
      </c>
      <c r="T67" s="13">
        <f t="shared" si="20"/>
        <v>4.3830000000000001E-2</v>
      </c>
      <c r="U67" s="13">
        <f t="shared" si="21"/>
        <v>5.3249999999999999E-2</v>
      </c>
      <c r="V67" s="13">
        <f t="shared" si="22"/>
        <v>3.2680000000000001E-2</v>
      </c>
      <c r="W67" s="13">
        <f t="shared" si="23"/>
        <v>6.1269999999999998E-2</v>
      </c>
      <c r="X67" s="13">
        <f t="shared" si="24"/>
        <v>1.12E-2</v>
      </c>
      <c r="Y67" s="13">
        <f t="shared" si="25"/>
        <v>4.3400000000000001E-2</v>
      </c>
      <c r="Z67" s="13">
        <f t="shared" si="26"/>
        <v>7.0760000000000003E-2</v>
      </c>
      <c r="AA67" s="13">
        <f t="shared" si="27"/>
        <v>4.1930000000000002E-2</v>
      </c>
      <c r="AB67" s="13">
        <f t="shared" si="28"/>
        <v>3.2410000000000001E-2</v>
      </c>
      <c r="AC67" s="13">
        <f t="shared" si="29"/>
        <v>7.0389999999999994E-2</v>
      </c>
      <c r="AD67" s="13">
        <f t="shared" si="30"/>
        <v>2.6870000000000002E-2</v>
      </c>
      <c r="AE67" s="13">
        <f t="shared" si="31"/>
        <v>2.9090000000000001E-2</v>
      </c>
      <c r="AF67" s="13">
        <f t="shared" si="32"/>
        <v>3.4979999999999997E-2</v>
      </c>
      <c r="AG67" s="13">
        <f t="shared" si="33"/>
        <v>7.3880000000000001E-2</v>
      </c>
      <c r="AH67" s="13">
        <f t="shared" si="34"/>
        <v>2.5090000000000001E-2</v>
      </c>
      <c r="AI67" s="127">
        <f t="shared" si="0"/>
        <v>1.1469999999999999E-2</v>
      </c>
      <c r="AJ67" s="16">
        <v>64</v>
      </c>
      <c r="AK67" s="13">
        <f t="shared" si="100"/>
        <v>3.3770000000000001E-2</v>
      </c>
      <c r="AL67" s="13">
        <f t="shared" si="35"/>
        <v>3.3460000000000004E-2</v>
      </c>
      <c r="AM67" s="13">
        <f t="shared" si="36"/>
        <v>4.7190000000000003E-2</v>
      </c>
      <c r="AN67" s="13">
        <f t="shared" si="37"/>
        <v>3.7269999999999998E-2</v>
      </c>
      <c r="AO67" s="13">
        <f t="shared" si="38"/>
        <v>3.3709999999999997E-2</v>
      </c>
      <c r="AP67" s="13">
        <f t="shared" si="39"/>
        <v>5.3430000000000005E-2</v>
      </c>
      <c r="AQ67" s="13">
        <f t="shared" si="40"/>
        <v>5.4769999999999999E-2</v>
      </c>
      <c r="AR67" s="13">
        <f t="shared" si="41"/>
        <v>2.1860000000000001E-2</v>
      </c>
      <c r="AS67" s="13">
        <f t="shared" si="42"/>
        <v>4.2259999999999999E-2</v>
      </c>
      <c r="AT67" s="13">
        <f t="shared" si="43"/>
        <v>5.0790000000000002E-2</v>
      </c>
      <c r="AU67" s="13">
        <f t="shared" si="44"/>
        <v>5.3720000000000004E-2</v>
      </c>
      <c r="AV67" s="13">
        <f t="shared" si="45"/>
        <v>6.6629999999999995E-2</v>
      </c>
      <c r="AW67" s="13">
        <f t="shared" si="46"/>
        <v>4.3119999999999999E-2</v>
      </c>
      <c r="AX67" s="13">
        <f t="shared" si="47"/>
        <v>2.147E-2</v>
      </c>
      <c r="AY67" s="13">
        <f t="shared" si="48"/>
        <v>4.4139999999999999E-2</v>
      </c>
      <c r="AZ67" s="13">
        <f t="shared" si="49"/>
        <v>8.1749999999999989E-2</v>
      </c>
      <c r="BA67" s="13">
        <f t="shared" si="50"/>
        <v>3.5060000000000001E-2</v>
      </c>
      <c r="BB67" s="13">
        <f t="shared" si="51"/>
        <v>5.2560000000000003E-2</v>
      </c>
      <c r="BC67" s="13">
        <f t="shared" si="52"/>
        <v>5.3830000000000003E-2</v>
      </c>
      <c r="BD67" s="13">
        <f t="shared" si="53"/>
        <v>6.3250000000000001E-2</v>
      </c>
      <c r="BE67" s="13">
        <f t="shared" si="54"/>
        <v>4.2680000000000003E-2</v>
      </c>
      <c r="BF67" s="13">
        <f t="shared" si="55"/>
        <v>7.127E-2</v>
      </c>
      <c r="BG67" s="13">
        <f t="shared" si="56"/>
        <v>2.12E-2</v>
      </c>
      <c r="BH67" s="13">
        <f t="shared" si="57"/>
        <v>5.3400000000000003E-2</v>
      </c>
      <c r="BI67" s="13">
        <f t="shared" si="58"/>
        <v>8.0759999999999998E-2</v>
      </c>
      <c r="BJ67" s="13">
        <f t="shared" si="59"/>
        <v>5.1930000000000004E-2</v>
      </c>
      <c r="BK67" s="13">
        <f t="shared" si="60"/>
        <v>4.2410000000000003E-2</v>
      </c>
      <c r="BL67" s="13">
        <f t="shared" si="61"/>
        <v>8.0389999999999989E-2</v>
      </c>
      <c r="BM67" s="13">
        <f t="shared" si="62"/>
        <v>3.687E-2</v>
      </c>
      <c r="BN67" s="13">
        <f t="shared" si="63"/>
        <v>3.909E-2</v>
      </c>
      <c r="BO67" s="13">
        <f t="shared" si="64"/>
        <v>4.4979999999999999E-2</v>
      </c>
      <c r="BP67" s="13">
        <f t="shared" si="65"/>
        <v>8.3879999999999996E-2</v>
      </c>
      <c r="BQ67" s="13">
        <f t="shared" si="66"/>
        <v>3.5090000000000003E-2</v>
      </c>
      <c r="BR67" s="127">
        <f t="shared" si="1"/>
        <v>2.147E-2</v>
      </c>
      <c r="BS67" s="16">
        <v>64</v>
      </c>
      <c r="BT67" s="13">
        <f t="shared" si="101"/>
        <v>1.6876699999999998E-2</v>
      </c>
      <c r="BU67" s="13">
        <f t="shared" si="67"/>
        <v>1.6656600000000001E-2</v>
      </c>
      <c r="BV67" s="13">
        <f t="shared" si="68"/>
        <v>2.6404899999999999E-2</v>
      </c>
      <c r="BW67" s="13">
        <f t="shared" si="69"/>
        <v>1.9361699999999999E-2</v>
      </c>
      <c r="BX67" s="13">
        <f t="shared" si="70"/>
        <v>1.6834099999999998E-2</v>
      </c>
      <c r="BY67" s="13">
        <f t="shared" si="71"/>
        <v>3.08353E-2</v>
      </c>
      <c r="BZ67" s="13">
        <f t="shared" si="72"/>
        <v>3.1786699999999994E-2</v>
      </c>
      <c r="CA67" s="13">
        <f t="shared" si="73"/>
        <v>8.4206000000000003E-3</v>
      </c>
      <c r="CB67" s="13">
        <f t="shared" si="74"/>
        <v>2.2904599999999997E-2</v>
      </c>
      <c r="CC67" s="13">
        <f t="shared" si="75"/>
        <v>2.8960899999999998E-2</v>
      </c>
      <c r="CD67" s="13">
        <f t="shared" si="76"/>
        <v>3.1041200000000001E-2</v>
      </c>
      <c r="CE67" s="13">
        <f t="shared" si="77"/>
        <v>4.0207299999999994E-2</v>
      </c>
      <c r="CF67" s="13">
        <f t="shared" si="78"/>
        <v>2.3515199999999997E-2</v>
      </c>
      <c r="CG67" s="13">
        <f t="shared" si="79"/>
        <v>8.1436999999999985E-3</v>
      </c>
      <c r="CH67" s="13">
        <f t="shared" si="80"/>
        <v>2.4239399999999998E-2</v>
      </c>
      <c r="CI67" s="13">
        <f t="shared" si="81"/>
        <v>5.0942499999999995E-2</v>
      </c>
      <c r="CJ67" s="13">
        <f t="shared" si="82"/>
        <v>1.7792599999999999E-2</v>
      </c>
      <c r="CK67" s="13">
        <f t="shared" si="83"/>
        <v>3.0217599999999997E-2</v>
      </c>
      <c r="CL67" s="13">
        <f t="shared" si="84"/>
        <v>3.1119299999999999E-2</v>
      </c>
      <c r="CM67" s="13">
        <f t="shared" si="85"/>
        <v>3.7807499999999994E-2</v>
      </c>
      <c r="CN67" s="13">
        <f t="shared" si="86"/>
        <v>2.3202799999999999E-2</v>
      </c>
      <c r="CO67" s="13">
        <f t="shared" si="87"/>
        <v>4.3501699999999997E-2</v>
      </c>
      <c r="CP67" s="13">
        <f t="shared" si="88"/>
        <v>7.951999999999999E-3</v>
      </c>
      <c r="CQ67" s="13">
        <f t="shared" si="89"/>
        <v>3.0813999999999998E-2</v>
      </c>
      <c r="CR67" s="13">
        <f t="shared" si="90"/>
        <v>5.0239600000000002E-2</v>
      </c>
      <c r="CS67" s="13">
        <f t="shared" si="91"/>
        <v>2.97703E-2</v>
      </c>
      <c r="CT67" s="13">
        <f t="shared" si="92"/>
        <v>2.30111E-2</v>
      </c>
      <c r="CU67" s="13">
        <f t="shared" si="93"/>
        <v>4.9976899999999991E-2</v>
      </c>
      <c r="CV67" s="13">
        <f t="shared" si="94"/>
        <v>1.90777E-2</v>
      </c>
      <c r="CW67" s="13">
        <f t="shared" si="95"/>
        <v>2.0653899999999999E-2</v>
      </c>
      <c r="CX67" s="13">
        <f t="shared" si="96"/>
        <v>2.4835799999999998E-2</v>
      </c>
      <c r="CY67" s="13">
        <f t="shared" si="97"/>
        <v>5.2454799999999996E-2</v>
      </c>
      <c r="CZ67" s="13">
        <f t="shared" si="98"/>
        <v>1.7813900000000001E-2</v>
      </c>
      <c r="DA67" s="127">
        <f t="shared" si="2"/>
        <v>8.1436999999999985E-3</v>
      </c>
    </row>
    <row r="68" spans="1:105" x14ac:dyDescent="0.25">
      <c r="A68" s="11">
        <v>65</v>
      </c>
      <c r="B68" s="13">
        <f t="shared" si="99"/>
        <v>2.3769999999999999E-2</v>
      </c>
      <c r="C68" s="13">
        <f t="shared" si="3"/>
        <v>2.3460000000000002E-2</v>
      </c>
      <c r="D68" s="13">
        <f t="shared" si="4"/>
        <v>3.7190000000000001E-2</v>
      </c>
      <c r="E68" s="13">
        <f t="shared" si="5"/>
        <v>2.7269999999999999E-2</v>
      </c>
      <c r="F68" s="13">
        <f t="shared" si="6"/>
        <v>2.3709999999999998E-2</v>
      </c>
      <c r="G68" s="13">
        <f t="shared" si="7"/>
        <v>4.3430000000000003E-2</v>
      </c>
      <c r="H68" s="13">
        <f t="shared" si="8"/>
        <v>4.4769999999999997E-2</v>
      </c>
      <c r="I68" s="13">
        <f t="shared" si="9"/>
        <v>1.1860000000000001E-2</v>
      </c>
      <c r="J68" s="13">
        <f t="shared" si="10"/>
        <v>3.2259999999999997E-2</v>
      </c>
      <c r="K68" s="13">
        <f t="shared" si="11"/>
        <v>4.079E-2</v>
      </c>
      <c r="L68" s="13">
        <f t="shared" si="12"/>
        <v>4.3720000000000002E-2</v>
      </c>
      <c r="M68" s="13">
        <f t="shared" si="13"/>
        <v>5.663E-2</v>
      </c>
      <c r="N68" s="13">
        <f t="shared" si="14"/>
        <v>3.3119999999999997E-2</v>
      </c>
      <c r="O68" s="13">
        <f t="shared" si="15"/>
        <v>1.1469999999999999E-2</v>
      </c>
      <c r="P68" s="13">
        <f t="shared" si="16"/>
        <v>3.4139999999999997E-2</v>
      </c>
      <c r="Q68" s="13">
        <f t="shared" si="17"/>
        <v>7.1749999999999994E-2</v>
      </c>
      <c r="R68" s="13">
        <f t="shared" si="18"/>
        <v>2.5059999999999999E-2</v>
      </c>
      <c r="S68" s="13">
        <f t="shared" si="19"/>
        <v>4.2560000000000001E-2</v>
      </c>
      <c r="T68" s="13">
        <f t="shared" si="20"/>
        <v>4.3830000000000001E-2</v>
      </c>
      <c r="U68" s="13">
        <f t="shared" si="21"/>
        <v>5.3249999999999999E-2</v>
      </c>
      <c r="V68" s="13">
        <f t="shared" si="22"/>
        <v>3.2680000000000001E-2</v>
      </c>
      <c r="W68" s="13">
        <f t="shared" si="23"/>
        <v>6.1269999999999998E-2</v>
      </c>
      <c r="X68" s="13">
        <f t="shared" si="24"/>
        <v>1.12E-2</v>
      </c>
      <c r="Y68" s="13">
        <f t="shared" si="25"/>
        <v>4.3400000000000001E-2</v>
      </c>
      <c r="Z68" s="13">
        <f t="shared" si="26"/>
        <v>7.0760000000000003E-2</v>
      </c>
      <c r="AA68" s="13">
        <f t="shared" si="27"/>
        <v>4.1930000000000002E-2</v>
      </c>
      <c r="AB68" s="13">
        <f t="shared" si="28"/>
        <v>3.2410000000000001E-2</v>
      </c>
      <c r="AC68" s="13">
        <f t="shared" si="29"/>
        <v>7.0389999999999994E-2</v>
      </c>
      <c r="AD68" s="13">
        <f t="shared" si="30"/>
        <v>2.6870000000000002E-2</v>
      </c>
      <c r="AE68" s="13">
        <f t="shared" si="31"/>
        <v>2.9090000000000001E-2</v>
      </c>
      <c r="AF68" s="13">
        <f t="shared" si="32"/>
        <v>3.4979999999999997E-2</v>
      </c>
      <c r="AG68" s="13">
        <f t="shared" si="33"/>
        <v>7.3880000000000001E-2</v>
      </c>
      <c r="AH68" s="13">
        <f t="shared" si="34"/>
        <v>2.5090000000000001E-2</v>
      </c>
      <c r="AI68" s="127">
        <f t="shared" si="0"/>
        <v>1.1469999999999999E-2</v>
      </c>
      <c r="AJ68" s="16">
        <v>65</v>
      </c>
      <c r="AK68" s="13">
        <f t="shared" si="100"/>
        <v>3.3770000000000001E-2</v>
      </c>
      <c r="AL68" s="13">
        <f t="shared" si="35"/>
        <v>3.3460000000000004E-2</v>
      </c>
      <c r="AM68" s="13">
        <f t="shared" si="36"/>
        <v>4.7190000000000003E-2</v>
      </c>
      <c r="AN68" s="13">
        <f t="shared" si="37"/>
        <v>3.7269999999999998E-2</v>
      </c>
      <c r="AO68" s="13">
        <f t="shared" si="38"/>
        <v>3.3709999999999997E-2</v>
      </c>
      <c r="AP68" s="13">
        <f t="shared" si="39"/>
        <v>5.3430000000000005E-2</v>
      </c>
      <c r="AQ68" s="13">
        <f t="shared" si="40"/>
        <v>5.4769999999999999E-2</v>
      </c>
      <c r="AR68" s="13">
        <f t="shared" si="41"/>
        <v>2.1860000000000001E-2</v>
      </c>
      <c r="AS68" s="13">
        <f t="shared" si="42"/>
        <v>4.2259999999999999E-2</v>
      </c>
      <c r="AT68" s="13">
        <f t="shared" si="43"/>
        <v>5.0790000000000002E-2</v>
      </c>
      <c r="AU68" s="13">
        <f t="shared" si="44"/>
        <v>5.3720000000000004E-2</v>
      </c>
      <c r="AV68" s="13">
        <f t="shared" si="45"/>
        <v>6.6629999999999995E-2</v>
      </c>
      <c r="AW68" s="13">
        <f t="shared" si="46"/>
        <v>4.3119999999999999E-2</v>
      </c>
      <c r="AX68" s="13">
        <f t="shared" si="47"/>
        <v>2.147E-2</v>
      </c>
      <c r="AY68" s="13">
        <f t="shared" si="48"/>
        <v>4.4139999999999999E-2</v>
      </c>
      <c r="AZ68" s="13">
        <f t="shared" si="49"/>
        <v>8.1749999999999989E-2</v>
      </c>
      <c r="BA68" s="13">
        <f t="shared" si="50"/>
        <v>3.5060000000000001E-2</v>
      </c>
      <c r="BB68" s="13">
        <f t="shared" si="51"/>
        <v>5.2560000000000003E-2</v>
      </c>
      <c r="BC68" s="13">
        <f t="shared" si="52"/>
        <v>5.3830000000000003E-2</v>
      </c>
      <c r="BD68" s="13">
        <f t="shared" si="53"/>
        <v>6.3250000000000001E-2</v>
      </c>
      <c r="BE68" s="13">
        <f t="shared" si="54"/>
        <v>4.2680000000000003E-2</v>
      </c>
      <c r="BF68" s="13">
        <f t="shared" si="55"/>
        <v>7.127E-2</v>
      </c>
      <c r="BG68" s="13">
        <f t="shared" si="56"/>
        <v>2.12E-2</v>
      </c>
      <c r="BH68" s="13">
        <f t="shared" si="57"/>
        <v>5.3400000000000003E-2</v>
      </c>
      <c r="BI68" s="13">
        <f t="shared" si="58"/>
        <v>8.0759999999999998E-2</v>
      </c>
      <c r="BJ68" s="13">
        <f t="shared" si="59"/>
        <v>5.1930000000000004E-2</v>
      </c>
      <c r="BK68" s="13">
        <f t="shared" si="60"/>
        <v>4.2410000000000003E-2</v>
      </c>
      <c r="BL68" s="13">
        <f t="shared" si="61"/>
        <v>8.0389999999999989E-2</v>
      </c>
      <c r="BM68" s="13">
        <f t="shared" si="62"/>
        <v>3.687E-2</v>
      </c>
      <c r="BN68" s="13">
        <f t="shared" si="63"/>
        <v>3.909E-2</v>
      </c>
      <c r="BO68" s="13">
        <f t="shared" si="64"/>
        <v>4.4979999999999999E-2</v>
      </c>
      <c r="BP68" s="13">
        <f t="shared" si="65"/>
        <v>8.3879999999999996E-2</v>
      </c>
      <c r="BQ68" s="13">
        <f t="shared" si="66"/>
        <v>3.5090000000000003E-2</v>
      </c>
      <c r="BR68" s="127">
        <f t="shared" si="1"/>
        <v>2.147E-2</v>
      </c>
      <c r="BS68" s="16">
        <v>65</v>
      </c>
      <c r="BT68" s="13">
        <f t="shared" si="101"/>
        <v>1.6876699999999998E-2</v>
      </c>
      <c r="BU68" s="13">
        <f t="shared" si="67"/>
        <v>1.6656600000000001E-2</v>
      </c>
      <c r="BV68" s="13">
        <f t="shared" si="68"/>
        <v>2.6404899999999999E-2</v>
      </c>
      <c r="BW68" s="13">
        <f t="shared" si="69"/>
        <v>1.9361699999999999E-2</v>
      </c>
      <c r="BX68" s="13">
        <f t="shared" si="70"/>
        <v>1.6834099999999998E-2</v>
      </c>
      <c r="BY68" s="13">
        <f t="shared" si="71"/>
        <v>3.08353E-2</v>
      </c>
      <c r="BZ68" s="13">
        <f t="shared" si="72"/>
        <v>3.1786699999999994E-2</v>
      </c>
      <c r="CA68" s="13">
        <f t="shared" si="73"/>
        <v>8.4206000000000003E-3</v>
      </c>
      <c r="CB68" s="13">
        <f t="shared" si="74"/>
        <v>2.2904599999999997E-2</v>
      </c>
      <c r="CC68" s="13">
        <f t="shared" si="75"/>
        <v>2.8960899999999998E-2</v>
      </c>
      <c r="CD68" s="13">
        <f t="shared" si="76"/>
        <v>3.1041200000000001E-2</v>
      </c>
      <c r="CE68" s="13">
        <f t="shared" si="77"/>
        <v>4.0207299999999994E-2</v>
      </c>
      <c r="CF68" s="13">
        <f t="shared" si="78"/>
        <v>2.3515199999999997E-2</v>
      </c>
      <c r="CG68" s="13">
        <f t="shared" si="79"/>
        <v>8.1436999999999985E-3</v>
      </c>
      <c r="CH68" s="13">
        <f t="shared" si="80"/>
        <v>2.4239399999999998E-2</v>
      </c>
      <c r="CI68" s="13">
        <f t="shared" si="81"/>
        <v>5.0942499999999995E-2</v>
      </c>
      <c r="CJ68" s="13">
        <f t="shared" si="82"/>
        <v>1.7792599999999999E-2</v>
      </c>
      <c r="CK68" s="13">
        <f t="shared" si="83"/>
        <v>3.0217599999999997E-2</v>
      </c>
      <c r="CL68" s="13">
        <f t="shared" si="84"/>
        <v>3.1119299999999999E-2</v>
      </c>
      <c r="CM68" s="13">
        <f t="shared" si="85"/>
        <v>3.7807499999999994E-2</v>
      </c>
      <c r="CN68" s="13">
        <f t="shared" si="86"/>
        <v>2.3202799999999999E-2</v>
      </c>
      <c r="CO68" s="13">
        <f t="shared" si="87"/>
        <v>4.3501699999999997E-2</v>
      </c>
      <c r="CP68" s="13">
        <f t="shared" si="88"/>
        <v>7.951999999999999E-3</v>
      </c>
      <c r="CQ68" s="13">
        <f t="shared" si="89"/>
        <v>3.0813999999999998E-2</v>
      </c>
      <c r="CR68" s="13">
        <f t="shared" si="90"/>
        <v>5.0239600000000002E-2</v>
      </c>
      <c r="CS68" s="13">
        <f t="shared" si="91"/>
        <v>2.97703E-2</v>
      </c>
      <c r="CT68" s="13">
        <f t="shared" si="92"/>
        <v>2.30111E-2</v>
      </c>
      <c r="CU68" s="13">
        <f t="shared" si="93"/>
        <v>4.9976899999999991E-2</v>
      </c>
      <c r="CV68" s="13">
        <f t="shared" si="94"/>
        <v>1.90777E-2</v>
      </c>
      <c r="CW68" s="13">
        <f t="shared" si="95"/>
        <v>2.0653899999999999E-2</v>
      </c>
      <c r="CX68" s="13">
        <f t="shared" si="96"/>
        <v>2.4835799999999998E-2</v>
      </c>
      <c r="CY68" s="13">
        <f t="shared" si="97"/>
        <v>5.2454799999999996E-2</v>
      </c>
      <c r="CZ68" s="13">
        <f t="shared" si="98"/>
        <v>1.7813900000000001E-2</v>
      </c>
      <c r="DA68" s="127">
        <f t="shared" si="2"/>
        <v>8.1436999999999985E-3</v>
      </c>
    </row>
    <row r="69" spans="1:105" x14ac:dyDescent="0.25">
      <c r="A69" s="11">
        <v>66</v>
      </c>
      <c r="B69" s="13">
        <f t="shared" si="99"/>
        <v>2.3769999999999999E-2</v>
      </c>
      <c r="C69" s="13">
        <f t="shared" si="3"/>
        <v>2.3460000000000002E-2</v>
      </c>
      <c r="D69" s="13">
        <f t="shared" si="4"/>
        <v>3.7190000000000001E-2</v>
      </c>
      <c r="E69" s="13">
        <f t="shared" si="5"/>
        <v>2.7269999999999999E-2</v>
      </c>
      <c r="F69" s="13">
        <f t="shared" si="6"/>
        <v>2.3709999999999998E-2</v>
      </c>
      <c r="G69" s="13">
        <f t="shared" si="7"/>
        <v>4.3430000000000003E-2</v>
      </c>
      <c r="H69" s="13">
        <f t="shared" si="8"/>
        <v>4.4769999999999997E-2</v>
      </c>
      <c r="I69" s="13">
        <f t="shared" si="9"/>
        <v>1.1860000000000001E-2</v>
      </c>
      <c r="J69" s="13">
        <f t="shared" si="10"/>
        <v>3.2259999999999997E-2</v>
      </c>
      <c r="K69" s="13">
        <f t="shared" si="11"/>
        <v>4.079E-2</v>
      </c>
      <c r="L69" s="13">
        <f t="shared" si="12"/>
        <v>4.3720000000000002E-2</v>
      </c>
      <c r="M69" s="13">
        <f t="shared" si="13"/>
        <v>5.663E-2</v>
      </c>
      <c r="N69" s="13">
        <f t="shared" si="14"/>
        <v>3.3119999999999997E-2</v>
      </c>
      <c r="O69" s="13">
        <f t="shared" si="15"/>
        <v>1.1469999999999999E-2</v>
      </c>
      <c r="P69" s="13">
        <f t="shared" si="16"/>
        <v>3.4139999999999997E-2</v>
      </c>
      <c r="Q69" s="13">
        <f t="shared" si="17"/>
        <v>7.1749999999999994E-2</v>
      </c>
      <c r="R69" s="13">
        <f t="shared" si="18"/>
        <v>2.5059999999999999E-2</v>
      </c>
      <c r="S69" s="13">
        <f t="shared" si="19"/>
        <v>4.2560000000000001E-2</v>
      </c>
      <c r="T69" s="13">
        <f t="shared" si="20"/>
        <v>4.3830000000000001E-2</v>
      </c>
      <c r="U69" s="13">
        <f t="shared" si="21"/>
        <v>5.3249999999999999E-2</v>
      </c>
      <c r="V69" s="13">
        <f t="shared" si="22"/>
        <v>3.2680000000000001E-2</v>
      </c>
      <c r="W69" s="13">
        <f t="shared" si="23"/>
        <v>6.1269999999999998E-2</v>
      </c>
      <c r="X69" s="13">
        <f t="shared" si="24"/>
        <v>1.12E-2</v>
      </c>
      <c r="Y69" s="13">
        <f t="shared" si="25"/>
        <v>4.3400000000000001E-2</v>
      </c>
      <c r="Z69" s="13">
        <f t="shared" si="26"/>
        <v>7.0760000000000003E-2</v>
      </c>
      <c r="AA69" s="13">
        <f t="shared" si="27"/>
        <v>4.1930000000000002E-2</v>
      </c>
      <c r="AB69" s="13">
        <f t="shared" si="28"/>
        <v>3.2410000000000001E-2</v>
      </c>
      <c r="AC69" s="13">
        <f t="shared" si="29"/>
        <v>7.0389999999999994E-2</v>
      </c>
      <c r="AD69" s="13">
        <f t="shared" si="30"/>
        <v>2.6870000000000002E-2</v>
      </c>
      <c r="AE69" s="13">
        <f t="shared" si="31"/>
        <v>2.9090000000000001E-2</v>
      </c>
      <c r="AF69" s="13">
        <f t="shared" si="32"/>
        <v>3.4979999999999997E-2</v>
      </c>
      <c r="AG69" s="13">
        <f t="shared" si="33"/>
        <v>7.3880000000000001E-2</v>
      </c>
      <c r="AH69" s="13">
        <f t="shared" si="34"/>
        <v>2.5090000000000001E-2</v>
      </c>
      <c r="AI69" s="127">
        <f t="shared" ref="AI69:AI73" si="102">O69</f>
        <v>1.1469999999999999E-2</v>
      </c>
      <c r="AJ69" s="16">
        <v>66</v>
      </c>
      <c r="AK69" s="13">
        <f t="shared" si="100"/>
        <v>3.3770000000000001E-2</v>
      </c>
      <c r="AL69" s="13">
        <f t="shared" si="35"/>
        <v>3.3460000000000004E-2</v>
      </c>
      <c r="AM69" s="13">
        <f t="shared" si="36"/>
        <v>4.7190000000000003E-2</v>
      </c>
      <c r="AN69" s="13">
        <f t="shared" si="37"/>
        <v>3.7269999999999998E-2</v>
      </c>
      <c r="AO69" s="13">
        <f t="shared" si="38"/>
        <v>3.3709999999999997E-2</v>
      </c>
      <c r="AP69" s="13">
        <f t="shared" si="39"/>
        <v>5.3430000000000005E-2</v>
      </c>
      <c r="AQ69" s="13">
        <f t="shared" si="40"/>
        <v>5.4769999999999999E-2</v>
      </c>
      <c r="AR69" s="13">
        <f t="shared" si="41"/>
        <v>2.1860000000000001E-2</v>
      </c>
      <c r="AS69" s="13">
        <f t="shared" si="42"/>
        <v>4.2259999999999999E-2</v>
      </c>
      <c r="AT69" s="13">
        <f t="shared" si="43"/>
        <v>5.0790000000000002E-2</v>
      </c>
      <c r="AU69" s="13">
        <f t="shared" si="44"/>
        <v>5.3720000000000004E-2</v>
      </c>
      <c r="AV69" s="13">
        <f t="shared" si="45"/>
        <v>6.6629999999999995E-2</v>
      </c>
      <c r="AW69" s="13">
        <f t="shared" si="46"/>
        <v>4.3119999999999999E-2</v>
      </c>
      <c r="AX69" s="13">
        <f t="shared" si="47"/>
        <v>2.147E-2</v>
      </c>
      <c r="AY69" s="13">
        <f t="shared" si="48"/>
        <v>4.4139999999999999E-2</v>
      </c>
      <c r="AZ69" s="13">
        <f t="shared" si="49"/>
        <v>8.1749999999999989E-2</v>
      </c>
      <c r="BA69" s="13">
        <f t="shared" si="50"/>
        <v>3.5060000000000001E-2</v>
      </c>
      <c r="BB69" s="13">
        <f t="shared" si="51"/>
        <v>5.2560000000000003E-2</v>
      </c>
      <c r="BC69" s="13">
        <f t="shared" si="52"/>
        <v>5.3830000000000003E-2</v>
      </c>
      <c r="BD69" s="13">
        <f t="shared" si="53"/>
        <v>6.3250000000000001E-2</v>
      </c>
      <c r="BE69" s="13">
        <f t="shared" si="54"/>
        <v>4.2680000000000003E-2</v>
      </c>
      <c r="BF69" s="13">
        <f t="shared" si="55"/>
        <v>7.127E-2</v>
      </c>
      <c r="BG69" s="13">
        <f t="shared" si="56"/>
        <v>2.12E-2</v>
      </c>
      <c r="BH69" s="13">
        <f t="shared" si="57"/>
        <v>5.3400000000000003E-2</v>
      </c>
      <c r="BI69" s="13">
        <f t="shared" si="58"/>
        <v>8.0759999999999998E-2</v>
      </c>
      <c r="BJ69" s="13">
        <f t="shared" si="59"/>
        <v>5.1930000000000004E-2</v>
      </c>
      <c r="BK69" s="13">
        <f t="shared" si="60"/>
        <v>4.2410000000000003E-2</v>
      </c>
      <c r="BL69" s="13">
        <f t="shared" si="61"/>
        <v>8.0389999999999989E-2</v>
      </c>
      <c r="BM69" s="13">
        <f t="shared" si="62"/>
        <v>3.687E-2</v>
      </c>
      <c r="BN69" s="13">
        <f t="shared" si="63"/>
        <v>3.909E-2</v>
      </c>
      <c r="BO69" s="13">
        <f t="shared" si="64"/>
        <v>4.4979999999999999E-2</v>
      </c>
      <c r="BP69" s="13">
        <f t="shared" si="65"/>
        <v>8.3879999999999996E-2</v>
      </c>
      <c r="BQ69" s="13">
        <f t="shared" si="66"/>
        <v>3.5090000000000003E-2</v>
      </c>
      <c r="BR69" s="127">
        <f t="shared" ref="BR69:BR73" si="103">AX69</f>
        <v>2.147E-2</v>
      </c>
      <c r="BS69" s="16">
        <v>66</v>
      </c>
      <c r="BT69" s="13">
        <f t="shared" si="101"/>
        <v>1.6876699999999998E-2</v>
      </c>
      <c r="BU69" s="13">
        <f t="shared" si="67"/>
        <v>1.6656600000000001E-2</v>
      </c>
      <c r="BV69" s="13">
        <f t="shared" si="68"/>
        <v>2.6404899999999999E-2</v>
      </c>
      <c r="BW69" s="13">
        <f t="shared" si="69"/>
        <v>1.9361699999999999E-2</v>
      </c>
      <c r="BX69" s="13">
        <f t="shared" si="70"/>
        <v>1.6834099999999998E-2</v>
      </c>
      <c r="BY69" s="13">
        <f t="shared" si="71"/>
        <v>3.08353E-2</v>
      </c>
      <c r="BZ69" s="13">
        <f t="shared" si="72"/>
        <v>3.1786699999999994E-2</v>
      </c>
      <c r="CA69" s="13">
        <f t="shared" si="73"/>
        <v>8.4206000000000003E-3</v>
      </c>
      <c r="CB69" s="13">
        <f t="shared" si="74"/>
        <v>2.2904599999999997E-2</v>
      </c>
      <c r="CC69" s="13">
        <f t="shared" si="75"/>
        <v>2.8960899999999998E-2</v>
      </c>
      <c r="CD69" s="13">
        <f t="shared" si="76"/>
        <v>3.1041200000000001E-2</v>
      </c>
      <c r="CE69" s="13">
        <f t="shared" si="77"/>
        <v>4.0207299999999994E-2</v>
      </c>
      <c r="CF69" s="13">
        <f t="shared" si="78"/>
        <v>2.3515199999999997E-2</v>
      </c>
      <c r="CG69" s="13">
        <f t="shared" si="79"/>
        <v>8.1436999999999985E-3</v>
      </c>
      <c r="CH69" s="13">
        <f t="shared" si="80"/>
        <v>2.4239399999999998E-2</v>
      </c>
      <c r="CI69" s="13">
        <f t="shared" si="81"/>
        <v>5.0942499999999995E-2</v>
      </c>
      <c r="CJ69" s="13">
        <f t="shared" si="82"/>
        <v>1.7792599999999999E-2</v>
      </c>
      <c r="CK69" s="13">
        <f t="shared" si="83"/>
        <v>3.0217599999999997E-2</v>
      </c>
      <c r="CL69" s="13">
        <f t="shared" si="84"/>
        <v>3.1119299999999999E-2</v>
      </c>
      <c r="CM69" s="13">
        <f t="shared" si="85"/>
        <v>3.7807499999999994E-2</v>
      </c>
      <c r="CN69" s="13">
        <f t="shared" si="86"/>
        <v>2.3202799999999999E-2</v>
      </c>
      <c r="CO69" s="13">
        <f t="shared" si="87"/>
        <v>4.3501699999999997E-2</v>
      </c>
      <c r="CP69" s="13">
        <f t="shared" si="88"/>
        <v>7.951999999999999E-3</v>
      </c>
      <c r="CQ69" s="13">
        <f t="shared" si="89"/>
        <v>3.0813999999999998E-2</v>
      </c>
      <c r="CR69" s="13">
        <f t="shared" si="90"/>
        <v>5.0239600000000002E-2</v>
      </c>
      <c r="CS69" s="13">
        <f t="shared" si="91"/>
        <v>2.97703E-2</v>
      </c>
      <c r="CT69" s="13">
        <f t="shared" si="92"/>
        <v>2.30111E-2</v>
      </c>
      <c r="CU69" s="13">
        <f t="shared" si="93"/>
        <v>4.9976899999999991E-2</v>
      </c>
      <c r="CV69" s="13">
        <f t="shared" si="94"/>
        <v>1.90777E-2</v>
      </c>
      <c r="CW69" s="13">
        <f t="shared" si="95"/>
        <v>2.0653899999999999E-2</v>
      </c>
      <c r="CX69" s="13">
        <f t="shared" si="96"/>
        <v>2.4835799999999998E-2</v>
      </c>
      <c r="CY69" s="13">
        <f t="shared" si="97"/>
        <v>5.2454799999999996E-2</v>
      </c>
      <c r="CZ69" s="13">
        <f t="shared" si="98"/>
        <v>1.7813900000000001E-2</v>
      </c>
      <c r="DA69" s="127">
        <f t="shared" ref="DA69:DA73" si="104">CG69</f>
        <v>8.1436999999999985E-3</v>
      </c>
    </row>
    <row r="70" spans="1:105" x14ac:dyDescent="0.25">
      <c r="A70" s="11">
        <v>67</v>
      </c>
      <c r="B70" s="13">
        <f t="shared" si="99"/>
        <v>2.3769999999999999E-2</v>
      </c>
      <c r="C70" s="13">
        <f t="shared" si="3"/>
        <v>2.3460000000000002E-2</v>
      </c>
      <c r="D70" s="13">
        <f t="shared" si="4"/>
        <v>3.7190000000000001E-2</v>
      </c>
      <c r="E70" s="13">
        <f t="shared" si="5"/>
        <v>2.7269999999999999E-2</v>
      </c>
      <c r="F70" s="13">
        <f t="shared" si="6"/>
        <v>2.3709999999999998E-2</v>
      </c>
      <c r="G70" s="13">
        <f t="shared" si="7"/>
        <v>4.3430000000000003E-2</v>
      </c>
      <c r="H70" s="13">
        <f t="shared" si="8"/>
        <v>4.4769999999999997E-2</v>
      </c>
      <c r="I70" s="13">
        <f t="shared" si="9"/>
        <v>1.1860000000000001E-2</v>
      </c>
      <c r="J70" s="13">
        <f t="shared" si="10"/>
        <v>3.2259999999999997E-2</v>
      </c>
      <c r="K70" s="13">
        <f t="shared" si="11"/>
        <v>4.079E-2</v>
      </c>
      <c r="L70" s="13">
        <f t="shared" si="12"/>
        <v>4.3720000000000002E-2</v>
      </c>
      <c r="M70" s="13">
        <f t="shared" si="13"/>
        <v>5.663E-2</v>
      </c>
      <c r="N70" s="13">
        <f t="shared" si="14"/>
        <v>3.3119999999999997E-2</v>
      </c>
      <c r="O70" s="13">
        <f t="shared" si="15"/>
        <v>1.1469999999999999E-2</v>
      </c>
      <c r="P70" s="13">
        <f t="shared" si="16"/>
        <v>3.4139999999999997E-2</v>
      </c>
      <c r="Q70" s="13">
        <f t="shared" si="17"/>
        <v>7.1749999999999994E-2</v>
      </c>
      <c r="R70" s="13">
        <f t="shared" si="18"/>
        <v>2.5059999999999999E-2</v>
      </c>
      <c r="S70" s="13">
        <f t="shared" si="19"/>
        <v>4.2560000000000001E-2</v>
      </c>
      <c r="T70" s="13">
        <f t="shared" si="20"/>
        <v>4.3830000000000001E-2</v>
      </c>
      <c r="U70" s="13">
        <f t="shared" si="21"/>
        <v>5.3249999999999999E-2</v>
      </c>
      <c r="V70" s="13">
        <f t="shared" si="22"/>
        <v>3.2680000000000001E-2</v>
      </c>
      <c r="W70" s="13">
        <f t="shared" si="23"/>
        <v>6.1269999999999998E-2</v>
      </c>
      <c r="X70" s="13">
        <f t="shared" si="24"/>
        <v>1.12E-2</v>
      </c>
      <c r="Y70" s="13">
        <f t="shared" si="25"/>
        <v>4.3400000000000001E-2</v>
      </c>
      <c r="Z70" s="13">
        <f t="shared" si="26"/>
        <v>7.0760000000000003E-2</v>
      </c>
      <c r="AA70" s="13">
        <f t="shared" si="27"/>
        <v>4.1930000000000002E-2</v>
      </c>
      <c r="AB70" s="13">
        <f t="shared" si="28"/>
        <v>3.2410000000000001E-2</v>
      </c>
      <c r="AC70" s="13">
        <f t="shared" si="29"/>
        <v>7.0389999999999994E-2</v>
      </c>
      <c r="AD70" s="13">
        <f t="shared" si="30"/>
        <v>2.6870000000000002E-2</v>
      </c>
      <c r="AE70" s="13">
        <f t="shared" si="31"/>
        <v>2.9090000000000001E-2</v>
      </c>
      <c r="AF70" s="13">
        <f t="shared" si="32"/>
        <v>3.4979999999999997E-2</v>
      </c>
      <c r="AG70" s="13">
        <f t="shared" si="33"/>
        <v>7.3880000000000001E-2</v>
      </c>
      <c r="AH70" s="13">
        <f t="shared" si="34"/>
        <v>2.5090000000000001E-2</v>
      </c>
      <c r="AI70" s="127">
        <f t="shared" si="102"/>
        <v>1.1469999999999999E-2</v>
      </c>
      <c r="AJ70" s="16">
        <v>67</v>
      </c>
      <c r="AK70" s="13">
        <f t="shared" si="100"/>
        <v>3.3770000000000001E-2</v>
      </c>
      <c r="AL70" s="13">
        <f t="shared" si="35"/>
        <v>3.3460000000000004E-2</v>
      </c>
      <c r="AM70" s="13">
        <f t="shared" si="36"/>
        <v>4.7190000000000003E-2</v>
      </c>
      <c r="AN70" s="13">
        <f t="shared" si="37"/>
        <v>3.7269999999999998E-2</v>
      </c>
      <c r="AO70" s="13">
        <f t="shared" si="38"/>
        <v>3.3709999999999997E-2</v>
      </c>
      <c r="AP70" s="13">
        <f t="shared" si="39"/>
        <v>5.3430000000000005E-2</v>
      </c>
      <c r="AQ70" s="13">
        <f t="shared" si="40"/>
        <v>5.4769999999999999E-2</v>
      </c>
      <c r="AR70" s="13">
        <f t="shared" si="41"/>
        <v>2.1860000000000001E-2</v>
      </c>
      <c r="AS70" s="13">
        <f t="shared" si="42"/>
        <v>4.2259999999999999E-2</v>
      </c>
      <c r="AT70" s="13">
        <f t="shared" si="43"/>
        <v>5.0790000000000002E-2</v>
      </c>
      <c r="AU70" s="13">
        <f t="shared" si="44"/>
        <v>5.3720000000000004E-2</v>
      </c>
      <c r="AV70" s="13">
        <f t="shared" si="45"/>
        <v>6.6629999999999995E-2</v>
      </c>
      <c r="AW70" s="13">
        <f t="shared" si="46"/>
        <v>4.3119999999999999E-2</v>
      </c>
      <c r="AX70" s="13">
        <f t="shared" si="47"/>
        <v>2.147E-2</v>
      </c>
      <c r="AY70" s="13">
        <f t="shared" si="48"/>
        <v>4.4139999999999999E-2</v>
      </c>
      <c r="AZ70" s="13">
        <f t="shared" si="49"/>
        <v>8.1749999999999989E-2</v>
      </c>
      <c r="BA70" s="13">
        <f t="shared" si="50"/>
        <v>3.5060000000000001E-2</v>
      </c>
      <c r="BB70" s="13">
        <f t="shared" si="51"/>
        <v>5.2560000000000003E-2</v>
      </c>
      <c r="BC70" s="13">
        <f t="shared" si="52"/>
        <v>5.3830000000000003E-2</v>
      </c>
      <c r="BD70" s="13">
        <f t="shared" si="53"/>
        <v>6.3250000000000001E-2</v>
      </c>
      <c r="BE70" s="13">
        <f t="shared" si="54"/>
        <v>4.2680000000000003E-2</v>
      </c>
      <c r="BF70" s="13">
        <f t="shared" si="55"/>
        <v>7.127E-2</v>
      </c>
      <c r="BG70" s="13">
        <f t="shared" si="56"/>
        <v>2.12E-2</v>
      </c>
      <c r="BH70" s="13">
        <f t="shared" si="57"/>
        <v>5.3400000000000003E-2</v>
      </c>
      <c r="BI70" s="13">
        <f t="shared" si="58"/>
        <v>8.0759999999999998E-2</v>
      </c>
      <c r="BJ70" s="13">
        <f t="shared" si="59"/>
        <v>5.1930000000000004E-2</v>
      </c>
      <c r="BK70" s="13">
        <f t="shared" si="60"/>
        <v>4.2410000000000003E-2</v>
      </c>
      <c r="BL70" s="13">
        <f t="shared" si="61"/>
        <v>8.0389999999999989E-2</v>
      </c>
      <c r="BM70" s="13">
        <f t="shared" si="62"/>
        <v>3.687E-2</v>
      </c>
      <c r="BN70" s="13">
        <f t="shared" si="63"/>
        <v>3.909E-2</v>
      </c>
      <c r="BO70" s="13">
        <f t="shared" si="64"/>
        <v>4.4979999999999999E-2</v>
      </c>
      <c r="BP70" s="13">
        <f t="shared" si="65"/>
        <v>8.3879999999999996E-2</v>
      </c>
      <c r="BQ70" s="13">
        <f t="shared" si="66"/>
        <v>3.5090000000000003E-2</v>
      </c>
      <c r="BR70" s="127">
        <f t="shared" si="103"/>
        <v>2.147E-2</v>
      </c>
      <c r="BS70" s="16">
        <v>67</v>
      </c>
      <c r="BT70" s="13">
        <f t="shared" si="101"/>
        <v>1.6876699999999998E-2</v>
      </c>
      <c r="BU70" s="13">
        <f t="shared" si="67"/>
        <v>1.6656600000000001E-2</v>
      </c>
      <c r="BV70" s="13">
        <f t="shared" si="68"/>
        <v>2.6404899999999999E-2</v>
      </c>
      <c r="BW70" s="13">
        <f t="shared" si="69"/>
        <v>1.9361699999999999E-2</v>
      </c>
      <c r="BX70" s="13">
        <f t="shared" si="70"/>
        <v>1.6834099999999998E-2</v>
      </c>
      <c r="BY70" s="13">
        <f t="shared" si="71"/>
        <v>3.08353E-2</v>
      </c>
      <c r="BZ70" s="13">
        <f t="shared" si="72"/>
        <v>3.1786699999999994E-2</v>
      </c>
      <c r="CA70" s="13">
        <f t="shared" si="73"/>
        <v>8.4206000000000003E-3</v>
      </c>
      <c r="CB70" s="13">
        <f t="shared" si="74"/>
        <v>2.2904599999999997E-2</v>
      </c>
      <c r="CC70" s="13">
        <f t="shared" si="75"/>
        <v>2.8960899999999998E-2</v>
      </c>
      <c r="CD70" s="13">
        <f t="shared" si="76"/>
        <v>3.1041200000000001E-2</v>
      </c>
      <c r="CE70" s="13">
        <f t="shared" si="77"/>
        <v>4.0207299999999994E-2</v>
      </c>
      <c r="CF70" s="13">
        <f t="shared" si="78"/>
        <v>2.3515199999999997E-2</v>
      </c>
      <c r="CG70" s="13">
        <f t="shared" si="79"/>
        <v>8.1436999999999985E-3</v>
      </c>
      <c r="CH70" s="13">
        <f t="shared" si="80"/>
        <v>2.4239399999999998E-2</v>
      </c>
      <c r="CI70" s="13">
        <f t="shared" si="81"/>
        <v>5.0942499999999995E-2</v>
      </c>
      <c r="CJ70" s="13">
        <f t="shared" si="82"/>
        <v>1.7792599999999999E-2</v>
      </c>
      <c r="CK70" s="13">
        <f t="shared" si="83"/>
        <v>3.0217599999999997E-2</v>
      </c>
      <c r="CL70" s="13">
        <f t="shared" si="84"/>
        <v>3.1119299999999999E-2</v>
      </c>
      <c r="CM70" s="13">
        <f t="shared" si="85"/>
        <v>3.7807499999999994E-2</v>
      </c>
      <c r="CN70" s="13">
        <f t="shared" si="86"/>
        <v>2.3202799999999999E-2</v>
      </c>
      <c r="CO70" s="13">
        <f t="shared" si="87"/>
        <v>4.3501699999999997E-2</v>
      </c>
      <c r="CP70" s="13">
        <f t="shared" si="88"/>
        <v>7.951999999999999E-3</v>
      </c>
      <c r="CQ70" s="13">
        <f t="shared" si="89"/>
        <v>3.0813999999999998E-2</v>
      </c>
      <c r="CR70" s="13">
        <f t="shared" si="90"/>
        <v>5.0239600000000002E-2</v>
      </c>
      <c r="CS70" s="13">
        <f t="shared" si="91"/>
        <v>2.97703E-2</v>
      </c>
      <c r="CT70" s="13">
        <f t="shared" si="92"/>
        <v>2.30111E-2</v>
      </c>
      <c r="CU70" s="13">
        <f t="shared" si="93"/>
        <v>4.9976899999999991E-2</v>
      </c>
      <c r="CV70" s="13">
        <f t="shared" si="94"/>
        <v>1.90777E-2</v>
      </c>
      <c r="CW70" s="13">
        <f t="shared" si="95"/>
        <v>2.0653899999999999E-2</v>
      </c>
      <c r="CX70" s="13">
        <f t="shared" si="96"/>
        <v>2.4835799999999998E-2</v>
      </c>
      <c r="CY70" s="13">
        <f t="shared" si="97"/>
        <v>5.2454799999999996E-2</v>
      </c>
      <c r="CZ70" s="13">
        <f t="shared" si="98"/>
        <v>1.7813900000000001E-2</v>
      </c>
      <c r="DA70" s="127">
        <f t="shared" si="104"/>
        <v>8.1436999999999985E-3</v>
      </c>
    </row>
    <row r="71" spans="1:105" x14ac:dyDescent="0.25">
      <c r="A71" s="11">
        <v>68</v>
      </c>
      <c r="B71" s="13">
        <f t="shared" si="99"/>
        <v>2.3769999999999999E-2</v>
      </c>
      <c r="C71" s="13">
        <f t="shared" si="3"/>
        <v>2.3460000000000002E-2</v>
      </c>
      <c r="D71" s="13">
        <f t="shared" si="4"/>
        <v>3.7190000000000001E-2</v>
      </c>
      <c r="E71" s="13">
        <f t="shared" si="5"/>
        <v>2.7269999999999999E-2</v>
      </c>
      <c r="F71" s="13">
        <f t="shared" si="6"/>
        <v>2.3709999999999998E-2</v>
      </c>
      <c r="G71" s="13">
        <f t="shared" si="7"/>
        <v>4.3430000000000003E-2</v>
      </c>
      <c r="H71" s="13">
        <f t="shared" si="8"/>
        <v>4.4769999999999997E-2</v>
      </c>
      <c r="I71" s="13">
        <f t="shared" si="9"/>
        <v>1.1860000000000001E-2</v>
      </c>
      <c r="J71" s="13">
        <f t="shared" si="10"/>
        <v>3.2259999999999997E-2</v>
      </c>
      <c r="K71" s="13">
        <f t="shared" si="11"/>
        <v>4.079E-2</v>
      </c>
      <c r="L71" s="13">
        <f t="shared" si="12"/>
        <v>4.3720000000000002E-2</v>
      </c>
      <c r="M71" s="13">
        <f t="shared" si="13"/>
        <v>5.663E-2</v>
      </c>
      <c r="N71" s="13">
        <f t="shared" si="14"/>
        <v>3.3119999999999997E-2</v>
      </c>
      <c r="O71" s="13">
        <f t="shared" si="15"/>
        <v>1.1469999999999999E-2</v>
      </c>
      <c r="P71" s="13">
        <f t="shared" si="16"/>
        <v>3.4139999999999997E-2</v>
      </c>
      <c r="Q71" s="13">
        <f t="shared" si="17"/>
        <v>7.1749999999999994E-2</v>
      </c>
      <c r="R71" s="13">
        <f t="shared" si="18"/>
        <v>2.5059999999999999E-2</v>
      </c>
      <c r="S71" s="13">
        <f t="shared" si="19"/>
        <v>4.2560000000000001E-2</v>
      </c>
      <c r="T71" s="13">
        <f t="shared" si="20"/>
        <v>4.3830000000000001E-2</v>
      </c>
      <c r="U71" s="13">
        <f t="shared" si="21"/>
        <v>5.3249999999999999E-2</v>
      </c>
      <c r="V71" s="13">
        <f t="shared" si="22"/>
        <v>3.2680000000000001E-2</v>
      </c>
      <c r="W71" s="13">
        <f t="shared" si="23"/>
        <v>6.1269999999999998E-2</v>
      </c>
      <c r="X71" s="13">
        <f t="shared" si="24"/>
        <v>1.12E-2</v>
      </c>
      <c r="Y71" s="13">
        <f t="shared" si="25"/>
        <v>4.3400000000000001E-2</v>
      </c>
      <c r="Z71" s="13">
        <f t="shared" si="26"/>
        <v>7.0760000000000003E-2</v>
      </c>
      <c r="AA71" s="13">
        <f t="shared" si="27"/>
        <v>4.1930000000000002E-2</v>
      </c>
      <c r="AB71" s="13">
        <f t="shared" si="28"/>
        <v>3.2410000000000001E-2</v>
      </c>
      <c r="AC71" s="13">
        <f t="shared" si="29"/>
        <v>7.0389999999999994E-2</v>
      </c>
      <c r="AD71" s="13">
        <f t="shared" si="30"/>
        <v>2.6870000000000002E-2</v>
      </c>
      <c r="AE71" s="13">
        <f t="shared" si="31"/>
        <v>2.9090000000000001E-2</v>
      </c>
      <c r="AF71" s="13">
        <f t="shared" si="32"/>
        <v>3.4979999999999997E-2</v>
      </c>
      <c r="AG71" s="13">
        <f t="shared" si="33"/>
        <v>7.3880000000000001E-2</v>
      </c>
      <c r="AH71" s="13">
        <f t="shared" si="34"/>
        <v>2.5090000000000001E-2</v>
      </c>
      <c r="AI71" s="127">
        <f t="shared" si="102"/>
        <v>1.1469999999999999E-2</v>
      </c>
      <c r="AJ71" s="16">
        <v>68</v>
      </c>
      <c r="AK71" s="13">
        <f t="shared" si="100"/>
        <v>3.3770000000000001E-2</v>
      </c>
      <c r="AL71" s="13">
        <f t="shared" si="35"/>
        <v>3.3460000000000004E-2</v>
      </c>
      <c r="AM71" s="13">
        <f t="shared" si="36"/>
        <v>4.7190000000000003E-2</v>
      </c>
      <c r="AN71" s="13">
        <f t="shared" si="37"/>
        <v>3.7269999999999998E-2</v>
      </c>
      <c r="AO71" s="13">
        <f t="shared" si="38"/>
        <v>3.3709999999999997E-2</v>
      </c>
      <c r="AP71" s="13">
        <f t="shared" si="39"/>
        <v>5.3430000000000005E-2</v>
      </c>
      <c r="AQ71" s="13">
        <f t="shared" si="40"/>
        <v>5.4769999999999999E-2</v>
      </c>
      <c r="AR71" s="13">
        <f t="shared" si="41"/>
        <v>2.1860000000000001E-2</v>
      </c>
      <c r="AS71" s="13">
        <f t="shared" si="42"/>
        <v>4.2259999999999999E-2</v>
      </c>
      <c r="AT71" s="13">
        <f t="shared" si="43"/>
        <v>5.0790000000000002E-2</v>
      </c>
      <c r="AU71" s="13">
        <f t="shared" si="44"/>
        <v>5.3720000000000004E-2</v>
      </c>
      <c r="AV71" s="13">
        <f t="shared" si="45"/>
        <v>6.6629999999999995E-2</v>
      </c>
      <c r="AW71" s="13">
        <f t="shared" si="46"/>
        <v>4.3119999999999999E-2</v>
      </c>
      <c r="AX71" s="13">
        <f t="shared" si="47"/>
        <v>2.147E-2</v>
      </c>
      <c r="AY71" s="13">
        <f t="shared" si="48"/>
        <v>4.4139999999999999E-2</v>
      </c>
      <c r="AZ71" s="13">
        <f t="shared" si="49"/>
        <v>8.1749999999999989E-2</v>
      </c>
      <c r="BA71" s="13">
        <f t="shared" si="50"/>
        <v>3.5060000000000001E-2</v>
      </c>
      <c r="BB71" s="13">
        <f t="shared" si="51"/>
        <v>5.2560000000000003E-2</v>
      </c>
      <c r="BC71" s="13">
        <f t="shared" si="52"/>
        <v>5.3830000000000003E-2</v>
      </c>
      <c r="BD71" s="13">
        <f t="shared" si="53"/>
        <v>6.3250000000000001E-2</v>
      </c>
      <c r="BE71" s="13">
        <f t="shared" si="54"/>
        <v>4.2680000000000003E-2</v>
      </c>
      <c r="BF71" s="13">
        <f t="shared" si="55"/>
        <v>7.127E-2</v>
      </c>
      <c r="BG71" s="13">
        <f t="shared" si="56"/>
        <v>2.12E-2</v>
      </c>
      <c r="BH71" s="13">
        <f t="shared" si="57"/>
        <v>5.3400000000000003E-2</v>
      </c>
      <c r="BI71" s="13">
        <f t="shared" si="58"/>
        <v>8.0759999999999998E-2</v>
      </c>
      <c r="BJ71" s="13">
        <f t="shared" si="59"/>
        <v>5.1930000000000004E-2</v>
      </c>
      <c r="BK71" s="13">
        <f t="shared" si="60"/>
        <v>4.2410000000000003E-2</v>
      </c>
      <c r="BL71" s="13">
        <f t="shared" si="61"/>
        <v>8.0389999999999989E-2</v>
      </c>
      <c r="BM71" s="13">
        <f t="shared" si="62"/>
        <v>3.687E-2</v>
      </c>
      <c r="BN71" s="13">
        <f t="shared" si="63"/>
        <v>3.909E-2</v>
      </c>
      <c r="BO71" s="13">
        <f t="shared" si="64"/>
        <v>4.4979999999999999E-2</v>
      </c>
      <c r="BP71" s="13">
        <f t="shared" si="65"/>
        <v>8.3879999999999996E-2</v>
      </c>
      <c r="BQ71" s="13">
        <f t="shared" si="66"/>
        <v>3.5090000000000003E-2</v>
      </c>
      <c r="BR71" s="127">
        <f t="shared" si="103"/>
        <v>2.147E-2</v>
      </c>
      <c r="BS71" s="16">
        <v>68</v>
      </c>
      <c r="BT71" s="13">
        <f t="shared" si="101"/>
        <v>1.6876699999999998E-2</v>
      </c>
      <c r="BU71" s="13">
        <f t="shared" si="67"/>
        <v>1.6656600000000001E-2</v>
      </c>
      <c r="BV71" s="13">
        <f t="shared" si="68"/>
        <v>2.6404899999999999E-2</v>
      </c>
      <c r="BW71" s="13">
        <f t="shared" si="69"/>
        <v>1.9361699999999999E-2</v>
      </c>
      <c r="BX71" s="13">
        <f t="shared" si="70"/>
        <v>1.6834099999999998E-2</v>
      </c>
      <c r="BY71" s="13">
        <f t="shared" si="71"/>
        <v>3.08353E-2</v>
      </c>
      <c r="BZ71" s="13">
        <f t="shared" si="72"/>
        <v>3.1786699999999994E-2</v>
      </c>
      <c r="CA71" s="13">
        <f t="shared" si="73"/>
        <v>8.4206000000000003E-3</v>
      </c>
      <c r="CB71" s="13">
        <f t="shared" si="74"/>
        <v>2.2904599999999997E-2</v>
      </c>
      <c r="CC71" s="13">
        <f t="shared" si="75"/>
        <v>2.8960899999999998E-2</v>
      </c>
      <c r="CD71" s="13">
        <f t="shared" si="76"/>
        <v>3.1041200000000001E-2</v>
      </c>
      <c r="CE71" s="13">
        <f t="shared" si="77"/>
        <v>4.0207299999999994E-2</v>
      </c>
      <c r="CF71" s="13">
        <f t="shared" si="78"/>
        <v>2.3515199999999997E-2</v>
      </c>
      <c r="CG71" s="13">
        <f t="shared" si="79"/>
        <v>8.1436999999999985E-3</v>
      </c>
      <c r="CH71" s="13">
        <f t="shared" si="80"/>
        <v>2.4239399999999998E-2</v>
      </c>
      <c r="CI71" s="13">
        <f t="shared" si="81"/>
        <v>5.0942499999999995E-2</v>
      </c>
      <c r="CJ71" s="13">
        <f t="shared" si="82"/>
        <v>1.7792599999999999E-2</v>
      </c>
      <c r="CK71" s="13">
        <f t="shared" si="83"/>
        <v>3.0217599999999997E-2</v>
      </c>
      <c r="CL71" s="13">
        <f t="shared" si="84"/>
        <v>3.1119299999999999E-2</v>
      </c>
      <c r="CM71" s="13">
        <f t="shared" si="85"/>
        <v>3.7807499999999994E-2</v>
      </c>
      <c r="CN71" s="13">
        <f t="shared" si="86"/>
        <v>2.3202799999999999E-2</v>
      </c>
      <c r="CO71" s="13">
        <f t="shared" si="87"/>
        <v>4.3501699999999997E-2</v>
      </c>
      <c r="CP71" s="13">
        <f t="shared" si="88"/>
        <v>7.951999999999999E-3</v>
      </c>
      <c r="CQ71" s="13">
        <f t="shared" si="89"/>
        <v>3.0813999999999998E-2</v>
      </c>
      <c r="CR71" s="13">
        <f t="shared" si="90"/>
        <v>5.0239600000000002E-2</v>
      </c>
      <c r="CS71" s="13">
        <f t="shared" si="91"/>
        <v>2.97703E-2</v>
      </c>
      <c r="CT71" s="13">
        <f t="shared" si="92"/>
        <v>2.30111E-2</v>
      </c>
      <c r="CU71" s="13">
        <f t="shared" si="93"/>
        <v>4.9976899999999991E-2</v>
      </c>
      <c r="CV71" s="13">
        <f t="shared" si="94"/>
        <v>1.90777E-2</v>
      </c>
      <c r="CW71" s="13">
        <f t="shared" si="95"/>
        <v>2.0653899999999999E-2</v>
      </c>
      <c r="CX71" s="13">
        <f t="shared" si="96"/>
        <v>2.4835799999999998E-2</v>
      </c>
      <c r="CY71" s="13">
        <f t="shared" si="97"/>
        <v>5.2454799999999996E-2</v>
      </c>
      <c r="CZ71" s="13">
        <f t="shared" si="98"/>
        <v>1.7813900000000001E-2</v>
      </c>
      <c r="DA71" s="127">
        <f t="shared" si="104"/>
        <v>8.1436999999999985E-3</v>
      </c>
    </row>
    <row r="72" spans="1:105" x14ac:dyDescent="0.25">
      <c r="A72" s="11">
        <v>69</v>
      </c>
      <c r="B72" s="13">
        <f t="shared" si="99"/>
        <v>2.3769999999999999E-2</v>
      </c>
      <c r="C72" s="13">
        <f t="shared" si="3"/>
        <v>2.3460000000000002E-2</v>
      </c>
      <c r="D72" s="13">
        <f t="shared" si="4"/>
        <v>3.7190000000000001E-2</v>
      </c>
      <c r="E72" s="13">
        <f t="shared" si="5"/>
        <v>2.7269999999999999E-2</v>
      </c>
      <c r="F72" s="13">
        <f t="shared" si="6"/>
        <v>2.3709999999999998E-2</v>
      </c>
      <c r="G72" s="13">
        <f t="shared" si="7"/>
        <v>4.3430000000000003E-2</v>
      </c>
      <c r="H72" s="13">
        <f t="shared" si="8"/>
        <v>4.4769999999999997E-2</v>
      </c>
      <c r="I72" s="13">
        <f t="shared" si="9"/>
        <v>1.1860000000000001E-2</v>
      </c>
      <c r="J72" s="13">
        <f t="shared" si="10"/>
        <v>3.2259999999999997E-2</v>
      </c>
      <c r="K72" s="13">
        <f t="shared" si="11"/>
        <v>4.079E-2</v>
      </c>
      <c r="L72" s="13">
        <f t="shared" si="12"/>
        <v>4.3720000000000002E-2</v>
      </c>
      <c r="M72" s="13">
        <f t="shared" si="13"/>
        <v>5.663E-2</v>
      </c>
      <c r="N72" s="13">
        <f t="shared" si="14"/>
        <v>3.3119999999999997E-2</v>
      </c>
      <c r="O72" s="13">
        <f t="shared" si="15"/>
        <v>1.1469999999999999E-2</v>
      </c>
      <c r="P72" s="13">
        <f t="shared" si="16"/>
        <v>3.4139999999999997E-2</v>
      </c>
      <c r="Q72" s="13">
        <f t="shared" si="17"/>
        <v>7.1749999999999994E-2</v>
      </c>
      <c r="R72" s="13">
        <f t="shared" si="18"/>
        <v>2.5059999999999999E-2</v>
      </c>
      <c r="S72" s="13">
        <f t="shared" si="19"/>
        <v>4.2560000000000001E-2</v>
      </c>
      <c r="T72" s="13">
        <f t="shared" si="20"/>
        <v>4.3830000000000001E-2</v>
      </c>
      <c r="U72" s="13">
        <f t="shared" si="21"/>
        <v>5.3249999999999999E-2</v>
      </c>
      <c r="V72" s="13">
        <f t="shared" si="22"/>
        <v>3.2680000000000001E-2</v>
      </c>
      <c r="W72" s="13">
        <f t="shared" si="23"/>
        <v>6.1269999999999998E-2</v>
      </c>
      <c r="X72" s="13">
        <f t="shared" si="24"/>
        <v>1.12E-2</v>
      </c>
      <c r="Y72" s="13">
        <f t="shared" si="25"/>
        <v>4.3400000000000001E-2</v>
      </c>
      <c r="Z72" s="13">
        <f t="shared" si="26"/>
        <v>7.0760000000000003E-2</v>
      </c>
      <c r="AA72" s="13">
        <f t="shared" si="27"/>
        <v>4.1930000000000002E-2</v>
      </c>
      <c r="AB72" s="13">
        <f t="shared" si="28"/>
        <v>3.2410000000000001E-2</v>
      </c>
      <c r="AC72" s="13">
        <f t="shared" si="29"/>
        <v>7.0389999999999994E-2</v>
      </c>
      <c r="AD72" s="13">
        <f t="shared" si="30"/>
        <v>2.6870000000000002E-2</v>
      </c>
      <c r="AE72" s="13">
        <f t="shared" si="31"/>
        <v>2.9090000000000001E-2</v>
      </c>
      <c r="AF72" s="13">
        <f t="shared" si="32"/>
        <v>3.4979999999999997E-2</v>
      </c>
      <c r="AG72" s="13">
        <f t="shared" si="33"/>
        <v>7.3880000000000001E-2</v>
      </c>
      <c r="AH72" s="13">
        <f t="shared" si="34"/>
        <v>2.5090000000000001E-2</v>
      </c>
      <c r="AI72" s="127">
        <f t="shared" si="102"/>
        <v>1.1469999999999999E-2</v>
      </c>
      <c r="AJ72" s="16">
        <v>69</v>
      </c>
      <c r="AK72" s="13">
        <f t="shared" si="100"/>
        <v>3.3770000000000001E-2</v>
      </c>
      <c r="AL72" s="13">
        <f t="shared" si="35"/>
        <v>3.3460000000000004E-2</v>
      </c>
      <c r="AM72" s="13">
        <f t="shared" si="36"/>
        <v>4.7190000000000003E-2</v>
      </c>
      <c r="AN72" s="13">
        <f t="shared" si="37"/>
        <v>3.7269999999999998E-2</v>
      </c>
      <c r="AO72" s="13">
        <f t="shared" si="38"/>
        <v>3.3709999999999997E-2</v>
      </c>
      <c r="AP72" s="13">
        <f t="shared" si="39"/>
        <v>5.3430000000000005E-2</v>
      </c>
      <c r="AQ72" s="13">
        <f t="shared" si="40"/>
        <v>5.4769999999999999E-2</v>
      </c>
      <c r="AR72" s="13">
        <f t="shared" si="41"/>
        <v>2.1860000000000001E-2</v>
      </c>
      <c r="AS72" s="13">
        <f t="shared" si="42"/>
        <v>4.2259999999999999E-2</v>
      </c>
      <c r="AT72" s="13">
        <f t="shared" si="43"/>
        <v>5.0790000000000002E-2</v>
      </c>
      <c r="AU72" s="13">
        <f t="shared" si="44"/>
        <v>5.3720000000000004E-2</v>
      </c>
      <c r="AV72" s="13">
        <f t="shared" si="45"/>
        <v>6.6629999999999995E-2</v>
      </c>
      <c r="AW72" s="13">
        <f t="shared" si="46"/>
        <v>4.3119999999999999E-2</v>
      </c>
      <c r="AX72" s="13">
        <f t="shared" si="47"/>
        <v>2.147E-2</v>
      </c>
      <c r="AY72" s="13">
        <f t="shared" si="48"/>
        <v>4.4139999999999999E-2</v>
      </c>
      <c r="AZ72" s="13">
        <f t="shared" si="49"/>
        <v>8.1749999999999989E-2</v>
      </c>
      <c r="BA72" s="13">
        <f t="shared" si="50"/>
        <v>3.5060000000000001E-2</v>
      </c>
      <c r="BB72" s="13">
        <f t="shared" si="51"/>
        <v>5.2560000000000003E-2</v>
      </c>
      <c r="BC72" s="13">
        <f t="shared" si="52"/>
        <v>5.3830000000000003E-2</v>
      </c>
      <c r="BD72" s="13">
        <f t="shared" si="53"/>
        <v>6.3250000000000001E-2</v>
      </c>
      <c r="BE72" s="13">
        <f t="shared" si="54"/>
        <v>4.2680000000000003E-2</v>
      </c>
      <c r="BF72" s="13">
        <f t="shared" si="55"/>
        <v>7.127E-2</v>
      </c>
      <c r="BG72" s="13">
        <f t="shared" si="56"/>
        <v>2.12E-2</v>
      </c>
      <c r="BH72" s="13">
        <f t="shared" si="57"/>
        <v>5.3400000000000003E-2</v>
      </c>
      <c r="BI72" s="13">
        <f t="shared" si="58"/>
        <v>8.0759999999999998E-2</v>
      </c>
      <c r="BJ72" s="13">
        <f t="shared" si="59"/>
        <v>5.1930000000000004E-2</v>
      </c>
      <c r="BK72" s="13">
        <f t="shared" si="60"/>
        <v>4.2410000000000003E-2</v>
      </c>
      <c r="BL72" s="13">
        <f t="shared" si="61"/>
        <v>8.0389999999999989E-2</v>
      </c>
      <c r="BM72" s="13">
        <f t="shared" si="62"/>
        <v>3.687E-2</v>
      </c>
      <c r="BN72" s="13">
        <f t="shared" si="63"/>
        <v>3.909E-2</v>
      </c>
      <c r="BO72" s="13">
        <f t="shared" si="64"/>
        <v>4.4979999999999999E-2</v>
      </c>
      <c r="BP72" s="13">
        <f t="shared" si="65"/>
        <v>8.3879999999999996E-2</v>
      </c>
      <c r="BQ72" s="13">
        <f t="shared" si="66"/>
        <v>3.5090000000000003E-2</v>
      </c>
      <c r="BR72" s="127">
        <f t="shared" si="103"/>
        <v>2.147E-2</v>
      </c>
      <c r="BS72" s="16">
        <v>69</v>
      </c>
      <c r="BT72" s="13">
        <f t="shared" si="101"/>
        <v>1.6876699999999998E-2</v>
      </c>
      <c r="BU72" s="13">
        <f t="shared" si="67"/>
        <v>1.6656600000000001E-2</v>
      </c>
      <c r="BV72" s="13">
        <f t="shared" si="68"/>
        <v>2.6404899999999999E-2</v>
      </c>
      <c r="BW72" s="13">
        <f t="shared" si="69"/>
        <v>1.9361699999999999E-2</v>
      </c>
      <c r="BX72" s="13">
        <f t="shared" si="70"/>
        <v>1.6834099999999998E-2</v>
      </c>
      <c r="BY72" s="13">
        <f t="shared" si="71"/>
        <v>3.08353E-2</v>
      </c>
      <c r="BZ72" s="13">
        <f t="shared" si="72"/>
        <v>3.1786699999999994E-2</v>
      </c>
      <c r="CA72" s="13">
        <f t="shared" si="73"/>
        <v>8.4206000000000003E-3</v>
      </c>
      <c r="CB72" s="13">
        <f t="shared" si="74"/>
        <v>2.2904599999999997E-2</v>
      </c>
      <c r="CC72" s="13">
        <f t="shared" si="75"/>
        <v>2.8960899999999998E-2</v>
      </c>
      <c r="CD72" s="13">
        <f t="shared" si="76"/>
        <v>3.1041200000000001E-2</v>
      </c>
      <c r="CE72" s="13">
        <f t="shared" si="77"/>
        <v>4.0207299999999994E-2</v>
      </c>
      <c r="CF72" s="13">
        <f t="shared" si="78"/>
        <v>2.3515199999999997E-2</v>
      </c>
      <c r="CG72" s="13">
        <f t="shared" si="79"/>
        <v>8.1436999999999985E-3</v>
      </c>
      <c r="CH72" s="13">
        <f t="shared" si="80"/>
        <v>2.4239399999999998E-2</v>
      </c>
      <c r="CI72" s="13">
        <f t="shared" si="81"/>
        <v>5.0942499999999995E-2</v>
      </c>
      <c r="CJ72" s="13">
        <f t="shared" si="82"/>
        <v>1.7792599999999999E-2</v>
      </c>
      <c r="CK72" s="13">
        <f t="shared" si="83"/>
        <v>3.0217599999999997E-2</v>
      </c>
      <c r="CL72" s="13">
        <f t="shared" si="84"/>
        <v>3.1119299999999999E-2</v>
      </c>
      <c r="CM72" s="13">
        <f t="shared" si="85"/>
        <v>3.7807499999999994E-2</v>
      </c>
      <c r="CN72" s="13">
        <f t="shared" si="86"/>
        <v>2.3202799999999999E-2</v>
      </c>
      <c r="CO72" s="13">
        <f t="shared" si="87"/>
        <v>4.3501699999999997E-2</v>
      </c>
      <c r="CP72" s="13">
        <f t="shared" si="88"/>
        <v>7.951999999999999E-3</v>
      </c>
      <c r="CQ72" s="13">
        <f t="shared" si="89"/>
        <v>3.0813999999999998E-2</v>
      </c>
      <c r="CR72" s="13">
        <f t="shared" si="90"/>
        <v>5.0239600000000002E-2</v>
      </c>
      <c r="CS72" s="13">
        <f t="shared" si="91"/>
        <v>2.97703E-2</v>
      </c>
      <c r="CT72" s="13">
        <f t="shared" si="92"/>
        <v>2.30111E-2</v>
      </c>
      <c r="CU72" s="13">
        <f t="shared" si="93"/>
        <v>4.9976899999999991E-2</v>
      </c>
      <c r="CV72" s="13">
        <f t="shared" si="94"/>
        <v>1.90777E-2</v>
      </c>
      <c r="CW72" s="13">
        <f t="shared" si="95"/>
        <v>2.0653899999999999E-2</v>
      </c>
      <c r="CX72" s="13">
        <f t="shared" si="96"/>
        <v>2.4835799999999998E-2</v>
      </c>
      <c r="CY72" s="13">
        <f t="shared" si="97"/>
        <v>5.2454799999999996E-2</v>
      </c>
      <c r="CZ72" s="13">
        <f t="shared" si="98"/>
        <v>1.7813900000000001E-2</v>
      </c>
      <c r="DA72" s="127">
        <f t="shared" si="104"/>
        <v>8.1436999999999985E-3</v>
      </c>
    </row>
    <row r="73" spans="1:105" x14ac:dyDescent="0.25">
      <c r="A73" s="11">
        <v>70</v>
      </c>
      <c r="B73" s="13">
        <f t="shared" si="99"/>
        <v>2.3769999999999999E-2</v>
      </c>
      <c r="C73" s="13">
        <f t="shared" si="3"/>
        <v>2.3460000000000002E-2</v>
      </c>
      <c r="D73" s="13">
        <f t="shared" si="4"/>
        <v>3.7190000000000001E-2</v>
      </c>
      <c r="E73" s="13">
        <f t="shared" si="5"/>
        <v>2.7269999999999999E-2</v>
      </c>
      <c r="F73" s="13">
        <f t="shared" si="6"/>
        <v>2.3709999999999998E-2</v>
      </c>
      <c r="G73" s="13">
        <f t="shared" si="7"/>
        <v>4.3430000000000003E-2</v>
      </c>
      <c r="H73" s="13">
        <f t="shared" si="8"/>
        <v>4.4769999999999997E-2</v>
      </c>
      <c r="I73" s="13">
        <f t="shared" si="9"/>
        <v>1.1860000000000001E-2</v>
      </c>
      <c r="J73" s="13">
        <f t="shared" si="10"/>
        <v>3.2259999999999997E-2</v>
      </c>
      <c r="K73" s="13">
        <f t="shared" si="11"/>
        <v>4.079E-2</v>
      </c>
      <c r="L73" s="13">
        <f t="shared" si="12"/>
        <v>4.3720000000000002E-2</v>
      </c>
      <c r="M73" s="13">
        <f t="shared" si="13"/>
        <v>5.663E-2</v>
      </c>
      <c r="N73" s="13">
        <f t="shared" si="14"/>
        <v>3.3119999999999997E-2</v>
      </c>
      <c r="O73" s="13">
        <f t="shared" si="15"/>
        <v>1.1469999999999999E-2</v>
      </c>
      <c r="P73" s="13">
        <f t="shared" si="16"/>
        <v>3.4139999999999997E-2</v>
      </c>
      <c r="Q73" s="13">
        <f t="shared" si="17"/>
        <v>7.1749999999999994E-2</v>
      </c>
      <c r="R73" s="13">
        <f t="shared" si="18"/>
        <v>2.5059999999999999E-2</v>
      </c>
      <c r="S73" s="13">
        <f t="shared" si="19"/>
        <v>4.2560000000000001E-2</v>
      </c>
      <c r="T73" s="13">
        <f t="shared" si="20"/>
        <v>4.3830000000000001E-2</v>
      </c>
      <c r="U73" s="13">
        <f t="shared" si="21"/>
        <v>5.3249999999999999E-2</v>
      </c>
      <c r="V73" s="13">
        <f t="shared" si="22"/>
        <v>3.2680000000000001E-2</v>
      </c>
      <c r="W73" s="13">
        <f t="shared" si="23"/>
        <v>6.1269999999999998E-2</v>
      </c>
      <c r="X73" s="13">
        <f t="shared" si="24"/>
        <v>1.12E-2</v>
      </c>
      <c r="Y73" s="13">
        <f t="shared" si="25"/>
        <v>4.3400000000000001E-2</v>
      </c>
      <c r="Z73" s="13">
        <f t="shared" si="26"/>
        <v>7.0760000000000003E-2</v>
      </c>
      <c r="AA73" s="13">
        <f t="shared" si="27"/>
        <v>4.1930000000000002E-2</v>
      </c>
      <c r="AB73" s="13">
        <f t="shared" si="28"/>
        <v>3.2410000000000001E-2</v>
      </c>
      <c r="AC73" s="13">
        <f t="shared" si="29"/>
        <v>7.0389999999999994E-2</v>
      </c>
      <c r="AD73" s="13">
        <f t="shared" si="30"/>
        <v>2.6870000000000002E-2</v>
      </c>
      <c r="AE73" s="13">
        <f t="shared" si="31"/>
        <v>2.9090000000000001E-2</v>
      </c>
      <c r="AF73" s="13">
        <f t="shared" si="32"/>
        <v>3.4979999999999997E-2</v>
      </c>
      <c r="AG73" s="13">
        <f t="shared" si="33"/>
        <v>7.3880000000000001E-2</v>
      </c>
      <c r="AH73" s="13">
        <f t="shared" si="34"/>
        <v>2.5090000000000001E-2</v>
      </c>
      <c r="AI73" s="127">
        <f t="shared" si="102"/>
        <v>1.1469999999999999E-2</v>
      </c>
      <c r="AJ73" s="16">
        <v>70</v>
      </c>
      <c r="AK73" s="13">
        <f t="shared" si="100"/>
        <v>3.3770000000000001E-2</v>
      </c>
      <c r="AL73" s="13">
        <f t="shared" si="35"/>
        <v>3.3460000000000004E-2</v>
      </c>
      <c r="AM73" s="13">
        <f t="shared" si="36"/>
        <v>4.7190000000000003E-2</v>
      </c>
      <c r="AN73" s="13">
        <f t="shared" si="37"/>
        <v>3.7269999999999998E-2</v>
      </c>
      <c r="AO73" s="13">
        <f t="shared" si="38"/>
        <v>3.3709999999999997E-2</v>
      </c>
      <c r="AP73" s="13">
        <f t="shared" si="39"/>
        <v>5.3430000000000005E-2</v>
      </c>
      <c r="AQ73" s="13">
        <f t="shared" si="40"/>
        <v>5.4769999999999999E-2</v>
      </c>
      <c r="AR73" s="13">
        <f t="shared" si="41"/>
        <v>2.1860000000000001E-2</v>
      </c>
      <c r="AS73" s="13">
        <f t="shared" si="42"/>
        <v>4.2259999999999999E-2</v>
      </c>
      <c r="AT73" s="13">
        <f t="shared" si="43"/>
        <v>5.0790000000000002E-2</v>
      </c>
      <c r="AU73" s="13">
        <f t="shared" si="44"/>
        <v>5.3720000000000004E-2</v>
      </c>
      <c r="AV73" s="13">
        <f t="shared" si="45"/>
        <v>6.6629999999999995E-2</v>
      </c>
      <c r="AW73" s="13">
        <f t="shared" si="46"/>
        <v>4.3119999999999999E-2</v>
      </c>
      <c r="AX73" s="13">
        <f t="shared" si="47"/>
        <v>2.147E-2</v>
      </c>
      <c r="AY73" s="13">
        <f t="shared" si="48"/>
        <v>4.4139999999999999E-2</v>
      </c>
      <c r="AZ73" s="13">
        <f t="shared" si="49"/>
        <v>8.1749999999999989E-2</v>
      </c>
      <c r="BA73" s="13">
        <f t="shared" si="50"/>
        <v>3.5060000000000001E-2</v>
      </c>
      <c r="BB73" s="13">
        <f t="shared" si="51"/>
        <v>5.2560000000000003E-2</v>
      </c>
      <c r="BC73" s="13">
        <f t="shared" si="52"/>
        <v>5.3830000000000003E-2</v>
      </c>
      <c r="BD73" s="13">
        <f t="shared" si="53"/>
        <v>6.3250000000000001E-2</v>
      </c>
      <c r="BE73" s="13">
        <f t="shared" si="54"/>
        <v>4.2680000000000003E-2</v>
      </c>
      <c r="BF73" s="13">
        <f t="shared" si="55"/>
        <v>7.127E-2</v>
      </c>
      <c r="BG73" s="13">
        <f t="shared" si="56"/>
        <v>2.12E-2</v>
      </c>
      <c r="BH73" s="13">
        <f t="shared" si="57"/>
        <v>5.3400000000000003E-2</v>
      </c>
      <c r="BI73" s="13">
        <f t="shared" si="58"/>
        <v>8.0759999999999998E-2</v>
      </c>
      <c r="BJ73" s="13">
        <f t="shared" si="59"/>
        <v>5.1930000000000004E-2</v>
      </c>
      <c r="BK73" s="13">
        <f t="shared" si="60"/>
        <v>4.2410000000000003E-2</v>
      </c>
      <c r="BL73" s="13">
        <f t="shared" si="61"/>
        <v>8.0389999999999989E-2</v>
      </c>
      <c r="BM73" s="13">
        <f t="shared" si="62"/>
        <v>3.687E-2</v>
      </c>
      <c r="BN73" s="13">
        <f t="shared" si="63"/>
        <v>3.909E-2</v>
      </c>
      <c r="BO73" s="13">
        <f t="shared" si="64"/>
        <v>4.4979999999999999E-2</v>
      </c>
      <c r="BP73" s="13">
        <f t="shared" si="65"/>
        <v>8.3879999999999996E-2</v>
      </c>
      <c r="BQ73" s="13">
        <f t="shared" si="66"/>
        <v>3.5090000000000003E-2</v>
      </c>
      <c r="BR73" s="127">
        <f t="shared" si="103"/>
        <v>2.147E-2</v>
      </c>
      <c r="BS73" s="16">
        <v>70</v>
      </c>
      <c r="BT73" s="13">
        <f t="shared" si="101"/>
        <v>1.6876699999999998E-2</v>
      </c>
      <c r="BU73" s="13">
        <f t="shared" si="67"/>
        <v>1.6656600000000001E-2</v>
      </c>
      <c r="BV73" s="13">
        <f t="shared" si="68"/>
        <v>2.6404899999999999E-2</v>
      </c>
      <c r="BW73" s="13">
        <f t="shared" si="69"/>
        <v>1.9361699999999999E-2</v>
      </c>
      <c r="BX73" s="13">
        <f t="shared" si="70"/>
        <v>1.6834099999999998E-2</v>
      </c>
      <c r="BY73" s="13">
        <f t="shared" si="71"/>
        <v>3.08353E-2</v>
      </c>
      <c r="BZ73" s="13">
        <f t="shared" si="72"/>
        <v>3.1786699999999994E-2</v>
      </c>
      <c r="CA73" s="13">
        <f t="shared" si="73"/>
        <v>8.4206000000000003E-3</v>
      </c>
      <c r="CB73" s="13">
        <f t="shared" si="74"/>
        <v>2.2904599999999997E-2</v>
      </c>
      <c r="CC73" s="13">
        <f t="shared" si="75"/>
        <v>2.8960899999999998E-2</v>
      </c>
      <c r="CD73" s="13">
        <f t="shared" si="76"/>
        <v>3.1041200000000001E-2</v>
      </c>
      <c r="CE73" s="13">
        <f t="shared" si="77"/>
        <v>4.0207299999999994E-2</v>
      </c>
      <c r="CF73" s="13">
        <f t="shared" si="78"/>
        <v>2.3515199999999997E-2</v>
      </c>
      <c r="CG73" s="13">
        <f t="shared" si="79"/>
        <v>8.1436999999999985E-3</v>
      </c>
      <c r="CH73" s="13">
        <f t="shared" si="80"/>
        <v>2.4239399999999998E-2</v>
      </c>
      <c r="CI73" s="13">
        <f t="shared" si="81"/>
        <v>5.0942499999999995E-2</v>
      </c>
      <c r="CJ73" s="13">
        <f t="shared" si="82"/>
        <v>1.7792599999999999E-2</v>
      </c>
      <c r="CK73" s="13">
        <f t="shared" si="83"/>
        <v>3.0217599999999997E-2</v>
      </c>
      <c r="CL73" s="13">
        <f t="shared" si="84"/>
        <v>3.1119299999999999E-2</v>
      </c>
      <c r="CM73" s="13">
        <f t="shared" si="85"/>
        <v>3.7807499999999994E-2</v>
      </c>
      <c r="CN73" s="13">
        <f t="shared" si="86"/>
        <v>2.3202799999999999E-2</v>
      </c>
      <c r="CO73" s="13">
        <f t="shared" si="87"/>
        <v>4.3501699999999997E-2</v>
      </c>
      <c r="CP73" s="13">
        <f t="shared" si="88"/>
        <v>7.951999999999999E-3</v>
      </c>
      <c r="CQ73" s="13">
        <f t="shared" si="89"/>
        <v>3.0813999999999998E-2</v>
      </c>
      <c r="CR73" s="13">
        <f t="shared" si="90"/>
        <v>5.0239600000000002E-2</v>
      </c>
      <c r="CS73" s="13">
        <f t="shared" si="91"/>
        <v>2.97703E-2</v>
      </c>
      <c r="CT73" s="13">
        <f t="shared" si="92"/>
        <v>2.30111E-2</v>
      </c>
      <c r="CU73" s="13">
        <f t="shared" si="93"/>
        <v>4.9976899999999991E-2</v>
      </c>
      <c r="CV73" s="13">
        <f t="shared" si="94"/>
        <v>1.90777E-2</v>
      </c>
      <c r="CW73" s="13">
        <f t="shared" si="95"/>
        <v>2.0653899999999999E-2</v>
      </c>
      <c r="CX73" s="13">
        <f t="shared" si="96"/>
        <v>2.4835799999999998E-2</v>
      </c>
      <c r="CY73" s="13">
        <f t="shared" si="97"/>
        <v>5.2454799999999996E-2</v>
      </c>
      <c r="CZ73" s="13">
        <f t="shared" si="98"/>
        <v>1.7813900000000001E-2</v>
      </c>
      <c r="DA73" s="127">
        <f t="shared" si="104"/>
        <v>8.1436999999999985E-3</v>
      </c>
    </row>
  </sheetData>
  <mergeCells count="3">
    <mergeCell ref="BT1:DA1"/>
    <mergeCell ref="B1:AI1"/>
    <mergeCell ref="AK1:BR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6"/>
  </sheetPr>
  <dimension ref="A2:L52"/>
  <sheetViews>
    <sheetView workbookViewId="0">
      <selection activeCell="C34" sqref="C34"/>
    </sheetView>
  </sheetViews>
  <sheetFormatPr defaultRowHeight="15" x14ac:dyDescent="0.25"/>
  <cols>
    <col min="1" max="1" width="29.85546875" customWidth="1"/>
    <col min="2" max="2" width="19.85546875" bestFit="1" customWidth="1"/>
    <col min="3" max="3" width="31.5703125" bestFit="1" customWidth="1"/>
    <col min="4" max="4" width="21.5703125" bestFit="1" customWidth="1"/>
    <col min="5" max="5" width="21.85546875" bestFit="1" customWidth="1"/>
    <col min="6" max="6" width="22" bestFit="1" customWidth="1"/>
    <col min="8" max="8" width="15.28515625" bestFit="1" customWidth="1"/>
    <col min="9" max="9" width="14.28515625" bestFit="1" customWidth="1"/>
    <col min="10" max="12" width="15.28515625" bestFit="1" customWidth="1"/>
  </cols>
  <sheetData>
    <row r="2" spans="1:12" s="73" customFormat="1" x14ac:dyDescent="0.25">
      <c r="B2" s="32"/>
      <c r="C2" s="32"/>
      <c r="D2" s="32"/>
      <c r="E2" s="32"/>
      <c r="F2" s="32"/>
      <c r="H2" s="129"/>
    </row>
    <row r="3" spans="1:12" x14ac:dyDescent="0.25">
      <c r="A3" t="s">
        <v>1206</v>
      </c>
      <c r="B3" s="1"/>
      <c r="C3" s="1"/>
      <c r="D3" s="1"/>
      <c r="E3" s="1"/>
      <c r="F3" s="1"/>
      <c r="H3" s="126"/>
    </row>
    <row r="4" spans="1:12" x14ac:dyDescent="0.25">
      <c r="A4" t="s">
        <v>66</v>
      </c>
      <c r="B4" s="1"/>
      <c r="C4" s="1"/>
      <c r="D4" s="1"/>
      <c r="E4" s="1"/>
      <c r="F4" s="1"/>
      <c r="H4" s="126"/>
      <c r="J4" s="123"/>
    </row>
    <row r="5" spans="1:12" x14ac:dyDescent="0.25">
      <c r="A5" t="s">
        <v>67</v>
      </c>
      <c r="B5" s="1"/>
      <c r="C5" s="1"/>
      <c r="D5" s="1"/>
      <c r="E5" s="1"/>
      <c r="F5" s="1"/>
      <c r="H5" s="126"/>
      <c r="J5" s="123"/>
    </row>
    <row r="6" spans="1:12" x14ac:dyDescent="0.25">
      <c r="A6" t="s">
        <v>1207</v>
      </c>
      <c r="B6" s="1"/>
      <c r="C6" s="1"/>
      <c r="D6" s="1"/>
      <c r="E6" s="1"/>
      <c r="F6" s="1"/>
      <c r="H6" s="126"/>
      <c r="J6" s="123"/>
    </row>
    <row r="7" spans="1:12" x14ac:dyDescent="0.25">
      <c r="A7" t="s">
        <v>1208</v>
      </c>
      <c r="B7" s="1"/>
      <c r="C7" s="1"/>
      <c r="D7" s="1"/>
      <c r="E7" s="1"/>
      <c r="F7" s="1"/>
      <c r="H7" s="126"/>
      <c r="J7" s="123"/>
    </row>
    <row r="8" spans="1:12" x14ac:dyDescent="0.25">
      <c r="A8" t="s">
        <v>1201</v>
      </c>
      <c r="B8" s="1"/>
      <c r="C8" s="1"/>
      <c r="D8" s="1"/>
      <c r="E8" s="1"/>
      <c r="F8" s="1"/>
      <c r="H8" s="126"/>
      <c r="J8" s="123"/>
    </row>
    <row r="9" spans="1:12" x14ac:dyDescent="0.25">
      <c r="A9" t="s">
        <v>1192</v>
      </c>
      <c r="B9" s="1"/>
      <c r="C9" s="1"/>
      <c r="D9" s="1"/>
      <c r="E9" s="1"/>
      <c r="F9" s="1"/>
      <c r="H9" s="126"/>
      <c r="J9" s="123"/>
    </row>
    <row r="10" spans="1:12" x14ac:dyDescent="0.25">
      <c r="A10" t="s">
        <v>1193</v>
      </c>
      <c r="B10" s="1"/>
      <c r="C10" s="1"/>
      <c r="D10" s="1"/>
      <c r="E10" s="1"/>
      <c r="F10" s="1"/>
      <c r="H10" s="126"/>
      <c r="J10" s="123"/>
    </row>
    <row r="11" spans="1:12" x14ac:dyDescent="0.25">
      <c r="B11" s="1"/>
      <c r="C11" s="1"/>
      <c r="D11" s="1"/>
      <c r="E11" s="1"/>
      <c r="F11" s="1"/>
    </row>
    <row r="12" spans="1:12" x14ac:dyDescent="0.25">
      <c r="B12" s="1"/>
      <c r="C12" s="1"/>
      <c r="D12" s="1"/>
      <c r="E12" s="1"/>
      <c r="F12" s="1"/>
    </row>
    <row r="13" spans="1:12" x14ac:dyDescent="0.25">
      <c r="A13" t="s">
        <v>66</v>
      </c>
      <c r="B13" s="1"/>
      <c r="C13" s="1"/>
      <c r="D13" s="1"/>
      <c r="E13" s="1"/>
      <c r="F13" s="1"/>
      <c r="H13" s="126"/>
      <c r="I13" s="1"/>
      <c r="J13" s="1"/>
      <c r="K13" s="1"/>
      <c r="L13" s="1"/>
    </row>
    <row r="14" spans="1:12" x14ac:dyDescent="0.25">
      <c r="A14" t="s">
        <v>67</v>
      </c>
      <c r="B14" s="1"/>
      <c r="C14" s="1"/>
      <c r="D14" s="1"/>
      <c r="E14" s="1"/>
      <c r="F14" s="1"/>
      <c r="H14" s="126"/>
      <c r="I14" s="1"/>
      <c r="J14" s="1"/>
      <c r="K14" s="1"/>
      <c r="L14" s="1"/>
    </row>
    <row r="15" spans="1:12" x14ac:dyDescent="0.25">
      <c r="A15" t="s">
        <v>1207</v>
      </c>
      <c r="B15" s="1"/>
      <c r="C15" s="1"/>
      <c r="D15" s="1"/>
      <c r="E15" s="1"/>
      <c r="F15" s="1"/>
      <c r="H15" s="126"/>
      <c r="I15" s="1"/>
      <c r="J15" s="1"/>
      <c r="K15" s="1"/>
      <c r="L15" s="1"/>
    </row>
    <row r="16" spans="1:12" x14ac:dyDescent="0.25">
      <c r="A16" t="s">
        <v>1208</v>
      </c>
      <c r="B16" s="1"/>
      <c r="C16" s="1"/>
      <c r="D16" s="1"/>
      <c r="E16" s="1"/>
      <c r="F16" s="1"/>
      <c r="H16" s="126"/>
      <c r="I16" s="1"/>
      <c r="J16" s="1"/>
      <c r="K16" s="1"/>
      <c r="L16" s="1"/>
    </row>
    <row r="17" spans="1:12" x14ac:dyDescent="0.25">
      <c r="A17" t="s">
        <v>1201</v>
      </c>
      <c r="B17" s="1"/>
      <c r="C17" s="1"/>
      <c r="D17" s="1"/>
      <c r="E17" s="1"/>
      <c r="F17" s="1"/>
      <c r="H17" s="126"/>
      <c r="I17" s="1"/>
      <c r="J17" s="1"/>
      <c r="K17" s="1"/>
      <c r="L17" s="1"/>
    </row>
    <row r="18" spans="1:12" x14ac:dyDescent="0.25">
      <c r="A18" t="s">
        <v>1192</v>
      </c>
      <c r="B18" s="1"/>
      <c r="C18" s="1"/>
      <c r="D18" s="1"/>
      <c r="E18" s="1"/>
      <c r="F18" s="1"/>
      <c r="H18" s="126"/>
      <c r="I18" s="1"/>
      <c r="J18" s="1"/>
      <c r="K18" s="1"/>
      <c r="L18" s="1"/>
    </row>
    <row r="19" spans="1:12" x14ac:dyDescent="0.25">
      <c r="A19" t="s">
        <v>1193</v>
      </c>
      <c r="B19" s="1"/>
      <c r="C19" s="1"/>
      <c r="D19" s="1"/>
      <c r="E19" s="1"/>
      <c r="F19" s="1"/>
      <c r="H19" s="126"/>
      <c r="I19" s="1"/>
      <c r="J19" s="1"/>
      <c r="K19" s="1"/>
      <c r="L19" s="1"/>
    </row>
    <row r="21" spans="1:12" x14ac:dyDescent="0.25">
      <c r="H21" s="126"/>
      <c r="I21" s="126"/>
      <c r="J21" s="126"/>
      <c r="K21" s="126"/>
      <c r="L21" s="126"/>
    </row>
    <row r="22" spans="1:12" x14ac:dyDescent="0.25">
      <c r="A22" t="s">
        <v>66</v>
      </c>
      <c r="B22" s="124"/>
      <c r="C22" s="124"/>
      <c r="D22" s="124"/>
      <c r="E22" s="124"/>
      <c r="F22" s="124"/>
      <c r="G22" s="128"/>
      <c r="H22" s="124"/>
      <c r="I22" s="126"/>
      <c r="J22" s="126"/>
      <c r="K22" s="126"/>
      <c r="L22" s="126"/>
    </row>
    <row r="23" spans="1:12" x14ac:dyDescent="0.25">
      <c r="A23" t="s">
        <v>67</v>
      </c>
      <c r="B23" s="124"/>
      <c r="C23" s="124"/>
      <c r="D23" s="124"/>
      <c r="E23" s="124"/>
      <c r="F23" s="124"/>
      <c r="G23" s="128"/>
      <c r="H23" s="124"/>
      <c r="I23" s="126"/>
      <c r="J23" s="126"/>
      <c r="K23" s="126"/>
      <c r="L23" s="126"/>
    </row>
    <row r="24" spans="1:12" x14ac:dyDescent="0.25">
      <c r="A24" t="s">
        <v>1207</v>
      </c>
      <c r="B24" s="124"/>
      <c r="C24" s="124"/>
      <c r="D24" s="124"/>
      <c r="E24" s="124"/>
      <c r="F24" s="124"/>
      <c r="G24" s="128"/>
      <c r="H24" s="124"/>
      <c r="I24" s="126"/>
      <c r="J24" s="126"/>
      <c r="K24" s="126"/>
      <c r="L24" s="126"/>
    </row>
    <row r="25" spans="1:12" x14ac:dyDescent="0.25">
      <c r="A25" t="s">
        <v>1208</v>
      </c>
      <c r="B25" s="124"/>
      <c r="C25" s="124"/>
      <c r="D25" s="124"/>
      <c r="E25" s="124"/>
      <c r="F25" s="124"/>
      <c r="G25" s="128"/>
      <c r="H25" s="124"/>
      <c r="I25" s="126"/>
      <c r="J25" s="126"/>
      <c r="K25" s="126"/>
      <c r="L25" s="126"/>
    </row>
    <row r="26" spans="1:12" x14ac:dyDescent="0.25">
      <c r="A26" t="s">
        <v>1201</v>
      </c>
      <c r="B26" s="124"/>
      <c r="C26" s="124"/>
      <c r="D26" s="124"/>
      <c r="E26" s="124"/>
      <c r="F26" s="124"/>
      <c r="G26" s="128"/>
      <c r="H26" s="124"/>
      <c r="I26" s="126"/>
      <c r="J26" s="126"/>
      <c r="K26" s="126"/>
      <c r="L26" s="126"/>
    </row>
    <row r="27" spans="1:12" x14ac:dyDescent="0.25">
      <c r="A27" t="s">
        <v>1192</v>
      </c>
      <c r="B27" s="124"/>
      <c r="C27" s="124"/>
      <c r="D27" s="124"/>
      <c r="E27" s="124"/>
      <c r="F27" s="124"/>
      <c r="G27" s="128"/>
      <c r="H27" s="124"/>
      <c r="I27" s="126"/>
      <c r="J27" s="126"/>
      <c r="K27" s="126"/>
      <c r="L27" s="126"/>
    </row>
    <row r="28" spans="1:12" x14ac:dyDescent="0.25">
      <c r="A28" t="s">
        <v>1193</v>
      </c>
      <c r="B28" s="124"/>
      <c r="C28" s="124"/>
      <c r="D28" s="124"/>
      <c r="E28" s="124"/>
      <c r="F28" s="124"/>
      <c r="G28" s="128"/>
      <c r="H28" s="124"/>
    </row>
    <row r="29" spans="1:12" x14ac:dyDescent="0.25">
      <c r="I29" s="123"/>
      <c r="J29" s="123"/>
    </row>
    <row r="30" spans="1:12" x14ac:dyDescent="0.25">
      <c r="I30" s="123"/>
      <c r="J30" s="123"/>
    </row>
    <row r="31" spans="1:12" x14ac:dyDescent="0.25">
      <c r="A31" t="s">
        <v>1209</v>
      </c>
      <c r="B31" s="1"/>
      <c r="C31" s="1"/>
      <c r="D31" s="1"/>
      <c r="E31" s="1"/>
      <c r="F31" s="1"/>
      <c r="I31" s="123"/>
      <c r="J31" s="123"/>
    </row>
    <row r="32" spans="1:12" x14ac:dyDescent="0.25">
      <c r="B32" s="125"/>
      <c r="C32" s="125"/>
      <c r="D32" s="125"/>
      <c r="E32" s="125"/>
      <c r="F32" s="125"/>
      <c r="I32" s="123"/>
      <c r="J32" s="123"/>
    </row>
    <row r="33" spans="1:6" x14ac:dyDescent="0.25">
      <c r="B33" s="124"/>
      <c r="C33" s="124"/>
      <c r="D33" s="124"/>
      <c r="E33" s="124"/>
      <c r="F33" s="124"/>
    </row>
    <row r="34" spans="1:6" x14ac:dyDescent="0.25">
      <c r="C34" s="104"/>
    </row>
    <row r="36" spans="1:6" x14ac:dyDescent="0.25">
      <c r="A36" t="s">
        <v>1225</v>
      </c>
      <c r="B36" s="1"/>
      <c r="C36" s="1"/>
      <c r="D36" s="1"/>
      <c r="E36" s="1"/>
      <c r="F36" s="1"/>
    </row>
    <row r="37" spans="1:6" x14ac:dyDescent="0.25">
      <c r="B37" s="123"/>
      <c r="C37" s="123"/>
      <c r="D37" s="123"/>
      <c r="E37" s="123"/>
      <c r="F37" s="123"/>
    </row>
    <row r="38" spans="1:6" x14ac:dyDescent="0.25">
      <c r="B38" s="123"/>
      <c r="C38" s="123"/>
      <c r="D38" s="123"/>
      <c r="E38" s="123"/>
      <c r="F38" s="123"/>
    </row>
    <row r="41" spans="1:6" x14ac:dyDescent="0.25">
      <c r="A41" s="73" t="s">
        <v>1210</v>
      </c>
    </row>
    <row r="42" spans="1:6" x14ac:dyDescent="0.25">
      <c r="A42" t="s">
        <v>1220</v>
      </c>
    </row>
    <row r="43" spans="1:6" x14ac:dyDescent="0.25">
      <c r="A43" t="s">
        <v>1211</v>
      </c>
    </row>
    <row r="44" spans="1:6" x14ac:dyDescent="0.25">
      <c r="A44" t="s">
        <v>1223</v>
      </c>
    </row>
    <row r="45" spans="1:6" x14ac:dyDescent="0.25">
      <c r="A45" t="s">
        <v>1214</v>
      </c>
    </row>
    <row r="46" spans="1:6" x14ac:dyDescent="0.25">
      <c r="A46" t="s">
        <v>1215</v>
      </c>
    </row>
    <row r="47" spans="1:6" x14ac:dyDescent="0.25">
      <c r="A47" t="s">
        <v>1216</v>
      </c>
    </row>
    <row r="48" spans="1:6" x14ac:dyDescent="0.25">
      <c r="A48" t="s">
        <v>1218</v>
      </c>
    </row>
    <row r="49" spans="1:1" x14ac:dyDescent="0.25">
      <c r="A49" t="s">
        <v>1217</v>
      </c>
    </row>
    <row r="50" spans="1:1" x14ac:dyDescent="0.25">
      <c r="A50" t="s">
        <v>1221</v>
      </c>
    </row>
    <row r="51" spans="1:1" x14ac:dyDescent="0.25">
      <c r="A51" t="s">
        <v>1224</v>
      </c>
    </row>
    <row r="52" spans="1:1" x14ac:dyDescent="0.25">
      <c r="A52" t="s">
        <v>1219</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59999389629810485"/>
    <pageSetUpPr fitToPage="1"/>
  </sheetPr>
  <dimension ref="A1:R25"/>
  <sheetViews>
    <sheetView showGridLines="0" zoomScale="80" zoomScaleNormal="80" workbookViewId="0">
      <selection activeCell="B8" sqref="B8:B25"/>
    </sheetView>
  </sheetViews>
  <sheetFormatPr defaultRowHeight="12.75" x14ac:dyDescent="0.2"/>
  <cols>
    <col min="1" max="2" width="11" style="17" customWidth="1"/>
    <col min="3" max="3" width="15.42578125" style="17" customWidth="1"/>
    <col min="4" max="4" width="15.140625" style="17" customWidth="1"/>
    <col min="5" max="5" width="14" style="17" customWidth="1"/>
    <col min="6" max="6" width="15.42578125" style="17" customWidth="1"/>
    <col min="7" max="7" width="13.85546875" style="17" customWidth="1"/>
    <col min="8" max="8" width="14.5703125" style="17" customWidth="1"/>
    <col min="9" max="9" width="14.7109375" style="17" customWidth="1"/>
    <col min="10" max="10" width="18.140625" style="17" customWidth="1"/>
    <col min="11" max="11" width="15.5703125" style="17" customWidth="1"/>
    <col min="12" max="12" width="15.5703125" style="18" customWidth="1"/>
    <col min="13" max="17" width="14.140625" style="17" customWidth="1"/>
    <col min="18" max="18" width="12.42578125" style="17" customWidth="1"/>
    <col min="19" max="16384" width="9.140625" style="17"/>
  </cols>
  <sheetData>
    <row r="1" spans="1:18" s="32" customFormat="1" x14ac:dyDescent="0.2">
      <c r="A1" s="31" t="s">
        <v>901</v>
      </c>
      <c r="B1" s="35"/>
      <c r="C1" s="33"/>
      <c r="D1" s="33"/>
      <c r="E1" s="33"/>
      <c r="F1" s="33"/>
      <c r="G1" s="33"/>
      <c r="H1" s="33"/>
      <c r="I1" s="33"/>
      <c r="J1" s="33"/>
      <c r="K1" s="33"/>
      <c r="L1" s="34"/>
      <c r="M1" s="33"/>
      <c r="N1" s="33"/>
      <c r="O1" s="33"/>
      <c r="P1" s="33"/>
      <c r="Q1" s="33"/>
    </row>
    <row r="2" spans="1:18" s="32" customFormat="1" ht="13.5" thickBot="1" x14ac:dyDescent="0.25">
      <c r="A2" s="35"/>
      <c r="B2" s="35"/>
      <c r="C2" s="33"/>
      <c r="D2" s="33"/>
      <c r="E2" s="33"/>
      <c r="F2" s="33"/>
      <c r="G2" s="33"/>
      <c r="H2" s="33"/>
      <c r="I2" s="33"/>
      <c r="J2" s="33"/>
      <c r="K2" s="33"/>
      <c r="L2" s="34"/>
      <c r="M2" s="33"/>
      <c r="N2" s="33"/>
      <c r="O2" s="33"/>
      <c r="P2" s="33"/>
      <c r="Q2" s="33"/>
    </row>
    <row r="3" spans="1:18" ht="15.75" customHeight="1" thickBot="1" x14ac:dyDescent="0.25">
      <c r="A3" s="154" t="s">
        <v>900</v>
      </c>
      <c r="B3" s="155" t="s">
        <v>899</v>
      </c>
      <c r="C3" s="156" t="s">
        <v>898</v>
      </c>
      <c r="D3" s="156"/>
      <c r="E3" s="156"/>
      <c r="F3" s="156"/>
      <c r="G3" s="156"/>
      <c r="H3" s="156"/>
      <c r="I3" s="156"/>
      <c r="J3" s="156"/>
      <c r="K3" s="156"/>
      <c r="L3" s="156"/>
      <c r="M3" s="156"/>
      <c r="N3" s="156"/>
      <c r="O3" s="156"/>
      <c r="P3" s="156"/>
      <c r="Q3" s="156"/>
      <c r="R3" s="156"/>
    </row>
    <row r="4" spans="1:18" ht="14.25" thickTop="1" thickBot="1" x14ac:dyDescent="0.25">
      <c r="A4" s="154"/>
      <c r="B4" s="155"/>
      <c r="C4" s="156"/>
      <c r="D4" s="156"/>
      <c r="E4" s="156"/>
      <c r="F4" s="156"/>
      <c r="G4" s="156"/>
      <c r="H4" s="156"/>
      <c r="I4" s="156"/>
      <c r="J4" s="156"/>
      <c r="K4" s="156"/>
      <c r="L4" s="156"/>
      <c r="M4" s="156"/>
      <c r="N4" s="156"/>
      <c r="O4" s="156"/>
      <c r="P4" s="156"/>
      <c r="Q4" s="156"/>
      <c r="R4" s="156"/>
    </row>
    <row r="5" spans="1:18" ht="14.25" thickTop="1" thickBot="1" x14ac:dyDescent="0.25">
      <c r="A5" s="31"/>
      <c r="B5" s="30"/>
      <c r="C5" s="28"/>
      <c r="D5" s="28"/>
      <c r="E5" s="28"/>
      <c r="F5" s="28"/>
      <c r="G5" s="28"/>
      <c r="H5" s="28"/>
      <c r="I5" s="28"/>
      <c r="J5" s="28"/>
      <c r="K5" s="28"/>
      <c r="L5" s="29"/>
      <c r="M5" s="28"/>
      <c r="N5" s="28"/>
      <c r="O5" s="28"/>
      <c r="P5" s="28"/>
      <c r="Q5" s="28"/>
    </row>
    <row r="6" spans="1:18" ht="15" customHeight="1" thickBot="1" x14ac:dyDescent="0.25">
      <c r="A6" s="154" t="s">
        <v>897</v>
      </c>
      <c r="B6" s="155" t="s">
        <v>896</v>
      </c>
      <c r="C6" s="27">
        <v>1</v>
      </c>
      <c r="D6" s="27">
        <v>2</v>
      </c>
      <c r="E6" s="27">
        <v>3</v>
      </c>
      <c r="F6" s="27">
        <v>4</v>
      </c>
      <c r="G6" s="27">
        <v>5</v>
      </c>
      <c r="H6" s="27">
        <v>6</v>
      </c>
      <c r="I6" s="27">
        <v>7</v>
      </c>
      <c r="J6" s="22">
        <v>8</v>
      </c>
      <c r="K6" s="22">
        <v>9</v>
      </c>
      <c r="L6" s="22">
        <v>0</v>
      </c>
      <c r="M6" s="27" t="s">
        <v>48</v>
      </c>
      <c r="N6" s="27" t="s">
        <v>895</v>
      </c>
      <c r="O6" s="27" t="s">
        <v>894</v>
      </c>
      <c r="P6" s="27" t="s">
        <v>893</v>
      </c>
      <c r="Q6" s="27" t="s">
        <v>13</v>
      </c>
      <c r="R6" s="27" t="s">
        <v>892</v>
      </c>
    </row>
    <row r="7" spans="1:18" ht="57.75" customHeight="1" thickTop="1" thickBot="1" x14ac:dyDescent="0.25">
      <c r="A7" s="154"/>
      <c r="B7" s="155"/>
      <c r="C7" s="20" t="s">
        <v>891</v>
      </c>
      <c r="D7" s="19" t="s">
        <v>874</v>
      </c>
      <c r="E7" s="19" t="s">
        <v>890</v>
      </c>
      <c r="F7" s="19" t="s">
        <v>889</v>
      </c>
      <c r="G7" s="21" t="s">
        <v>888</v>
      </c>
      <c r="H7" s="19" t="s">
        <v>887</v>
      </c>
      <c r="I7" s="20" t="s">
        <v>886</v>
      </c>
      <c r="J7" s="20" t="s">
        <v>885</v>
      </c>
      <c r="K7" s="20" t="s">
        <v>67</v>
      </c>
      <c r="L7" s="22" t="s">
        <v>884</v>
      </c>
      <c r="M7" s="19" t="s">
        <v>883</v>
      </c>
      <c r="N7" s="19" t="s">
        <v>882</v>
      </c>
      <c r="O7" s="19" t="s">
        <v>881</v>
      </c>
      <c r="P7" s="19" t="s">
        <v>880</v>
      </c>
      <c r="Q7" s="19" t="s">
        <v>879</v>
      </c>
      <c r="R7" s="19" t="s">
        <v>878</v>
      </c>
    </row>
    <row r="8" spans="1:18" ht="15.75" customHeight="1" thickTop="1" thickBot="1" x14ac:dyDescent="0.25">
      <c r="A8" s="152" t="s">
        <v>877</v>
      </c>
      <c r="B8" s="153" t="s">
        <v>876</v>
      </c>
      <c r="C8" s="19">
        <v>1</v>
      </c>
      <c r="D8" s="19">
        <v>1</v>
      </c>
      <c r="E8" s="19">
        <v>1</v>
      </c>
      <c r="F8" s="19">
        <v>1</v>
      </c>
      <c r="G8" s="21">
        <v>1</v>
      </c>
      <c r="H8" s="19">
        <v>1</v>
      </c>
      <c r="I8" s="19">
        <v>1</v>
      </c>
      <c r="J8" s="20">
        <v>1</v>
      </c>
      <c r="K8" s="19">
        <v>1</v>
      </c>
      <c r="L8" s="25"/>
      <c r="M8" s="19">
        <v>1</v>
      </c>
      <c r="N8" s="19">
        <v>1</v>
      </c>
      <c r="O8" s="19">
        <v>1</v>
      </c>
      <c r="P8" s="19">
        <v>1</v>
      </c>
      <c r="Q8" s="19">
        <v>1</v>
      </c>
      <c r="R8" s="19">
        <v>1</v>
      </c>
    </row>
    <row r="9" spans="1:18" ht="39.75" thickTop="1" thickBot="1" x14ac:dyDescent="0.25">
      <c r="A9" s="152"/>
      <c r="B9" s="153"/>
      <c r="C9" s="19" t="s">
        <v>875</v>
      </c>
      <c r="D9" s="20" t="s">
        <v>874</v>
      </c>
      <c r="E9" s="19" t="s">
        <v>873</v>
      </c>
      <c r="F9" s="19" t="s">
        <v>872</v>
      </c>
      <c r="G9" s="21" t="s">
        <v>871</v>
      </c>
      <c r="H9" s="19" t="s">
        <v>871</v>
      </c>
      <c r="I9" s="20" t="s">
        <v>65</v>
      </c>
      <c r="J9" s="26" t="s">
        <v>870</v>
      </c>
      <c r="K9" s="20" t="s">
        <v>869</v>
      </c>
      <c r="L9" s="25"/>
      <c r="M9" s="19" t="s">
        <v>868</v>
      </c>
      <c r="N9" s="19" t="s">
        <v>867</v>
      </c>
      <c r="O9" s="19" t="s">
        <v>867</v>
      </c>
      <c r="P9" s="19" t="s">
        <v>866</v>
      </c>
      <c r="Q9" s="19" t="s">
        <v>865</v>
      </c>
      <c r="R9" s="19" t="s">
        <v>864</v>
      </c>
    </row>
    <row r="10" spans="1:18" ht="14.25" thickTop="1" thickBot="1" x14ac:dyDescent="0.25">
      <c r="A10" s="152"/>
      <c r="B10" s="153"/>
      <c r="C10" s="19">
        <v>2</v>
      </c>
      <c r="D10" s="19">
        <v>2</v>
      </c>
      <c r="E10" s="20">
        <v>2</v>
      </c>
      <c r="F10" s="19">
        <v>2</v>
      </c>
      <c r="G10" s="21">
        <v>2</v>
      </c>
      <c r="H10" s="19">
        <v>2</v>
      </c>
      <c r="I10" s="19">
        <v>2</v>
      </c>
      <c r="J10" s="20">
        <v>2</v>
      </c>
      <c r="K10" s="19">
        <v>2</v>
      </c>
      <c r="L10" s="25"/>
      <c r="M10" s="19">
        <v>2</v>
      </c>
      <c r="N10" s="19">
        <v>2</v>
      </c>
      <c r="O10" s="19">
        <v>2</v>
      </c>
      <c r="P10" s="19">
        <v>2</v>
      </c>
      <c r="Q10" s="19">
        <v>2</v>
      </c>
      <c r="R10" s="19">
        <v>2</v>
      </c>
    </row>
    <row r="11" spans="1:18" ht="39.75" thickTop="1" thickBot="1" x14ac:dyDescent="0.25">
      <c r="A11" s="152"/>
      <c r="B11" s="153"/>
      <c r="C11" s="19" t="s">
        <v>863</v>
      </c>
      <c r="D11" s="19" t="s">
        <v>862</v>
      </c>
      <c r="E11" s="20" t="s">
        <v>861</v>
      </c>
      <c r="F11" s="19" t="s">
        <v>860</v>
      </c>
      <c r="G11" s="21" t="s">
        <v>859</v>
      </c>
      <c r="H11" s="19" t="s">
        <v>859</v>
      </c>
      <c r="I11" s="20" t="s">
        <v>858</v>
      </c>
      <c r="J11" s="20" t="s">
        <v>857</v>
      </c>
      <c r="K11" s="20" t="s">
        <v>856</v>
      </c>
      <c r="L11" s="25"/>
      <c r="M11" s="19" t="s">
        <v>855</v>
      </c>
      <c r="N11" s="19" t="s">
        <v>854</v>
      </c>
      <c r="O11" s="19" t="s">
        <v>854</v>
      </c>
      <c r="P11" s="19" t="s">
        <v>853</v>
      </c>
      <c r="Q11" s="19" t="s">
        <v>852</v>
      </c>
      <c r="R11" s="19" t="s">
        <v>851</v>
      </c>
    </row>
    <row r="12" spans="1:18" ht="14.25" thickTop="1" thickBot="1" x14ac:dyDescent="0.25">
      <c r="A12" s="152"/>
      <c r="B12" s="153"/>
      <c r="C12" s="19">
        <v>3</v>
      </c>
      <c r="D12" s="19">
        <v>3</v>
      </c>
      <c r="E12" s="20">
        <v>3</v>
      </c>
      <c r="F12" s="19">
        <v>3</v>
      </c>
      <c r="G12" s="21">
        <v>3</v>
      </c>
      <c r="H12" s="19">
        <v>3</v>
      </c>
      <c r="I12" s="22">
        <v>3</v>
      </c>
      <c r="J12" s="20"/>
      <c r="K12" s="20">
        <v>3</v>
      </c>
      <c r="L12" s="25"/>
      <c r="M12" s="19">
        <v>3</v>
      </c>
      <c r="N12" s="19">
        <v>3</v>
      </c>
      <c r="O12" s="19">
        <v>3</v>
      </c>
      <c r="P12" s="19">
        <v>3</v>
      </c>
      <c r="Q12" s="19"/>
      <c r="R12" s="19">
        <v>3</v>
      </c>
    </row>
    <row r="13" spans="1:18" ht="57" customHeight="1" thickTop="1" thickBot="1" x14ac:dyDescent="0.25">
      <c r="A13" s="152"/>
      <c r="B13" s="153"/>
      <c r="C13" s="19" t="s">
        <v>850</v>
      </c>
      <c r="D13" s="19" t="s">
        <v>849</v>
      </c>
      <c r="E13" s="20" t="s">
        <v>848</v>
      </c>
      <c r="F13" s="19" t="s">
        <v>847</v>
      </c>
      <c r="G13" s="21" t="s">
        <v>846</v>
      </c>
      <c r="H13" s="19" t="s">
        <v>846</v>
      </c>
      <c r="I13" s="20" t="s">
        <v>845</v>
      </c>
      <c r="J13" s="20"/>
      <c r="K13" s="20" t="s">
        <v>844</v>
      </c>
      <c r="L13" s="25"/>
      <c r="M13" s="19" t="s">
        <v>843</v>
      </c>
      <c r="N13" s="19" t="s">
        <v>842</v>
      </c>
      <c r="O13" s="19" t="s">
        <v>842</v>
      </c>
      <c r="P13" s="19" t="s">
        <v>841</v>
      </c>
      <c r="Q13" s="19"/>
      <c r="R13" s="19" t="s">
        <v>840</v>
      </c>
    </row>
    <row r="14" spans="1:18" ht="14.25" thickTop="1" thickBot="1" x14ac:dyDescent="0.25">
      <c r="A14" s="152"/>
      <c r="B14" s="153"/>
      <c r="C14" s="19">
        <v>4</v>
      </c>
      <c r="D14" s="19">
        <v>4</v>
      </c>
      <c r="E14" s="19">
        <v>4</v>
      </c>
      <c r="F14" s="19">
        <v>4</v>
      </c>
      <c r="G14" s="21">
        <v>4</v>
      </c>
      <c r="H14" s="19">
        <v>4</v>
      </c>
      <c r="I14" s="20">
        <v>4</v>
      </c>
      <c r="J14" s="20">
        <v>4</v>
      </c>
      <c r="K14" s="19">
        <v>4</v>
      </c>
      <c r="L14" s="25"/>
      <c r="M14" s="19"/>
      <c r="N14" s="20">
        <v>4</v>
      </c>
      <c r="O14" s="20">
        <v>4</v>
      </c>
      <c r="P14" s="19"/>
      <c r="Q14" s="19"/>
      <c r="R14" s="19">
        <v>4</v>
      </c>
    </row>
    <row r="15" spans="1:18" ht="39.75" thickTop="1" thickBot="1" x14ac:dyDescent="0.25">
      <c r="A15" s="152"/>
      <c r="B15" s="153"/>
      <c r="C15" s="19" t="s">
        <v>839</v>
      </c>
      <c r="D15" s="19" t="s">
        <v>838</v>
      </c>
      <c r="E15" s="19" t="s">
        <v>837</v>
      </c>
      <c r="F15" s="19" t="s">
        <v>836</v>
      </c>
      <c r="G15" s="21" t="s">
        <v>835</v>
      </c>
      <c r="H15" s="19" t="s">
        <v>835</v>
      </c>
      <c r="I15" s="20" t="s">
        <v>834</v>
      </c>
      <c r="J15" s="20" t="s">
        <v>833</v>
      </c>
      <c r="K15" s="19" t="s">
        <v>832</v>
      </c>
      <c r="L15" s="25"/>
      <c r="M15" s="19"/>
      <c r="N15" s="20" t="s">
        <v>831</v>
      </c>
      <c r="O15" s="20" t="s">
        <v>831</v>
      </c>
      <c r="P15" s="19"/>
      <c r="Q15" s="19"/>
      <c r="R15" s="19" t="s">
        <v>830</v>
      </c>
    </row>
    <row r="16" spans="1:18" ht="14.25" thickTop="1" thickBot="1" x14ac:dyDescent="0.25">
      <c r="A16" s="152"/>
      <c r="B16" s="153"/>
      <c r="C16" s="19">
        <v>5</v>
      </c>
      <c r="D16" s="19">
        <v>5</v>
      </c>
      <c r="E16" s="19"/>
      <c r="F16" s="19">
        <v>5</v>
      </c>
      <c r="G16" s="21">
        <v>5</v>
      </c>
      <c r="H16" s="19">
        <v>5</v>
      </c>
      <c r="I16" s="19">
        <v>5</v>
      </c>
      <c r="J16" s="20">
        <v>5</v>
      </c>
      <c r="K16" s="20">
        <v>5</v>
      </c>
      <c r="L16" s="25"/>
      <c r="M16" s="19">
        <v>5</v>
      </c>
      <c r="N16" s="19">
        <v>5</v>
      </c>
      <c r="O16" s="19">
        <v>5</v>
      </c>
      <c r="P16" s="19">
        <v>5</v>
      </c>
      <c r="Q16" s="19"/>
      <c r="R16" s="19"/>
    </row>
    <row r="17" spans="1:18" ht="39.75" thickTop="1" thickBot="1" x14ac:dyDescent="0.25">
      <c r="A17" s="152"/>
      <c r="B17" s="153"/>
      <c r="C17" s="19" t="s">
        <v>829</v>
      </c>
      <c r="D17" s="19" t="s">
        <v>828</v>
      </c>
      <c r="E17" s="20"/>
      <c r="F17" s="19" t="s">
        <v>827</v>
      </c>
      <c r="G17" s="19" t="s">
        <v>826</v>
      </c>
      <c r="H17" s="19" t="s">
        <v>826</v>
      </c>
      <c r="I17" s="20" t="s">
        <v>825</v>
      </c>
      <c r="J17" s="20" t="s">
        <v>824</v>
      </c>
      <c r="K17" s="20" t="s">
        <v>823</v>
      </c>
      <c r="L17" s="25"/>
      <c r="M17" s="19" t="s">
        <v>822</v>
      </c>
      <c r="N17" s="19" t="s">
        <v>821</v>
      </c>
      <c r="O17" s="19" t="s">
        <v>821</v>
      </c>
      <c r="P17" s="19" t="s">
        <v>820</v>
      </c>
      <c r="Q17" s="19"/>
      <c r="R17" s="19"/>
    </row>
    <row r="18" spans="1:18" ht="14.25" thickTop="1" thickBot="1" x14ac:dyDescent="0.25">
      <c r="A18" s="152"/>
      <c r="B18" s="153"/>
      <c r="C18" s="19">
        <v>6</v>
      </c>
      <c r="D18" s="20">
        <v>6</v>
      </c>
      <c r="E18" s="19"/>
      <c r="F18" s="19">
        <v>6</v>
      </c>
      <c r="G18" s="21">
        <v>6</v>
      </c>
      <c r="H18" s="19">
        <v>6</v>
      </c>
      <c r="I18" s="19"/>
      <c r="J18" s="20">
        <v>6</v>
      </c>
      <c r="K18" s="20"/>
      <c r="L18" s="25"/>
      <c r="M18" s="19"/>
      <c r="N18" s="19">
        <v>6</v>
      </c>
      <c r="O18" s="19">
        <v>6</v>
      </c>
      <c r="P18" s="19"/>
      <c r="Q18" s="19"/>
      <c r="R18" s="19"/>
    </row>
    <row r="19" spans="1:18" ht="27" thickTop="1" thickBot="1" x14ac:dyDescent="0.25">
      <c r="A19" s="152"/>
      <c r="B19" s="153"/>
      <c r="C19" s="19" t="s">
        <v>819</v>
      </c>
      <c r="D19" s="20" t="s">
        <v>818</v>
      </c>
      <c r="E19" s="19"/>
      <c r="F19" s="19" t="s">
        <v>817</v>
      </c>
      <c r="G19" s="19" t="s">
        <v>816</v>
      </c>
      <c r="H19" s="19" t="s">
        <v>816</v>
      </c>
      <c r="I19" s="20"/>
      <c r="J19" s="20" t="s">
        <v>815</v>
      </c>
      <c r="K19" s="20"/>
      <c r="L19" s="25"/>
      <c r="M19" s="19"/>
      <c r="N19" s="19" t="s">
        <v>814</v>
      </c>
      <c r="O19" s="19" t="s">
        <v>814</v>
      </c>
      <c r="P19" s="19"/>
      <c r="Q19" s="19"/>
      <c r="R19" s="19"/>
    </row>
    <row r="20" spans="1:18" ht="14.25" thickTop="1" thickBot="1" x14ac:dyDescent="0.25">
      <c r="A20" s="152"/>
      <c r="B20" s="153"/>
      <c r="C20" s="22">
        <v>7</v>
      </c>
      <c r="D20" s="20">
        <v>7</v>
      </c>
      <c r="E20" s="19"/>
      <c r="F20" s="19">
        <v>7</v>
      </c>
      <c r="G20" s="21">
        <v>7</v>
      </c>
      <c r="H20" s="21">
        <v>7</v>
      </c>
      <c r="I20" s="20"/>
      <c r="J20" s="20"/>
      <c r="K20" s="20"/>
      <c r="L20" s="24"/>
      <c r="M20" s="23">
        <v>7</v>
      </c>
      <c r="N20" s="23">
        <v>7</v>
      </c>
      <c r="O20" s="23">
        <v>7</v>
      </c>
      <c r="P20" s="23">
        <v>7</v>
      </c>
      <c r="Q20" s="23">
        <v>7</v>
      </c>
      <c r="R20" s="19"/>
    </row>
    <row r="21" spans="1:18" ht="42" customHeight="1" thickTop="1" thickBot="1" x14ac:dyDescent="0.25">
      <c r="A21" s="152"/>
      <c r="B21" s="153"/>
      <c r="C21" s="19" t="s">
        <v>813</v>
      </c>
      <c r="D21" s="20" t="s">
        <v>812</v>
      </c>
      <c r="E21" s="19"/>
      <c r="F21" s="20" t="s">
        <v>811</v>
      </c>
      <c r="G21" s="21" t="s">
        <v>810</v>
      </c>
      <c r="H21" s="21" t="s">
        <v>810</v>
      </c>
      <c r="I21" s="20"/>
      <c r="J21" s="20"/>
      <c r="K21" s="20"/>
      <c r="L21" s="24"/>
      <c r="M21" s="23" t="s">
        <v>810</v>
      </c>
      <c r="N21" s="23" t="s">
        <v>810</v>
      </c>
      <c r="O21" s="23" t="s">
        <v>810</v>
      </c>
      <c r="P21" s="23" t="s">
        <v>810</v>
      </c>
      <c r="Q21" s="23" t="s">
        <v>810</v>
      </c>
      <c r="R21" s="19"/>
    </row>
    <row r="22" spans="1:18" ht="14.25" thickTop="1" thickBot="1" x14ac:dyDescent="0.25">
      <c r="A22" s="152"/>
      <c r="B22" s="153"/>
      <c r="C22" s="19"/>
      <c r="D22" s="20">
        <v>8</v>
      </c>
      <c r="E22" s="19"/>
      <c r="F22" s="20">
        <v>8</v>
      </c>
      <c r="G22" s="21">
        <v>8</v>
      </c>
      <c r="H22" s="21">
        <v>8</v>
      </c>
      <c r="I22" s="19"/>
      <c r="J22" s="20"/>
      <c r="K22" s="20"/>
      <c r="L22" s="24"/>
      <c r="M22" s="23">
        <v>8</v>
      </c>
      <c r="N22" s="23">
        <v>8</v>
      </c>
      <c r="O22" s="23">
        <v>8</v>
      </c>
      <c r="P22" s="23">
        <v>8</v>
      </c>
      <c r="Q22" s="23">
        <v>8</v>
      </c>
      <c r="R22" s="19"/>
    </row>
    <row r="23" spans="1:18" ht="27" thickTop="1" thickBot="1" x14ac:dyDescent="0.25">
      <c r="A23" s="152"/>
      <c r="B23" s="153"/>
      <c r="C23" s="19"/>
      <c r="D23" s="20" t="s">
        <v>809</v>
      </c>
      <c r="E23" s="19"/>
      <c r="F23" s="20" t="s">
        <v>808</v>
      </c>
      <c r="G23" s="21" t="s">
        <v>807</v>
      </c>
      <c r="H23" s="21" t="s">
        <v>807</v>
      </c>
      <c r="I23" s="19"/>
      <c r="J23" s="20"/>
      <c r="K23" s="20"/>
      <c r="L23" s="24"/>
      <c r="M23" s="23" t="s">
        <v>807</v>
      </c>
      <c r="N23" s="23" t="s">
        <v>807</v>
      </c>
      <c r="O23" s="23" t="s">
        <v>807</v>
      </c>
      <c r="P23" s="23" t="s">
        <v>807</v>
      </c>
      <c r="Q23" s="23" t="s">
        <v>807</v>
      </c>
      <c r="R23" s="19"/>
    </row>
    <row r="24" spans="1:18" ht="14.25" thickTop="1" thickBot="1" x14ac:dyDescent="0.25">
      <c r="A24" s="152"/>
      <c r="B24" s="153"/>
      <c r="C24" s="19">
        <v>9</v>
      </c>
      <c r="D24" s="19">
        <v>9</v>
      </c>
      <c r="E24" s="19">
        <v>9</v>
      </c>
      <c r="F24" s="19">
        <v>9</v>
      </c>
      <c r="G24" s="21">
        <v>9</v>
      </c>
      <c r="H24" s="19">
        <v>9</v>
      </c>
      <c r="I24" s="19">
        <v>9</v>
      </c>
      <c r="J24" s="20">
        <v>9</v>
      </c>
      <c r="K24" s="19">
        <v>9</v>
      </c>
      <c r="L24" s="22">
        <v>9</v>
      </c>
      <c r="M24" s="19">
        <v>9</v>
      </c>
      <c r="N24" s="19">
        <v>9</v>
      </c>
      <c r="O24" s="19">
        <v>9</v>
      </c>
      <c r="P24" s="19">
        <v>9</v>
      </c>
      <c r="Q24" s="19">
        <v>9</v>
      </c>
      <c r="R24" s="19">
        <v>9</v>
      </c>
    </row>
    <row r="25" spans="1:18" ht="14.25" thickTop="1" thickBot="1" x14ac:dyDescent="0.25">
      <c r="A25" s="152"/>
      <c r="B25" s="153"/>
      <c r="C25" s="19" t="s">
        <v>806</v>
      </c>
      <c r="D25" s="19" t="s">
        <v>806</v>
      </c>
      <c r="E25" s="19" t="s">
        <v>806</v>
      </c>
      <c r="F25" s="19" t="s">
        <v>806</v>
      </c>
      <c r="G25" s="21" t="s">
        <v>806</v>
      </c>
      <c r="H25" s="19" t="s">
        <v>806</v>
      </c>
      <c r="I25" s="19" t="s">
        <v>806</v>
      </c>
      <c r="J25" s="20" t="s">
        <v>806</v>
      </c>
      <c r="K25" s="19" t="s">
        <v>806</v>
      </c>
      <c r="L25" s="19" t="s">
        <v>806</v>
      </c>
      <c r="M25" s="19" t="s">
        <v>806</v>
      </c>
      <c r="N25" s="19" t="s">
        <v>806</v>
      </c>
      <c r="O25" s="19" t="s">
        <v>806</v>
      </c>
      <c r="P25" s="19" t="s">
        <v>806</v>
      </c>
      <c r="Q25" s="19" t="s">
        <v>806</v>
      </c>
      <c r="R25" s="19" t="s">
        <v>806</v>
      </c>
    </row>
  </sheetData>
  <sheetProtection selectLockedCells="1" selectUnlockedCells="1"/>
  <mergeCells count="7">
    <mergeCell ref="A8:A25"/>
    <mergeCell ref="B8:B25"/>
    <mergeCell ref="A3:A4"/>
    <mergeCell ref="B3:B4"/>
    <mergeCell ref="C3:R4"/>
    <mergeCell ref="A6:A7"/>
    <mergeCell ref="B6:B7"/>
  </mergeCells>
  <pageMargins left="0.15763888888888888" right="0.15763888888888888" top="0.74791666666666667" bottom="0.74791666666666667" header="0.51180555555555551" footer="0.51180555555555551"/>
  <pageSetup paperSize="9" scale="55" firstPageNumber="0" orientation="landscape" horizontalDpi="300" verticalDpi="3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59999389629810485"/>
    <pageSetUpPr fitToPage="1"/>
  </sheetPr>
  <dimension ref="A1:D133"/>
  <sheetViews>
    <sheetView showGridLines="0" zoomScale="80" zoomScaleNormal="80" workbookViewId="0">
      <selection activeCell="K29" sqref="K29"/>
    </sheetView>
  </sheetViews>
  <sheetFormatPr defaultColWidth="13.7109375" defaultRowHeight="13.5" thickBottom="1" outlineLevelRow="1" x14ac:dyDescent="0.25"/>
  <cols>
    <col min="1" max="1" width="9.28515625" style="38" customWidth="1"/>
    <col min="2" max="2" width="42.7109375" style="37" customWidth="1"/>
    <col min="3" max="3" width="107.140625" style="36" customWidth="1"/>
    <col min="4" max="16384" width="13.7109375" style="17"/>
  </cols>
  <sheetData>
    <row r="1" spans="1:4" ht="12.75" x14ac:dyDescent="0.2">
      <c r="A1" s="35" t="s">
        <v>1078</v>
      </c>
      <c r="C1" s="68"/>
    </row>
    <row r="2" spans="1:4" ht="12.75" x14ac:dyDescent="0.2">
      <c r="A2" s="67"/>
      <c r="C2" s="66"/>
    </row>
    <row r="3" spans="1:4" ht="23.25" customHeight="1" x14ac:dyDescent="0.2">
      <c r="A3" s="157" t="s">
        <v>1077</v>
      </c>
      <c r="B3" s="157"/>
      <c r="C3" s="64" t="s">
        <v>1069</v>
      </c>
      <c r="D3" s="63"/>
    </row>
    <row r="4" spans="1:4" ht="38.25" x14ac:dyDescent="0.2">
      <c r="A4" s="49" t="s">
        <v>1076</v>
      </c>
      <c r="B4" s="65" t="s">
        <v>1075</v>
      </c>
      <c r="C4" s="50" t="s">
        <v>1074</v>
      </c>
      <c r="D4" s="63"/>
    </row>
    <row r="5" spans="1:4" ht="12.75" x14ac:dyDescent="0.2">
      <c r="A5" s="49" t="s">
        <v>802</v>
      </c>
      <c r="B5" s="65" t="s">
        <v>801</v>
      </c>
      <c r="C5" s="50" t="s">
        <v>1073</v>
      </c>
    </row>
    <row r="6" spans="1:4" ht="25.5" x14ac:dyDescent="0.2">
      <c r="A6" s="49" t="s">
        <v>800</v>
      </c>
      <c r="B6" s="65" t="s">
        <v>1072</v>
      </c>
      <c r="C6" s="50" t="s">
        <v>1071</v>
      </c>
    </row>
    <row r="7" spans="1:4" ht="23.25" customHeight="1" x14ac:dyDescent="0.2">
      <c r="A7" s="157" t="s">
        <v>1070</v>
      </c>
      <c r="B7" s="157"/>
      <c r="C7" s="64" t="s">
        <v>1069</v>
      </c>
      <c r="D7" s="63"/>
    </row>
    <row r="8" spans="1:4" ht="81" customHeight="1" x14ac:dyDescent="0.2">
      <c r="A8" s="55">
        <v>1</v>
      </c>
      <c r="B8" s="54" t="s">
        <v>891</v>
      </c>
      <c r="C8" s="62" t="s">
        <v>1068</v>
      </c>
    </row>
    <row r="9" spans="1:4" ht="12.75" outlineLevel="1" x14ac:dyDescent="0.2">
      <c r="A9" s="42">
        <v>11</v>
      </c>
      <c r="B9" s="44" t="s">
        <v>875</v>
      </c>
      <c r="C9" s="44" t="s">
        <v>1067</v>
      </c>
    </row>
    <row r="10" spans="1:4" ht="38.25" outlineLevel="1" x14ac:dyDescent="0.2">
      <c r="A10" s="42">
        <v>12</v>
      </c>
      <c r="B10" s="44" t="s">
        <v>863</v>
      </c>
      <c r="C10" s="44" t="s">
        <v>1066</v>
      </c>
    </row>
    <row r="11" spans="1:4" ht="12.75" outlineLevel="1" x14ac:dyDescent="0.2">
      <c r="A11" s="42">
        <v>13</v>
      </c>
      <c r="B11" s="44" t="s">
        <v>850</v>
      </c>
      <c r="C11" s="44" t="s">
        <v>1065</v>
      </c>
    </row>
    <row r="12" spans="1:4" ht="12.75" outlineLevel="1" x14ac:dyDescent="0.2">
      <c r="A12" s="42">
        <v>14</v>
      </c>
      <c r="B12" s="44" t="s">
        <v>839</v>
      </c>
      <c r="C12" s="44" t="s">
        <v>1064</v>
      </c>
    </row>
    <row r="13" spans="1:4" ht="12.75" outlineLevel="1" x14ac:dyDescent="0.2">
      <c r="A13" s="42">
        <v>15</v>
      </c>
      <c r="B13" s="44" t="s">
        <v>829</v>
      </c>
      <c r="C13" s="48" t="s">
        <v>1063</v>
      </c>
    </row>
    <row r="14" spans="1:4" ht="12.75" outlineLevel="1" x14ac:dyDescent="0.2">
      <c r="A14" s="42">
        <v>16</v>
      </c>
      <c r="B14" s="44" t="s">
        <v>1062</v>
      </c>
      <c r="C14" s="61" t="s">
        <v>1061</v>
      </c>
    </row>
    <row r="15" spans="1:4" s="18" customFormat="1" ht="12.75" outlineLevel="1" x14ac:dyDescent="0.2">
      <c r="A15" s="49">
        <v>17</v>
      </c>
      <c r="B15" s="48" t="s">
        <v>1060</v>
      </c>
      <c r="C15" s="48" t="s">
        <v>1059</v>
      </c>
    </row>
    <row r="16" spans="1:4" ht="12.75" outlineLevel="1" x14ac:dyDescent="0.2">
      <c r="A16" s="42">
        <v>19</v>
      </c>
      <c r="B16" s="44" t="s">
        <v>806</v>
      </c>
      <c r="C16" s="44" t="s">
        <v>1058</v>
      </c>
    </row>
    <row r="17" spans="1:3" ht="12.75" x14ac:dyDescent="0.2">
      <c r="A17" s="47">
        <v>2</v>
      </c>
      <c r="B17" s="46" t="s">
        <v>874</v>
      </c>
      <c r="C17" s="45" t="s">
        <v>1057</v>
      </c>
    </row>
    <row r="18" spans="1:3" ht="25.5" outlineLevel="1" x14ac:dyDescent="0.2">
      <c r="A18" s="42">
        <v>21</v>
      </c>
      <c r="B18" s="48" t="s">
        <v>874</v>
      </c>
      <c r="C18" s="50" t="s">
        <v>1056</v>
      </c>
    </row>
    <row r="19" spans="1:3" ht="25.5" outlineLevel="1" x14ac:dyDescent="0.2">
      <c r="A19" s="42">
        <v>22</v>
      </c>
      <c r="B19" s="44" t="s">
        <v>862</v>
      </c>
      <c r="C19" s="44" t="s">
        <v>1055</v>
      </c>
    </row>
    <row r="20" spans="1:3" ht="30.75" customHeight="1" outlineLevel="1" x14ac:dyDescent="0.2">
      <c r="A20" s="42">
        <v>23</v>
      </c>
      <c r="B20" s="44" t="s">
        <v>849</v>
      </c>
      <c r="C20" s="50" t="s">
        <v>1054</v>
      </c>
    </row>
    <row r="21" spans="1:3" ht="39.75" customHeight="1" outlineLevel="1" x14ac:dyDescent="0.2">
      <c r="A21" s="42">
        <v>24</v>
      </c>
      <c r="B21" s="44" t="s">
        <v>838</v>
      </c>
      <c r="C21" s="50" t="s">
        <v>1053</v>
      </c>
    </row>
    <row r="22" spans="1:3" ht="12.75" outlineLevel="1" x14ac:dyDescent="0.2">
      <c r="A22" s="42">
        <v>25</v>
      </c>
      <c r="B22" s="44" t="s">
        <v>828</v>
      </c>
      <c r="C22" s="44" t="s">
        <v>1052</v>
      </c>
    </row>
    <row r="23" spans="1:3" ht="27.75" customHeight="1" outlineLevel="1" x14ac:dyDescent="0.2">
      <c r="A23" s="49">
        <v>26</v>
      </c>
      <c r="B23" s="48" t="s">
        <v>818</v>
      </c>
      <c r="C23" s="50" t="s">
        <v>1051</v>
      </c>
    </row>
    <row r="24" spans="1:3" ht="93.75" customHeight="1" outlineLevel="1" x14ac:dyDescent="0.2">
      <c r="A24" s="49">
        <v>27</v>
      </c>
      <c r="B24" s="48" t="s">
        <v>812</v>
      </c>
      <c r="C24" s="50" t="s">
        <v>1050</v>
      </c>
    </row>
    <row r="25" spans="1:3" ht="12.75" outlineLevel="1" x14ac:dyDescent="0.2">
      <c r="A25" s="49">
        <v>28</v>
      </c>
      <c r="B25" s="48" t="s">
        <v>809</v>
      </c>
      <c r="C25" s="48" t="s">
        <v>1049</v>
      </c>
    </row>
    <row r="26" spans="1:3" ht="12.75" outlineLevel="1" x14ac:dyDescent="0.2">
      <c r="A26" s="42">
        <v>29</v>
      </c>
      <c r="B26" s="44" t="s">
        <v>806</v>
      </c>
      <c r="C26" s="50" t="s">
        <v>1048</v>
      </c>
    </row>
    <row r="27" spans="1:3" ht="12.75" x14ac:dyDescent="0.2">
      <c r="A27" s="47">
        <v>3</v>
      </c>
      <c r="B27" s="46" t="s">
        <v>890</v>
      </c>
      <c r="C27" s="59" t="s">
        <v>1047</v>
      </c>
    </row>
    <row r="28" spans="1:3" ht="12.75" outlineLevel="1" x14ac:dyDescent="0.2">
      <c r="A28" s="42">
        <v>31</v>
      </c>
      <c r="B28" s="44" t="s">
        <v>873</v>
      </c>
      <c r="C28" s="50" t="s">
        <v>1046</v>
      </c>
    </row>
    <row r="29" spans="1:3" ht="12.75" outlineLevel="1" x14ac:dyDescent="0.2">
      <c r="A29" s="49">
        <v>32</v>
      </c>
      <c r="B29" s="48" t="s">
        <v>861</v>
      </c>
      <c r="C29" s="44" t="s">
        <v>1045</v>
      </c>
    </row>
    <row r="30" spans="1:3" ht="12.75" outlineLevel="1" x14ac:dyDescent="0.2">
      <c r="A30" s="49">
        <v>33</v>
      </c>
      <c r="B30" s="48" t="s">
        <v>848</v>
      </c>
      <c r="C30" s="44" t="s">
        <v>1044</v>
      </c>
    </row>
    <row r="31" spans="1:3" ht="25.5" outlineLevel="1" x14ac:dyDescent="0.2">
      <c r="A31" s="42">
        <v>34</v>
      </c>
      <c r="B31" s="44" t="s">
        <v>837</v>
      </c>
      <c r="C31" s="50" t="s">
        <v>1043</v>
      </c>
    </row>
    <row r="32" spans="1:3" ht="12.75" outlineLevel="1" x14ac:dyDescent="0.2">
      <c r="A32" s="42">
        <v>39</v>
      </c>
      <c r="B32" s="44" t="s">
        <v>806</v>
      </c>
      <c r="C32" s="44" t="s">
        <v>1042</v>
      </c>
    </row>
    <row r="33" spans="1:3" ht="65.25" customHeight="1" x14ac:dyDescent="0.2">
      <c r="A33" s="55">
        <v>4</v>
      </c>
      <c r="B33" s="54" t="s">
        <v>1041</v>
      </c>
      <c r="C33" s="60" t="s">
        <v>1040</v>
      </c>
    </row>
    <row r="34" spans="1:3" ht="12.75" outlineLevel="1" x14ac:dyDescent="0.2">
      <c r="A34" s="49">
        <v>41</v>
      </c>
      <c r="B34" s="48" t="s">
        <v>872</v>
      </c>
      <c r="C34" s="48" t="s">
        <v>1039</v>
      </c>
    </row>
    <row r="35" spans="1:3" ht="12.75" outlineLevel="1" x14ac:dyDescent="0.2">
      <c r="A35" s="49">
        <v>42</v>
      </c>
      <c r="B35" s="48" t="s">
        <v>860</v>
      </c>
      <c r="C35" s="48" t="s">
        <v>1038</v>
      </c>
    </row>
    <row r="36" spans="1:3" ht="12.75" outlineLevel="1" x14ac:dyDescent="0.2">
      <c r="A36" s="49">
        <v>43</v>
      </c>
      <c r="B36" s="48" t="s">
        <v>847</v>
      </c>
      <c r="C36" s="48" t="s">
        <v>1037</v>
      </c>
    </row>
    <row r="37" spans="1:3" ht="38.25" outlineLevel="1" x14ac:dyDescent="0.2">
      <c r="A37" s="49">
        <v>44</v>
      </c>
      <c r="B37" s="48" t="s">
        <v>836</v>
      </c>
      <c r="C37" s="50" t="s">
        <v>1036</v>
      </c>
    </row>
    <row r="38" spans="1:3" ht="12.75" outlineLevel="1" x14ac:dyDescent="0.2">
      <c r="A38" s="49">
        <v>45</v>
      </c>
      <c r="B38" s="48" t="s">
        <v>827</v>
      </c>
      <c r="C38" s="50" t="s">
        <v>1035</v>
      </c>
    </row>
    <row r="39" spans="1:3" ht="25.5" outlineLevel="1" x14ac:dyDescent="0.2">
      <c r="A39" s="49">
        <v>46</v>
      </c>
      <c r="B39" s="48" t="s">
        <v>817</v>
      </c>
      <c r="C39" s="50" t="s">
        <v>1034</v>
      </c>
    </row>
    <row r="40" spans="1:3" ht="27" customHeight="1" outlineLevel="1" x14ac:dyDescent="0.2">
      <c r="A40" s="49">
        <v>47</v>
      </c>
      <c r="B40" s="48" t="s">
        <v>811</v>
      </c>
      <c r="C40" s="48" t="s">
        <v>1033</v>
      </c>
    </row>
    <row r="41" spans="1:3" ht="25.5" outlineLevel="1" x14ac:dyDescent="0.2">
      <c r="A41" s="49">
        <v>48</v>
      </c>
      <c r="B41" s="48" t="s">
        <v>808</v>
      </c>
      <c r="C41" s="48" t="s">
        <v>1032</v>
      </c>
    </row>
    <row r="42" spans="1:3" ht="12.75" outlineLevel="1" x14ac:dyDescent="0.2">
      <c r="A42" s="49">
        <v>49</v>
      </c>
      <c r="B42" s="48" t="s">
        <v>806</v>
      </c>
      <c r="C42" s="48" t="s">
        <v>1031</v>
      </c>
    </row>
    <row r="43" spans="1:3" ht="69" customHeight="1" x14ac:dyDescent="0.2">
      <c r="A43" s="55">
        <v>5</v>
      </c>
      <c r="B43" s="54" t="s">
        <v>888</v>
      </c>
      <c r="C43" s="59" t="s">
        <v>1030</v>
      </c>
    </row>
    <row r="44" spans="1:3" ht="12.75" outlineLevel="1" x14ac:dyDescent="0.2">
      <c r="A44" s="42">
        <v>51</v>
      </c>
      <c r="B44" s="44" t="s">
        <v>871</v>
      </c>
      <c r="C44" s="44" t="s">
        <v>1029</v>
      </c>
    </row>
    <row r="45" spans="1:3" ht="12.75" outlineLevel="1" x14ac:dyDescent="0.2">
      <c r="A45" s="42">
        <v>52</v>
      </c>
      <c r="B45" s="44" t="s">
        <v>859</v>
      </c>
      <c r="C45" s="44" t="s">
        <v>1028</v>
      </c>
    </row>
    <row r="46" spans="1:3" ht="12.75" outlineLevel="1" x14ac:dyDescent="0.2">
      <c r="A46" s="42">
        <v>53</v>
      </c>
      <c r="B46" s="44" t="s">
        <v>846</v>
      </c>
      <c r="C46" s="44" t="s">
        <v>1027</v>
      </c>
    </row>
    <row r="47" spans="1:3" ht="12.75" outlineLevel="1" x14ac:dyDescent="0.2">
      <c r="A47" s="42">
        <v>54</v>
      </c>
      <c r="B47" s="44" t="s">
        <v>835</v>
      </c>
      <c r="C47" s="44" t="s">
        <v>1026</v>
      </c>
    </row>
    <row r="48" spans="1:3" ht="12.75" outlineLevel="1" x14ac:dyDescent="0.2">
      <c r="A48" s="42">
        <v>55</v>
      </c>
      <c r="B48" s="44" t="s">
        <v>826</v>
      </c>
      <c r="C48" s="44" t="s">
        <v>1025</v>
      </c>
    </row>
    <row r="49" spans="1:3" ht="12.75" outlineLevel="1" x14ac:dyDescent="0.2">
      <c r="A49" s="42">
        <v>56</v>
      </c>
      <c r="B49" s="44" t="s">
        <v>816</v>
      </c>
      <c r="C49" s="44" t="s">
        <v>1024</v>
      </c>
    </row>
    <row r="50" spans="1:3" ht="12.75" outlineLevel="1" x14ac:dyDescent="0.2">
      <c r="A50" s="42">
        <v>57</v>
      </c>
      <c r="B50" s="44" t="s">
        <v>810</v>
      </c>
      <c r="C50" s="44" t="s">
        <v>1023</v>
      </c>
    </row>
    <row r="51" spans="1:3" ht="12.75" outlineLevel="1" x14ac:dyDescent="0.2">
      <c r="A51" s="42">
        <v>58</v>
      </c>
      <c r="B51" s="44" t="s">
        <v>807</v>
      </c>
      <c r="C51" s="44" t="s">
        <v>1022</v>
      </c>
    </row>
    <row r="52" spans="1:3" ht="12.75" outlineLevel="1" x14ac:dyDescent="0.2">
      <c r="A52" s="42">
        <v>59</v>
      </c>
      <c r="B52" s="44" t="s">
        <v>806</v>
      </c>
      <c r="C52" s="44" t="s">
        <v>1021</v>
      </c>
    </row>
    <row r="53" spans="1:3" ht="54.75" customHeight="1" x14ac:dyDescent="0.2">
      <c r="A53" s="47">
        <v>6</v>
      </c>
      <c r="B53" s="46" t="s">
        <v>887</v>
      </c>
      <c r="C53" s="45" t="s">
        <v>1020</v>
      </c>
    </row>
    <row r="54" spans="1:3" ht="12.75" outlineLevel="1" x14ac:dyDescent="0.2">
      <c r="A54" s="42">
        <v>61</v>
      </c>
      <c r="B54" s="44" t="s">
        <v>871</v>
      </c>
      <c r="C54" s="44" t="s">
        <v>1019</v>
      </c>
    </row>
    <row r="55" spans="1:3" ht="12.75" outlineLevel="1" x14ac:dyDescent="0.2">
      <c r="A55" s="42">
        <v>62</v>
      </c>
      <c r="B55" s="44" t="s">
        <v>859</v>
      </c>
      <c r="C55" s="44" t="s">
        <v>1018</v>
      </c>
    </row>
    <row r="56" spans="1:3" ht="12.75" outlineLevel="1" x14ac:dyDescent="0.2">
      <c r="A56" s="42">
        <v>63</v>
      </c>
      <c r="B56" s="44" t="s">
        <v>846</v>
      </c>
      <c r="C56" s="44" t="s">
        <v>1017</v>
      </c>
    </row>
    <row r="57" spans="1:3" ht="12.75" outlineLevel="1" x14ac:dyDescent="0.2">
      <c r="A57" s="42">
        <v>64</v>
      </c>
      <c r="B57" s="44" t="s">
        <v>835</v>
      </c>
      <c r="C57" s="44" t="s">
        <v>1016</v>
      </c>
    </row>
    <row r="58" spans="1:3" ht="12.75" outlineLevel="1" x14ac:dyDescent="0.2">
      <c r="A58" s="42">
        <v>65</v>
      </c>
      <c r="B58" s="44" t="s">
        <v>826</v>
      </c>
      <c r="C58" s="44" t="s">
        <v>1015</v>
      </c>
    </row>
    <row r="59" spans="1:3" ht="12.75" outlineLevel="1" x14ac:dyDescent="0.2">
      <c r="A59" s="42">
        <v>66</v>
      </c>
      <c r="B59" s="44" t="s">
        <v>816</v>
      </c>
      <c r="C59" s="44" t="s">
        <v>1014</v>
      </c>
    </row>
    <row r="60" spans="1:3" ht="12.75" outlineLevel="1" x14ac:dyDescent="0.2">
      <c r="A60" s="42">
        <v>67</v>
      </c>
      <c r="B60" s="44" t="s">
        <v>810</v>
      </c>
      <c r="C60" s="44" t="s">
        <v>1013</v>
      </c>
    </row>
    <row r="61" spans="1:3" ht="12.75" outlineLevel="1" x14ac:dyDescent="0.2">
      <c r="A61" s="42">
        <v>68</v>
      </c>
      <c r="B61" s="44" t="s">
        <v>807</v>
      </c>
      <c r="C61" s="44" t="s">
        <v>1012</v>
      </c>
    </row>
    <row r="62" spans="1:3" ht="12.75" outlineLevel="1" x14ac:dyDescent="0.2">
      <c r="A62" s="42">
        <v>69</v>
      </c>
      <c r="B62" s="44" t="s">
        <v>806</v>
      </c>
      <c r="C62" s="44" t="s">
        <v>1011</v>
      </c>
    </row>
    <row r="63" spans="1:3" ht="12.75" x14ac:dyDescent="0.2">
      <c r="A63" s="47">
        <v>7</v>
      </c>
      <c r="B63" s="54" t="s">
        <v>886</v>
      </c>
      <c r="C63" s="45" t="s">
        <v>1010</v>
      </c>
    </row>
    <row r="64" spans="1:3" ht="12.75" outlineLevel="1" x14ac:dyDescent="0.2">
      <c r="A64" s="42">
        <v>71</v>
      </c>
      <c r="B64" s="48" t="s">
        <v>65</v>
      </c>
      <c r="C64" s="44" t="s">
        <v>1009</v>
      </c>
    </row>
    <row r="65" spans="1:3" ht="25.5" outlineLevel="1" x14ac:dyDescent="0.2">
      <c r="A65" s="42">
        <v>72</v>
      </c>
      <c r="B65" s="48" t="s">
        <v>1008</v>
      </c>
      <c r="C65" s="44" t="s">
        <v>1007</v>
      </c>
    </row>
    <row r="66" spans="1:3" ht="25.5" outlineLevel="1" x14ac:dyDescent="0.2">
      <c r="A66" s="42">
        <v>73</v>
      </c>
      <c r="B66" s="48" t="s">
        <v>845</v>
      </c>
      <c r="C66" s="48" t="s">
        <v>1006</v>
      </c>
    </row>
    <row r="67" spans="1:3" ht="29.25" customHeight="1" outlineLevel="1" x14ac:dyDescent="0.2">
      <c r="A67" s="42">
        <v>74</v>
      </c>
      <c r="B67" s="58" t="s">
        <v>834</v>
      </c>
      <c r="C67" s="44" t="s">
        <v>1005</v>
      </c>
    </row>
    <row r="68" spans="1:3" ht="12.75" outlineLevel="1" x14ac:dyDescent="0.2">
      <c r="A68" s="42">
        <v>75</v>
      </c>
      <c r="B68" s="48" t="s">
        <v>825</v>
      </c>
      <c r="C68" s="44" t="s">
        <v>1004</v>
      </c>
    </row>
    <row r="69" spans="1:3" ht="12.75" outlineLevel="1" x14ac:dyDescent="0.2">
      <c r="A69" s="42">
        <v>79</v>
      </c>
      <c r="B69" s="44" t="s">
        <v>806</v>
      </c>
      <c r="C69" s="44" t="s">
        <v>1003</v>
      </c>
    </row>
    <row r="70" spans="1:3" ht="12.75" x14ac:dyDescent="0.2">
      <c r="A70" s="55">
        <v>8</v>
      </c>
      <c r="B70" s="54" t="s">
        <v>885</v>
      </c>
      <c r="C70" s="45" t="s">
        <v>1002</v>
      </c>
    </row>
    <row r="71" spans="1:3" ht="12.75" outlineLevel="1" x14ac:dyDescent="0.2">
      <c r="A71" s="49">
        <v>81</v>
      </c>
      <c r="B71" s="57" t="s">
        <v>870</v>
      </c>
      <c r="C71" s="44" t="s">
        <v>1001</v>
      </c>
    </row>
    <row r="72" spans="1:3" ht="12.75" outlineLevel="1" x14ac:dyDescent="0.2">
      <c r="A72" s="49">
        <v>82</v>
      </c>
      <c r="B72" s="48" t="s">
        <v>857</v>
      </c>
      <c r="C72" s="44" t="s">
        <v>1000</v>
      </c>
    </row>
    <row r="73" spans="1:3" ht="12.75" outlineLevel="1" x14ac:dyDescent="0.2">
      <c r="A73" s="49">
        <v>84</v>
      </c>
      <c r="B73" s="48" t="s">
        <v>833</v>
      </c>
      <c r="C73" s="50" t="s">
        <v>999</v>
      </c>
    </row>
    <row r="74" spans="1:3" ht="12.75" outlineLevel="1" x14ac:dyDescent="0.2">
      <c r="A74" s="49">
        <v>85</v>
      </c>
      <c r="B74" s="48" t="s">
        <v>824</v>
      </c>
      <c r="C74" s="50" t="s">
        <v>998</v>
      </c>
    </row>
    <row r="75" spans="1:3" s="56" customFormat="1" ht="12.75" outlineLevel="1" x14ac:dyDescent="0.2">
      <c r="A75" s="49">
        <v>86</v>
      </c>
      <c r="B75" s="48" t="s">
        <v>815</v>
      </c>
      <c r="C75" s="50" t="s">
        <v>997</v>
      </c>
    </row>
    <row r="76" spans="1:3" ht="12.75" outlineLevel="1" x14ac:dyDescent="0.2">
      <c r="A76" s="42">
        <v>89</v>
      </c>
      <c r="B76" s="44" t="s">
        <v>806</v>
      </c>
      <c r="C76" s="44" t="s">
        <v>996</v>
      </c>
    </row>
    <row r="77" spans="1:3" ht="12.75" x14ac:dyDescent="0.2">
      <c r="A77" s="55">
        <v>9</v>
      </c>
      <c r="B77" s="54" t="s">
        <v>67</v>
      </c>
      <c r="C77" s="45" t="s">
        <v>995</v>
      </c>
    </row>
    <row r="78" spans="1:3" ht="12.75" outlineLevel="1" x14ac:dyDescent="0.2">
      <c r="A78" s="42">
        <v>91</v>
      </c>
      <c r="B78" s="48" t="s">
        <v>869</v>
      </c>
      <c r="C78" s="44" t="s">
        <v>994</v>
      </c>
    </row>
    <row r="79" spans="1:3" ht="12.75" outlineLevel="1" x14ac:dyDescent="0.2">
      <c r="A79" s="42">
        <v>92</v>
      </c>
      <c r="B79" s="48" t="s">
        <v>856</v>
      </c>
      <c r="C79" s="44" t="s">
        <v>993</v>
      </c>
    </row>
    <row r="80" spans="1:3" ht="12.75" outlineLevel="1" x14ac:dyDescent="0.2">
      <c r="A80" s="49">
        <v>93</v>
      </c>
      <c r="B80" s="48" t="s">
        <v>844</v>
      </c>
      <c r="C80" s="44" t="s">
        <v>992</v>
      </c>
    </row>
    <row r="81" spans="1:3" ht="12.75" outlineLevel="1" x14ac:dyDescent="0.2">
      <c r="A81" s="42">
        <v>94</v>
      </c>
      <c r="B81" s="44" t="s">
        <v>832</v>
      </c>
      <c r="C81" s="44" t="s">
        <v>991</v>
      </c>
    </row>
    <row r="82" spans="1:3" ht="12.75" outlineLevel="1" x14ac:dyDescent="0.2">
      <c r="A82" s="42">
        <v>95</v>
      </c>
      <c r="B82" s="50" t="s">
        <v>823</v>
      </c>
      <c r="C82" s="50" t="s">
        <v>990</v>
      </c>
    </row>
    <row r="83" spans="1:3" ht="12.75" outlineLevel="1" x14ac:dyDescent="0.2">
      <c r="A83" s="42">
        <v>99</v>
      </c>
      <c r="B83" s="44" t="s">
        <v>806</v>
      </c>
      <c r="C83" s="44" t="s">
        <v>989</v>
      </c>
    </row>
    <row r="84" spans="1:3" s="51" customFormat="1" ht="12.75" outlineLevel="1" x14ac:dyDescent="0.2">
      <c r="A84" s="53">
        <v>0</v>
      </c>
      <c r="B84" s="52" t="s">
        <v>884</v>
      </c>
      <c r="C84" s="52" t="s">
        <v>988</v>
      </c>
    </row>
    <row r="85" spans="1:3" ht="25.5" x14ac:dyDescent="0.2">
      <c r="A85" s="47" t="s">
        <v>48</v>
      </c>
      <c r="B85" s="46" t="s">
        <v>883</v>
      </c>
      <c r="C85" s="45" t="s">
        <v>987</v>
      </c>
    </row>
    <row r="86" spans="1:3" ht="12.75" outlineLevel="1" x14ac:dyDescent="0.2">
      <c r="A86" s="42" t="s">
        <v>35</v>
      </c>
      <c r="B86" s="44" t="s">
        <v>868</v>
      </c>
      <c r="C86" s="44" t="s">
        <v>986</v>
      </c>
    </row>
    <row r="87" spans="1:3" ht="12.75" outlineLevel="1" x14ac:dyDescent="0.2">
      <c r="A87" s="42" t="s">
        <v>24</v>
      </c>
      <c r="B87" s="44" t="s">
        <v>855</v>
      </c>
      <c r="C87" s="44" t="s">
        <v>985</v>
      </c>
    </row>
    <row r="88" spans="1:3" ht="12.75" outlineLevel="1" x14ac:dyDescent="0.2">
      <c r="A88" s="42" t="s">
        <v>28</v>
      </c>
      <c r="B88" s="44" t="s">
        <v>843</v>
      </c>
      <c r="C88" s="44" t="s">
        <v>984</v>
      </c>
    </row>
    <row r="89" spans="1:3" ht="12.75" outlineLevel="1" x14ac:dyDescent="0.2">
      <c r="A89" s="42" t="s">
        <v>983</v>
      </c>
      <c r="B89" s="44" t="s">
        <v>822</v>
      </c>
      <c r="C89" s="44" t="s">
        <v>982</v>
      </c>
    </row>
    <row r="90" spans="1:3" ht="12.75" outlineLevel="1" x14ac:dyDescent="0.2">
      <c r="A90" s="49" t="s">
        <v>981</v>
      </c>
      <c r="B90" s="48" t="s">
        <v>810</v>
      </c>
      <c r="C90" s="48" t="s">
        <v>980</v>
      </c>
    </row>
    <row r="91" spans="1:3" ht="12.75" outlineLevel="1" x14ac:dyDescent="0.2">
      <c r="A91" s="49" t="s">
        <v>979</v>
      </c>
      <c r="B91" s="48" t="s">
        <v>807</v>
      </c>
      <c r="C91" s="48" t="s">
        <v>978</v>
      </c>
    </row>
    <row r="92" spans="1:3" ht="12.75" outlineLevel="1" x14ac:dyDescent="0.2">
      <c r="A92" s="42" t="s">
        <v>977</v>
      </c>
      <c r="B92" s="44" t="s">
        <v>806</v>
      </c>
      <c r="C92" s="44" t="s">
        <v>976</v>
      </c>
    </row>
    <row r="93" spans="1:3" ht="25.5" x14ac:dyDescent="0.2">
      <c r="A93" s="47" t="s">
        <v>895</v>
      </c>
      <c r="B93" s="46" t="s">
        <v>882</v>
      </c>
      <c r="C93" s="45" t="s">
        <v>975</v>
      </c>
    </row>
    <row r="94" spans="1:3" ht="12.75" outlineLevel="1" x14ac:dyDescent="0.2">
      <c r="A94" s="42" t="s">
        <v>45</v>
      </c>
      <c r="B94" s="44" t="s">
        <v>867</v>
      </c>
      <c r="C94" s="44" t="s">
        <v>974</v>
      </c>
    </row>
    <row r="95" spans="1:3" ht="12.75" outlineLevel="1" x14ac:dyDescent="0.2">
      <c r="A95" s="42" t="s">
        <v>973</v>
      </c>
      <c r="B95" s="44" t="s">
        <v>854</v>
      </c>
      <c r="C95" s="44" t="s">
        <v>972</v>
      </c>
    </row>
    <row r="96" spans="1:3" ht="12.75" outlineLevel="1" x14ac:dyDescent="0.2">
      <c r="A96" s="42" t="s">
        <v>971</v>
      </c>
      <c r="B96" s="44" t="s">
        <v>842</v>
      </c>
      <c r="C96" s="44" t="s">
        <v>970</v>
      </c>
    </row>
    <row r="97" spans="1:3" ht="12.75" outlineLevel="1" x14ac:dyDescent="0.2">
      <c r="A97" s="42" t="s">
        <v>969</v>
      </c>
      <c r="B97" s="44" t="s">
        <v>831</v>
      </c>
      <c r="C97" s="44" t="s">
        <v>968</v>
      </c>
    </row>
    <row r="98" spans="1:3" ht="12.75" outlineLevel="1" x14ac:dyDescent="0.2">
      <c r="A98" s="42" t="s">
        <v>967</v>
      </c>
      <c r="B98" s="44" t="s">
        <v>821</v>
      </c>
      <c r="C98" s="44" t="s">
        <v>966</v>
      </c>
    </row>
    <row r="99" spans="1:3" ht="25.5" outlineLevel="1" x14ac:dyDescent="0.2">
      <c r="A99" s="42" t="s">
        <v>965</v>
      </c>
      <c r="B99" s="44" t="s">
        <v>814</v>
      </c>
      <c r="C99" s="44" t="s">
        <v>964</v>
      </c>
    </row>
    <row r="100" spans="1:3" ht="12.75" outlineLevel="1" x14ac:dyDescent="0.2">
      <c r="A100" s="49" t="s">
        <v>963</v>
      </c>
      <c r="B100" s="48" t="s">
        <v>810</v>
      </c>
      <c r="C100" s="48" t="s">
        <v>962</v>
      </c>
    </row>
    <row r="101" spans="1:3" ht="12.75" outlineLevel="1" x14ac:dyDescent="0.2">
      <c r="A101" s="49" t="s">
        <v>961</v>
      </c>
      <c r="B101" s="48" t="s">
        <v>807</v>
      </c>
      <c r="C101" s="48" t="s">
        <v>960</v>
      </c>
    </row>
    <row r="102" spans="1:3" ht="12.75" outlineLevel="1" x14ac:dyDescent="0.2">
      <c r="A102" s="42" t="s">
        <v>959</v>
      </c>
      <c r="B102" s="44" t="s">
        <v>806</v>
      </c>
      <c r="C102" s="44" t="s">
        <v>958</v>
      </c>
    </row>
    <row r="103" spans="1:3" ht="25.5" x14ac:dyDescent="0.2">
      <c r="A103" s="47" t="s">
        <v>894</v>
      </c>
      <c r="B103" s="46" t="s">
        <v>881</v>
      </c>
      <c r="C103" s="45" t="s">
        <v>957</v>
      </c>
    </row>
    <row r="104" spans="1:3" ht="12.75" outlineLevel="1" x14ac:dyDescent="0.2">
      <c r="A104" s="42" t="s">
        <v>956</v>
      </c>
      <c r="B104" s="44" t="s">
        <v>867</v>
      </c>
      <c r="C104" s="44" t="s">
        <v>955</v>
      </c>
    </row>
    <row r="105" spans="1:3" ht="12.75" outlineLevel="1" x14ac:dyDescent="0.2">
      <c r="A105" s="42" t="s">
        <v>954</v>
      </c>
      <c r="B105" s="44" t="s">
        <v>854</v>
      </c>
      <c r="C105" s="44" t="s">
        <v>953</v>
      </c>
    </row>
    <row r="106" spans="1:3" ht="12.75" outlineLevel="1" x14ac:dyDescent="0.2">
      <c r="A106" s="42" t="s">
        <v>952</v>
      </c>
      <c r="B106" s="44" t="s">
        <v>842</v>
      </c>
      <c r="C106" s="44" t="s">
        <v>951</v>
      </c>
    </row>
    <row r="107" spans="1:3" ht="12.75" outlineLevel="1" x14ac:dyDescent="0.2">
      <c r="A107" s="42" t="s">
        <v>950</v>
      </c>
      <c r="B107" s="44" t="s">
        <v>831</v>
      </c>
      <c r="C107" s="44" t="s">
        <v>949</v>
      </c>
    </row>
    <row r="108" spans="1:3" ht="12.75" outlineLevel="1" x14ac:dyDescent="0.2">
      <c r="A108" s="42" t="s">
        <v>948</v>
      </c>
      <c r="B108" s="44" t="s">
        <v>821</v>
      </c>
      <c r="C108" s="44" t="s">
        <v>947</v>
      </c>
    </row>
    <row r="109" spans="1:3" ht="25.5" outlineLevel="1" x14ac:dyDescent="0.2">
      <c r="A109" s="42" t="s">
        <v>946</v>
      </c>
      <c r="B109" s="44" t="s">
        <v>814</v>
      </c>
      <c r="C109" s="44" t="s">
        <v>945</v>
      </c>
    </row>
    <row r="110" spans="1:3" ht="12.75" outlineLevel="1" x14ac:dyDescent="0.2">
      <c r="A110" s="49" t="s">
        <v>944</v>
      </c>
      <c r="B110" s="48" t="s">
        <v>810</v>
      </c>
      <c r="C110" s="48" t="s">
        <v>943</v>
      </c>
    </row>
    <row r="111" spans="1:3" ht="12.75" outlineLevel="1" x14ac:dyDescent="0.2">
      <c r="A111" s="49" t="s">
        <v>942</v>
      </c>
      <c r="B111" s="48" t="s">
        <v>807</v>
      </c>
      <c r="C111" s="48" t="s">
        <v>941</v>
      </c>
    </row>
    <row r="112" spans="1:3" ht="12.75" outlineLevel="1" x14ac:dyDescent="0.2">
      <c r="A112" s="42" t="s">
        <v>940</v>
      </c>
      <c r="B112" s="44" t="s">
        <v>806</v>
      </c>
      <c r="C112" s="44" t="s">
        <v>939</v>
      </c>
    </row>
    <row r="113" spans="1:3" ht="25.5" x14ac:dyDescent="0.2">
      <c r="A113" s="47" t="s">
        <v>893</v>
      </c>
      <c r="B113" s="46" t="s">
        <v>880</v>
      </c>
      <c r="C113" s="45" t="s">
        <v>938</v>
      </c>
    </row>
    <row r="114" spans="1:3" ht="12.75" outlineLevel="1" x14ac:dyDescent="0.2">
      <c r="A114" s="42" t="s">
        <v>937</v>
      </c>
      <c r="B114" s="44" t="s">
        <v>866</v>
      </c>
      <c r="C114" s="44" t="s">
        <v>936</v>
      </c>
    </row>
    <row r="115" spans="1:3" ht="12.75" outlineLevel="1" x14ac:dyDescent="0.2">
      <c r="A115" s="42" t="s">
        <v>935</v>
      </c>
      <c r="B115" s="44" t="s">
        <v>853</v>
      </c>
      <c r="C115" s="44" t="s">
        <v>934</v>
      </c>
    </row>
    <row r="116" spans="1:3" ht="12.75" outlineLevel="1" x14ac:dyDescent="0.2">
      <c r="A116" s="42" t="s">
        <v>933</v>
      </c>
      <c r="B116" s="44" t="s">
        <v>841</v>
      </c>
      <c r="C116" s="44" t="s">
        <v>932</v>
      </c>
    </row>
    <row r="117" spans="1:3" ht="12.75" outlineLevel="1" x14ac:dyDescent="0.2">
      <c r="A117" s="42" t="s">
        <v>931</v>
      </c>
      <c r="B117" s="44" t="s">
        <v>820</v>
      </c>
      <c r="C117" s="44" t="s">
        <v>930</v>
      </c>
    </row>
    <row r="118" spans="1:3" ht="12.75" outlineLevel="1" x14ac:dyDescent="0.2">
      <c r="A118" s="49" t="s">
        <v>929</v>
      </c>
      <c r="B118" s="48" t="s">
        <v>810</v>
      </c>
      <c r="C118" s="48" t="s">
        <v>928</v>
      </c>
    </row>
    <row r="119" spans="1:3" ht="12.75" outlineLevel="1" x14ac:dyDescent="0.2">
      <c r="A119" s="49" t="s">
        <v>927</v>
      </c>
      <c r="B119" s="48" t="s">
        <v>807</v>
      </c>
      <c r="C119" s="48" t="s">
        <v>926</v>
      </c>
    </row>
    <row r="120" spans="1:3" ht="12.75" outlineLevel="1" x14ac:dyDescent="0.2">
      <c r="A120" s="42" t="s">
        <v>925</v>
      </c>
      <c r="B120" s="44" t="s">
        <v>806</v>
      </c>
      <c r="C120" s="44" t="s">
        <v>924</v>
      </c>
    </row>
    <row r="121" spans="1:3" ht="12.75" x14ac:dyDescent="0.2">
      <c r="A121" s="47" t="s">
        <v>13</v>
      </c>
      <c r="B121" s="46" t="s">
        <v>879</v>
      </c>
      <c r="C121" s="45" t="s">
        <v>923</v>
      </c>
    </row>
    <row r="122" spans="1:3" ht="25.5" outlineLevel="1" x14ac:dyDescent="0.2">
      <c r="A122" s="42" t="s">
        <v>922</v>
      </c>
      <c r="B122" s="44" t="s">
        <v>865</v>
      </c>
      <c r="C122" s="50" t="s">
        <v>921</v>
      </c>
    </row>
    <row r="123" spans="1:3" ht="25.5" outlineLevel="1" x14ac:dyDescent="0.2">
      <c r="A123" s="42" t="s">
        <v>920</v>
      </c>
      <c r="B123" s="44" t="s">
        <v>852</v>
      </c>
      <c r="C123" s="44" t="s">
        <v>919</v>
      </c>
    </row>
    <row r="124" spans="1:3" ht="12.75" outlineLevel="1" x14ac:dyDescent="0.2">
      <c r="A124" s="49" t="s">
        <v>918</v>
      </c>
      <c r="B124" s="48" t="s">
        <v>810</v>
      </c>
      <c r="C124" s="48" t="s">
        <v>917</v>
      </c>
    </row>
    <row r="125" spans="1:3" ht="12.75" outlineLevel="1" x14ac:dyDescent="0.2">
      <c r="A125" s="49" t="s">
        <v>916</v>
      </c>
      <c r="B125" s="48" t="s">
        <v>807</v>
      </c>
      <c r="C125" s="48" t="s">
        <v>915</v>
      </c>
    </row>
    <row r="126" spans="1:3" ht="12.75" outlineLevel="1" x14ac:dyDescent="0.2">
      <c r="A126" s="42" t="s">
        <v>914</v>
      </c>
      <c r="B126" s="44" t="s">
        <v>806</v>
      </c>
      <c r="C126" s="44" t="s">
        <v>913</v>
      </c>
    </row>
    <row r="127" spans="1:3" ht="12.75" x14ac:dyDescent="0.2">
      <c r="A127" s="47" t="s">
        <v>892</v>
      </c>
      <c r="B127" s="46" t="s">
        <v>878</v>
      </c>
      <c r="C127" s="45" t="s">
        <v>912</v>
      </c>
    </row>
    <row r="128" spans="1:3" ht="38.25" outlineLevel="1" x14ac:dyDescent="0.2">
      <c r="A128" s="42" t="s">
        <v>911</v>
      </c>
      <c r="B128" s="44" t="s">
        <v>864</v>
      </c>
      <c r="C128" s="44" t="s">
        <v>910</v>
      </c>
    </row>
    <row r="129" spans="1:3" ht="25.5" outlineLevel="1" x14ac:dyDescent="0.2">
      <c r="A129" s="42" t="s">
        <v>909</v>
      </c>
      <c r="B129" s="44" t="s">
        <v>851</v>
      </c>
      <c r="C129" s="44" t="s">
        <v>908</v>
      </c>
    </row>
    <row r="130" spans="1:3" ht="25.5" outlineLevel="1" x14ac:dyDescent="0.2">
      <c r="A130" s="42" t="s">
        <v>907</v>
      </c>
      <c r="B130" s="44" t="s">
        <v>840</v>
      </c>
      <c r="C130" s="44" t="s">
        <v>906</v>
      </c>
    </row>
    <row r="131" spans="1:3" ht="25.5" outlineLevel="1" x14ac:dyDescent="0.2">
      <c r="A131" s="42" t="s">
        <v>905</v>
      </c>
      <c r="B131" s="44" t="s">
        <v>830</v>
      </c>
      <c r="C131" s="43" t="s">
        <v>904</v>
      </c>
    </row>
    <row r="132" spans="1:3" ht="12.75" outlineLevel="1" x14ac:dyDescent="0.2">
      <c r="A132" s="42" t="s">
        <v>903</v>
      </c>
      <c r="B132" s="41" t="s">
        <v>806</v>
      </c>
      <c r="C132" s="40" t="s">
        <v>902</v>
      </c>
    </row>
    <row r="133" spans="1:3" thickBot="1" x14ac:dyDescent="0.25">
      <c r="C133" s="39"/>
    </row>
  </sheetData>
  <sheetProtection selectLockedCells="1" selectUnlockedCells="1"/>
  <mergeCells count="2">
    <mergeCell ref="A3:B3"/>
    <mergeCell ref="A7:B7"/>
  </mergeCells>
  <pageMargins left="0.15763888888888888" right="0.15763888888888888" top="0.74791666666666667" bottom="0.74791666666666667" header="0.51180555555555551" footer="0.51180555555555551"/>
  <pageSetup paperSize="9" scale="65" firstPageNumber="0" fitToHeight="10" orientation="portrait"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13</vt:i4>
      </vt:variant>
    </vt:vector>
  </HeadingPairs>
  <TitlesOfParts>
    <vt:vector size="21" baseType="lpstr">
      <vt:lpstr>Parameters</vt:lpstr>
      <vt:lpstr>CIC_Codes</vt:lpstr>
      <vt:lpstr>EIOPA_RFR</vt:lpstr>
      <vt:lpstr>Interest_Rate_Stresses_Setup</vt:lpstr>
      <vt:lpstr>Final_Spot_Rates</vt:lpstr>
      <vt:lpstr>Summary</vt:lpstr>
      <vt:lpstr>Annex IV - Table</vt:lpstr>
      <vt:lpstr>Annex V - Definitions</vt:lpstr>
      <vt:lpstr>EIOPA_Spot_Rates</vt:lpstr>
      <vt:lpstr>FX_Down</vt:lpstr>
      <vt:lpstr>FX_Up</vt:lpstr>
      <vt:lpstr>Int_Rate_Down</vt:lpstr>
      <vt:lpstr>Int_Rate_Param</vt:lpstr>
      <vt:lpstr>Int_Rate_Up</vt:lpstr>
      <vt:lpstr>OthEqu_T1_Stress</vt:lpstr>
      <vt:lpstr>OthEqu_T2_Stress</vt:lpstr>
      <vt:lpstr>'Annex IV - Table'!Print_Area</vt:lpstr>
      <vt:lpstr>'Annex V - Definitions'!Print_Area</vt:lpstr>
      <vt:lpstr>'Annex V - Definitions'!Print_Titles</vt:lpstr>
      <vt:lpstr>Property_Stress</vt:lpstr>
      <vt:lpstr>Sym_Adj</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Derek Reynolds</cp:lastModifiedBy>
  <dcterms:created xsi:type="dcterms:W3CDTF">2017-06-22T19:25:07Z</dcterms:created>
  <dcterms:modified xsi:type="dcterms:W3CDTF">2017-08-03T09:41:27Z</dcterms:modified>
</cp:coreProperties>
</file>